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56.xml"/>
  <Override ContentType="application/vnd.openxmlformats-officedocument.spreadsheetml.externalLink+xml" PartName="/xl/externalLinks/externalLink57.xml"/>
  <Override ContentType="application/vnd.openxmlformats-officedocument.spreadsheetml.externalLink+xml" PartName="/xl/externalLinks/externalLink58.xml"/>
  <Override ContentType="application/vnd.openxmlformats-officedocument.spreadsheetml.externalLink+xml" PartName="/xl/externalLinks/externalLink59.xml"/>
  <Override ContentType="application/vnd.openxmlformats-officedocument.spreadsheetml.externalLink+xml" PartName="/xl/externalLinks/externalLink6.xml"/>
  <Override ContentType="application/vnd.openxmlformats-officedocument.spreadsheetml.externalLink+xml" PartName="/xl/externalLinks/externalLink60.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defaultThemeVersion="124226"/>
  <bookViews>
    <workbookView xWindow="-15" yWindow="105" windowWidth="19080" windowHeight="11190" tabRatio="935"/>
  </bookViews>
  <sheets>
    <sheet name="ImportantDisclosures" sheetId="113" r:id="rId1"/>
    <sheet name="SheetVisibilityStatus" sheetId="117" state="veryHidden" r:id="rId2"/>
    <sheet name="CircularReferenceAlert" sheetId="116" r:id="rId3"/>
    <sheet name="Cover" sheetId="90" state="veryHidden" r:id="rId4"/>
    <sheet name="Financial Statements" sheetId="1" state="veryHidden" r:id="rId5"/>
    <sheet name="Segments" sheetId="67" state="veryHidden" r:id="rId6"/>
    <sheet name="IndexInformation" sheetId="114" state="veryHidden" r:id="rId7"/>
    <sheet name="ModPubIndex" sheetId="115" state="veryHidden" r:id="rId8"/>
    <sheet name="__FDSCACHE__" sheetId="48" state="veryHidden" r:id="rId9"/>
    <sheet name="MW-Cache" sheetId="58" state="veryHidden" r:id="rId10"/>
    <sheet name="__APW_ACTIVE_FIELD_RESTORE__" sheetId="63" state="veryHidden" r:id="rId11"/>
  </sheets>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s>
  <definedNames>
    <definedName name="__FDS_HYPERLINK_TOGGLE_STATE__" hidden="1">"ON"</definedName>
    <definedName name="__FDS_UNIQUE_RANGE_ID_GENERATOR_COUNTER" hidden="1">72</definedName>
    <definedName name="_090108" localSheetId="3" hidden="1">{"fdsup://Directions/FactSet Auditing Viewer?action=AUDIT_VALUE&amp;DB=129&amp;ID1=468232&amp;VALUEID=02001&amp;SDATE=201001&amp;PERIODTYPE=SEMI_STD&amp;window=popup_no_bar&amp;width=385&amp;height=120&amp;START_MAXIMIZED=FALSE&amp;creator=factset&amp;display_string=Audit"}</definedName>
    <definedName name="_090108" hidden="1">{"fdsup://Directions/FactSet Auditing Viewer?action=AUDIT_VALUE&amp;DB=129&amp;ID1=468232&amp;VALUEID=02001&amp;SDATE=201001&amp;PERIODTYPE=SEMI_STD&amp;window=popup_no_bar&amp;width=385&amp;height=120&amp;START_MAXIMIZED=FALSE&amp;creator=factset&amp;display_string=Audit"}</definedName>
    <definedName name="_1__" localSheetId="3" hidden="1">{"fdsup://Directions/FactSet Auditing Viewer?action=AUDIT_VALUE&amp;DB=129&amp;ID1=468232&amp;VALUEID=02001&amp;SDATE=201001&amp;PERIODTYPE=SEMI_STD&amp;window=popup_no_bar&amp;width=385&amp;height=120&amp;START_MAXIMIZED=FALSE&amp;creator=factset&amp;display_string=Audit"}</definedName>
    <definedName name="_1__" hidden="1">{"fdsup://Directions/FactSet Auditing Viewer?action=AUDIT_VALUE&amp;DB=129&amp;ID1=468232&amp;VALUEID=02001&amp;SDATE=201001&amp;PERIODTYPE=SEMI_STD&amp;window=popup_no_bar&amp;width=385&amp;height=120&amp;START_MAXIMIZED=FALSE&amp;creator=factset&amp;display_string=Audit"}</definedName>
    <definedName name="_1__123Graph_ACHART_1E" hidden="1">[1]Aerospace!$AI$342:$AI$355</definedName>
    <definedName name="_1__FDSAUDITLINK__" localSheetId="3" hidden="1">{"fdsup://Directions/FactSet Auditing Viewer?action=AUDIT_VALUE&amp;DB=129&amp;ID1=468232&amp;VALUEID=02001&amp;SDATE=201001&amp;PERIODTYPE=SEMI_STD&amp;window=popup_no_bar&amp;width=385&amp;height=120&amp;START_MAXIMIZED=FALSE&amp;creator=factset&amp;display_string=Audit"}</definedName>
    <definedName name="_1__FDSAUDITLINK__" hidden="1">{"fdsup://Directions/FactSet Auditing Viewer?action=AUDIT_VALUE&amp;DB=129&amp;ID1=468232&amp;VALUEID=02001&amp;SDATE=201001&amp;PERIODTYPE=SEMI_STD&amp;window=popup_no_bar&amp;width=385&amp;height=120&amp;START_MAXIMIZED=FALSE&amp;creator=factset&amp;display_string=Audit"}</definedName>
    <definedName name="_10__123Graph_CCHART_2E" hidden="1">[1]Aerospace!$R$342:$R$373</definedName>
    <definedName name="_10__FDSAUDITLINK__" localSheetId="3" hidden="1">{"fdsup://Directions/FactSet Auditing Viewer?action=AUDIT_VALUE&amp;DB=129&amp;ID1=60871R20&amp;VALUEID=18809&amp;SDATE=2008&amp;PERIODTYPE=ANN_STD&amp;window=popup_no_bar&amp;width=385&amp;height=120&amp;START_MAXIMIZED=FALSE&amp;creator=factset&amp;display_string=Audit"}</definedName>
    <definedName name="_10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100__FDSAUDITLINK__" localSheetId="3" hidden="1">{"fdsup://Directions/FactSet Auditing Viewer?action=AUDIT_VALUE&amp;DB=129&amp;ID1=21036P10&amp;VALUEID=18807&amp;SDATE=2007&amp;PERIODTYPE=ANN_STD&amp;window=popup_no_bar&amp;width=385&amp;height=120&amp;START_MAXIMIZED=FALSE&amp;creator=factset&amp;display_string=Audit"}</definedName>
    <definedName name="_100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101__FDSAUDITLINK__" localSheetId="3" hidden="1">{"fdsup://Directions/FactSet Auditing Viewer?action=AUDIT_VALUE&amp;DB=129&amp;ID1=21036P10&amp;VALUEID=18807&amp;SDATE=2006&amp;PERIODTYPE=ANN_STD&amp;window=popup_no_bar&amp;width=385&amp;height=120&amp;START_MAXIMIZED=FALSE&amp;creator=factset&amp;display_string=Audit"}</definedName>
    <definedName name="_101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102__FDSAUDITLINK__" localSheetId="3" hidden="1">{"fdsup://Directions/FactSet Auditing Viewer?action=AUDIT_VALUE&amp;DB=129&amp;ID1=21036P10&amp;VALUEID=18807&amp;SDATE=2005&amp;PERIODTYPE=ANN_STD&amp;window=popup_no_bar&amp;width=385&amp;height=120&amp;START_MAXIMIZED=FALSE&amp;creator=factset&amp;display_string=Audit"}</definedName>
    <definedName name="_102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103__FDSAUDITLINK__" localSheetId="3" hidden="1">{"fdsup://Directions/FactSet Auditing Viewer?action=AUDIT_VALUE&amp;DB=129&amp;ID1=74271810&amp;VALUEID=18809&amp;SDATE=2007&amp;PERIODTYPE=ANN_STD&amp;window=popup_no_bar&amp;width=385&amp;height=120&amp;START_MAXIMIZED=FALSE&amp;creator=factset&amp;display_string=Audit"}</definedName>
    <definedName name="_103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104__FDSAUDITLINK__" localSheetId="3" hidden="1">{"fdsup://Directions/FactSet Auditing Viewer?action=AUDIT_VALUE&amp;DB=129&amp;ID1=60871R20&amp;VALUEID=18809&amp;SDATE=2009&amp;PERIODTYPE=ANN_STD&amp;window=popup_no_bar&amp;width=385&amp;height=120&amp;START_MAXIMIZED=FALSE&amp;creator=factset&amp;display_string=Audit"}</definedName>
    <definedName name="_104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105__FDSAUDITLINK__" localSheetId="3" hidden="1">{"fdsup://Directions/FactSet Auditing Viewer?action=AUDIT_VALUE&amp;DB=129&amp;ID1=60871R20&amp;VALUEID=18809&amp;SDATE=2008&amp;PERIODTYPE=ANN_STD&amp;window=popup_no_bar&amp;width=385&amp;height=120&amp;START_MAXIMIZED=FALSE&amp;creator=factset&amp;display_string=Audit"}</definedName>
    <definedName name="_105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106__FDSAUDITLINK__" localSheetId="3" hidden="1">{"fdsup://Directions/FactSet Auditing Viewer?action=AUDIT_VALUE&amp;DB=129&amp;ID1=60871R20&amp;VALUEID=18809&amp;SDATE=2007&amp;PERIODTYPE=ANN_STD&amp;window=popup_no_bar&amp;width=385&amp;height=120&amp;START_MAXIMIZED=FALSE&amp;creator=factset&amp;display_string=Audit"}</definedName>
    <definedName name="_106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107__FDSAUDITLINK__" localSheetId="3" hidden="1">{"fdsup://Directions/FactSet Auditing Viewer?action=AUDIT_VALUE&amp;DB=129&amp;ID1=60871R20&amp;VALUEID=18809&amp;SDATE=2005&amp;PERIODTYPE=ANN_STD&amp;window=popup_no_bar&amp;width=385&amp;height=120&amp;START_MAXIMIZED=FALSE&amp;creator=factset&amp;display_string=Audit"}</definedName>
    <definedName name="_107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108__FDSAUDITLINK__" localSheetId="3" hidden="1">{"fdsup://Directions/FactSet Auditing Viewer?action=AUDIT_VALUE&amp;DB=129&amp;ID1=21036P10&amp;VALUEID=18809&amp;SDATE=2008&amp;PERIODTYPE=ANN_STD&amp;window=popup_no_bar&amp;width=385&amp;height=120&amp;START_MAXIMIZED=FALSE&amp;creator=factset&amp;display_string=Audit"}</definedName>
    <definedName name="_108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109__FDSAUDITLINK__" localSheetId="3" hidden="1">{"fdsup://Directions/FactSet Auditing Viewer?action=AUDIT_VALUE&amp;DB=129&amp;ID1=21036P10&amp;VALUEID=18809&amp;SDATE=2007&amp;PERIODTYPE=ANN_STD&amp;window=popup_no_bar&amp;width=385&amp;height=120&amp;START_MAXIMIZED=FALSE&amp;creator=factset&amp;display_string=Audit"}</definedName>
    <definedName name="_109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11" localSheetId="3" hidden="1">{"fdsup://Directions/FactSet Auditing Viewer?action=AUDIT_VALUE&amp;DB=129&amp;ID1=60871R20&amp;VALUEID=18809&amp;SDATE=2008&amp;PERIODTYPE=ANN_STD&amp;window=popup_no_bar&amp;width=385&amp;height=120&amp;START_MAXIMIZED=FALSE&amp;creator=factset&amp;display_string=Audit"}</definedName>
    <definedName name="_11" hidden="1">{"fdsup://Directions/FactSet Auditing Viewer?action=AUDIT_VALUE&amp;DB=129&amp;ID1=60871R20&amp;VALUEID=18809&amp;SDATE=2008&amp;PERIODTYPE=ANN_STD&amp;window=popup_no_bar&amp;width=385&amp;height=120&amp;START_MAXIMIZED=FALSE&amp;creator=factset&amp;display_string=Audit"}</definedName>
    <definedName name="_11__123Graph_DCHART_1E" hidden="1">[1]Aerospace!$AL$342:$AL$355</definedName>
    <definedName name="_11__FDSAUDITLINK__" localSheetId="3" hidden="1">{"fdsup://Directions/FactSet Auditing Viewer?action=AUDIT_VALUE&amp;DB=129&amp;ID1=60871R20&amp;VALUEID=18809&amp;SDATE=2007&amp;PERIODTYPE=ANN_STD&amp;window=popup_no_bar&amp;width=385&amp;height=120&amp;START_MAXIMIZED=FALSE&amp;creator=factset&amp;display_string=Audit"}</definedName>
    <definedName name="_11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110__FDSAUDITLINK__" localSheetId="3" hidden="1">{"fdsup://Directions/FactSet Auditing Viewer?action=AUDIT_VALUE&amp;DB=129&amp;ID1=21036P10&amp;VALUEID=18809&amp;SDATE=2006&amp;PERIODTYPE=ANN_STD&amp;window=popup_no_bar&amp;width=385&amp;height=120&amp;START_MAXIMIZED=FALSE&amp;creator=factset&amp;display_string=Audit"}</definedName>
    <definedName name="_110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111__FDSAUDITLINK__" localSheetId="3" hidden="1">{"fdsup://Directions/FactSet Auditing Viewer?action=AUDIT_VALUE&amp;DB=129&amp;ID1=21036P10&amp;VALUEID=18809&amp;SDATE=2005&amp;PERIODTYPE=ANN_STD&amp;window=popup_no_bar&amp;width=385&amp;height=120&amp;START_MAXIMIZED=FALSE&amp;creator=factset&amp;display_string=Audit"}</definedName>
    <definedName name="_111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112__FDSAUDITLINK__" localSheetId="3" hidden="1">{"fdsup://Directions/FactSet Auditing Viewer?action=AUDIT_VALUE&amp;DB=129&amp;ID1=60871R20&amp;VALUEID=18807&amp;SDATE=2009&amp;PERIODTYPE=ANN_STD&amp;window=popup_no_bar&amp;width=385&amp;height=120&amp;START_MAXIMIZED=FALSE&amp;creator=factset&amp;display_string=Audit"}</definedName>
    <definedName name="_112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113__FDSAUDITLINK__" localSheetId="3" hidden="1">{"fdsup://Directions/FactSet Auditing Viewer?action=AUDIT_VALUE&amp;DB=129&amp;ID1=60871R20&amp;VALUEID=18807&amp;SDATE=2008&amp;PERIODTYPE=ANN_STD&amp;window=popup_no_bar&amp;width=385&amp;height=120&amp;START_MAXIMIZED=FALSE&amp;creator=factset&amp;display_string=Audit"}</definedName>
    <definedName name="_113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114__FDSAUDITLINK__" localSheetId="3" hidden="1">{"fdsup://Directions/FactSet Auditing Viewer?action=AUDIT_VALUE&amp;DB=129&amp;ID1=60871R20&amp;VALUEID=18807&amp;SDATE=2007&amp;PERIODTYPE=ANN_STD&amp;window=popup_no_bar&amp;width=385&amp;height=120&amp;START_MAXIMIZED=FALSE&amp;creator=factset&amp;display_string=Audit"}</definedName>
    <definedName name="_114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115__FDSAUDITLINK__" localSheetId="3" hidden="1">{"fdsup://Directions/FactSet Auditing Viewer?action=AUDIT_VALUE&amp;DB=129&amp;ID1=60871R20&amp;VALUEID=18807&amp;SDATE=2005&amp;PERIODTYPE=ANN_STD&amp;window=popup_no_bar&amp;width=385&amp;height=120&amp;START_MAXIMIZED=FALSE&amp;creator=factset&amp;display_string=Audit"}</definedName>
    <definedName name="_115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116__FDSAUDITLINK__" localSheetId="3" hidden="1">{"fdsup://Directions/FactSet Auditing Viewer?action=AUDIT_VALUE&amp;DB=129&amp;ID1=21036P10&amp;VALUEID=18807&amp;SDATE=2008&amp;PERIODTYPE=ANN_STD&amp;window=popup_no_bar&amp;width=385&amp;height=120&amp;START_MAXIMIZED=FALSE&amp;creator=factset&amp;display_string=Audit"}</definedName>
    <definedName name="_116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117__FDSAUDITLINK__" localSheetId="3" hidden="1">{"fdsup://Directions/FactSet Auditing Viewer?action=AUDIT_VALUE&amp;DB=129&amp;ID1=21036P10&amp;VALUEID=18807&amp;SDATE=2007&amp;PERIODTYPE=ANN_STD&amp;window=popup_no_bar&amp;width=385&amp;height=120&amp;START_MAXIMIZED=FALSE&amp;creator=factset&amp;display_string=Audit"}</definedName>
    <definedName name="_117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118__FDSAUDITLINK__" localSheetId="3" hidden="1">{"fdsup://Directions/FactSet Auditing Viewer?action=AUDIT_VALUE&amp;DB=129&amp;ID1=21036P10&amp;VALUEID=18807&amp;SDATE=2006&amp;PERIODTYPE=ANN_STD&amp;window=popup_no_bar&amp;width=385&amp;height=120&amp;START_MAXIMIZED=FALSE&amp;creator=factset&amp;display_string=Audit"}</definedName>
    <definedName name="_118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119__FDSAUDITLINK__" localSheetId="3" hidden="1">{"fdsup://Directions/FactSet Auditing Viewer?action=AUDIT_VALUE&amp;DB=129&amp;ID1=21036P10&amp;VALUEID=18807&amp;SDATE=2005&amp;PERIODTYPE=ANN_STD&amp;window=popup_no_bar&amp;width=385&amp;height=120&amp;START_MAXIMIZED=FALSE&amp;creator=factset&amp;display_string=Audit"}</definedName>
    <definedName name="_119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12__123Graph_XCHART_2E" hidden="1">[1]Aerospace!$A$342:$A$374</definedName>
    <definedName name="_12__FDSAUDITLINK__" localSheetId="3" hidden="1">{"fdsup://Directions/FactSet Auditing Viewer?action=AUDIT_VALUE&amp;DB=129&amp;ID1=60871R20&amp;VALUEID=18809&amp;SDATE=2005&amp;PERIODTYPE=ANN_STD&amp;window=popup_no_bar&amp;width=385&amp;height=120&amp;START_MAXIMIZED=FALSE&amp;creator=factset&amp;display_string=Audit"}</definedName>
    <definedName name="_12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120__FDSAUDITLINK__" localSheetId="3" hidden="1">{"fdsup://Directions/FactSet Auditing Viewer?action=AUDIT_VALUE&amp;DB=129&amp;ID1=74271810&amp;VALUEID=18809&amp;SDATE=2007&amp;PERIODTYPE=ANN_STD&amp;window=popup_no_bar&amp;width=385&amp;height=120&amp;START_MAXIMIZED=FALSE&amp;creator=factset&amp;display_string=Audit"}</definedName>
    <definedName name="_120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121__FDSAUDITLINK__" localSheetId="3" hidden="1">{"fdsup://Directions/FactSet Auditing Viewer?action=AUDIT_VALUE&amp;DB=129&amp;ID1=60871R20&amp;VALUEID=18809&amp;SDATE=2009&amp;PERIODTYPE=ANN_STD&amp;window=popup_no_bar&amp;width=385&amp;height=120&amp;START_MAXIMIZED=FALSE&amp;creator=factset&amp;display_string=Audit"}</definedName>
    <definedName name="_121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122__FDSAUDITLINK__" localSheetId="3" hidden="1">{"fdsup://Directions/FactSet Auditing Viewer?action=AUDIT_VALUE&amp;DB=129&amp;ID1=60871R20&amp;VALUEID=18809&amp;SDATE=2008&amp;PERIODTYPE=ANN_STD&amp;window=popup_no_bar&amp;width=385&amp;height=120&amp;START_MAXIMIZED=FALSE&amp;creator=factset&amp;display_string=Audit"}</definedName>
    <definedName name="_122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123__FDSAUDITLINK__" localSheetId="3" hidden="1">{"fdsup://Directions/FactSet Auditing Viewer?action=AUDIT_VALUE&amp;DB=129&amp;ID1=60871R20&amp;VALUEID=18809&amp;SDATE=2007&amp;PERIODTYPE=ANN_STD&amp;window=popup_no_bar&amp;width=385&amp;height=120&amp;START_MAXIMIZED=FALSE&amp;creator=factset&amp;display_string=Audit"}</definedName>
    <definedName name="_123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124__FDSAUDITLINK__" localSheetId="3" hidden="1">{"fdsup://Directions/FactSet Auditing Viewer?action=AUDIT_VALUE&amp;DB=129&amp;ID1=60871R20&amp;VALUEID=18809&amp;SDATE=2005&amp;PERIODTYPE=ANN_STD&amp;window=popup_no_bar&amp;width=385&amp;height=120&amp;START_MAXIMIZED=FALSE&amp;creator=factset&amp;display_string=Audit"}</definedName>
    <definedName name="_124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125__FDSAUDITLINK__" localSheetId="3" hidden="1">{"fdsup://Directions/FactSet Auditing Viewer?action=AUDIT_VALUE&amp;DB=129&amp;ID1=21036P10&amp;VALUEID=18809&amp;SDATE=2008&amp;PERIODTYPE=ANN_STD&amp;window=popup_no_bar&amp;width=385&amp;height=120&amp;START_MAXIMIZED=FALSE&amp;creator=factset&amp;display_string=Audit"}</definedName>
    <definedName name="_125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126__FDSAUDITLINK__" localSheetId="3" hidden="1">{"fdsup://Directions/FactSet Auditing Viewer?action=AUDIT_VALUE&amp;DB=129&amp;ID1=21036P10&amp;VALUEID=18809&amp;SDATE=2007&amp;PERIODTYPE=ANN_STD&amp;window=popup_no_bar&amp;width=385&amp;height=120&amp;START_MAXIMIZED=FALSE&amp;creator=factset&amp;display_string=Audit"}</definedName>
    <definedName name="_126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127__FDSAUDITLINK__" localSheetId="3" hidden="1">{"fdsup://Directions/FactSet Auditing Viewer?action=AUDIT_VALUE&amp;DB=129&amp;ID1=21036P10&amp;VALUEID=18809&amp;SDATE=2006&amp;PERIODTYPE=ANN_STD&amp;window=popup_no_bar&amp;width=385&amp;height=120&amp;START_MAXIMIZED=FALSE&amp;creator=factset&amp;display_string=Audit"}</definedName>
    <definedName name="_127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128__FDSAUDITLINK__" localSheetId="3" hidden="1">{"fdsup://Directions/FactSet Auditing Viewer?action=AUDIT_VALUE&amp;DB=129&amp;ID1=21036P10&amp;VALUEID=18809&amp;SDATE=2005&amp;PERIODTYPE=ANN_STD&amp;window=popup_no_bar&amp;width=385&amp;height=120&amp;START_MAXIMIZED=FALSE&amp;creator=factset&amp;display_string=Audit"}</definedName>
    <definedName name="_128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129__FDSAUDITLINK__" localSheetId="3" hidden="1">{"fdsup://Directions/FactSet Auditing Viewer?action=AUDIT_VALUE&amp;DB=129&amp;ID1=60871R20&amp;VALUEID=18807&amp;SDATE=2009&amp;PERIODTYPE=ANN_STD&amp;window=popup_no_bar&amp;width=385&amp;height=120&amp;START_MAXIMIZED=FALSE&amp;creator=factset&amp;display_string=Audit"}</definedName>
    <definedName name="_129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13__FDSAUDITLINK__" localSheetId="3" hidden="1">{"fdsup://Directions/FactSet Auditing Viewer?action=AUDIT_VALUE&amp;DB=129&amp;ID1=21036P10&amp;VALUEID=18809&amp;SDATE=2008&amp;PERIODTYPE=ANN_STD&amp;window=popup_no_bar&amp;width=385&amp;height=120&amp;START_MAXIMIZED=FALSE&amp;creator=factset&amp;display_string=Audit"}</definedName>
    <definedName name="_13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130__FDSAUDITLINK__" localSheetId="3" hidden="1">{"fdsup://Directions/FactSet Auditing Viewer?action=AUDIT_VALUE&amp;DB=129&amp;ID1=60871R20&amp;VALUEID=18807&amp;SDATE=2008&amp;PERIODTYPE=ANN_STD&amp;window=popup_no_bar&amp;width=385&amp;height=120&amp;START_MAXIMIZED=FALSE&amp;creator=factset&amp;display_string=Audit"}</definedName>
    <definedName name="_130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131__FDSAUDITLINK__" localSheetId="3" hidden="1">{"fdsup://Directions/FactSet Auditing Viewer?action=AUDIT_VALUE&amp;DB=129&amp;ID1=60871R20&amp;VALUEID=18807&amp;SDATE=2007&amp;PERIODTYPE=ANN_STD&amp;window=popup_no_bar&amp;width=385&amp;height=120&amp;START_MAXIMIZED=FALSE&amp;creator=factset&amp;display_string=Audit"}</definedName>
    <definedName name="_131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132__FDSAUDITLINK__" localSheetId="3" hidden="1">{"fdsup://Directions/FactSet Auditing Viewer?action=AUDIT_VALUE&amp;DB=129&amp;ID1=60871R20&amp;VALUEID=18807&amp;SDATE=2005&amp;PERIODTYPE=ANN_STD&amp;window=popup_no_bar&amp;width=385&amp;height=120&amp;START_MAXIMIZED=FALSE&amp;creator=factset&amp;display_string=Audit"}</definedName>
    <definedName name="_132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133__FDSAUDITLINK__" localSheetId="3" hidden="1">{"fdsup://Directions/FactSet Auditing Viewer?action=AUDIT_VALUE&amp;DB=129&amp;ID1=21036P10&amp;VALUEID=18807&amp;SDATE=2008&amp;PERIODTYPE=ANN_STD&amp;window=popup_no_bar&amp;width=385&amp;height=120&amp;START_MAXIMIZED=FALSE&amp;creator=factset&amp;display_string=Audit"}</definedName>
    <definedName name="_133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134__FDSAUDITLINK__" localSheetId="3" hidden="1">{"fdsup://Directions/FactSet Auditing Viewer?action=AUDIT_VALUE&amp;DB=129&amp;ID1=21036P10&amp;VALUEID=18807&amp;SDATE=2007&amp;PERIODTYPE=ANN_STD&amp;window=popup_no_bar&amp;width=385&amp;height=120&amp;START_MAXIMIZED=FALSE&amp;creator=factset&amp;display_string=Audit"}</definedName>
    <definedName name="_134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135__FDSAUDITLINK__" localSheetId="3" hidden="1">{"fdsup://Directions/FactSet Auditing Viewer?action=AUDIT_VALUE&amp;DB=129&amp;ID1=21036P10&amp;VALUEID=18807&amp;SDATE=2006&amp;PERIODTYPE=ANN_STD&amp;window=popup_no_bar&amp;width=385&amp;height=120&amp;START_MAXIMIZED=FALSE&amp;creator=factset&amp;display_string=Audit"}</definedName>
    <definedName name="_135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136__FDSAUDITLINK__" localSheetId="3" hidden="1">{"fdsup://Directions/FactSet Auditing Viewer?action=AUDIT_VALUE&amp;DB=129&amp;ID1=21036P10&amp;VALUEID=18807&amp;SDATE=2005&amp;PERIODTYPE=ANN_STD&amp;window=popup_no_bar&amp;width=385&amp;height=120&amp;START_MAXIMIZED=FALSE&amp;creator=factset&amp;display_string=Audit"}</definedName>
    <definedName name="_136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14__FDSAUDITLINK__" localSheetId="3" hidden="1">{"fdsup://Directions/FactSet Auditing Viewer?action=AUDIT_VALUE&amp;DB=129&amp;ID1=21036P10&amp;VALUEID=18809&amp;SDATE=2007&amp;PERIODTYPE=ANN_STD&amp;window=popup_no_bar&amp;width=385&amp;height=120&amp;START_MAXIMIZED=FALSE&amp;creator=factset&amp;display_string=Audit"}</definedName>
    <definedName name="_14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1414" localSheetId="3" hidden="1">{"fdsup://Directions/FactSet Auditing Viewer?action=AUDIT_VALUE&amp;DB=129&amp;ID1=60871R20&amp;VALUEID=18809&amp;SDATE=2008&amp;PERIODTYPE=ANN_STD&amp;window=popup_no_bar&amp;width=385&amp;height=120&amp;START_MAXIMIZED=FALSE&amp;creator=factset&amp;display_string=Audit"}</definedName>
    <definedName name="_1414" hidden="1">{"fdsup://Directions/FactSet Auditing Viewer?action=AUDIT_VALUE&amp;DB=129&amp;ID1=60871R20&amp;VALUEID=18809&amp;SDATE=2008&amp;PERIODTYPE=ANN_STD&amp;window=popup_no_bar&amp;width=385&amp;height=120&amp;START_MAXIMIZED=FALSE&amp;creator=factset&amp;display_string=Audit"}</definedName>
    <definedName name="_15__FDSAUDITLINK__" localSheetId="3" hidden="1">{"fdsup://Directions/FactSet Auditing Viewer?action=AUDIT_VALUE&amp;DB=129&amp;ID1=21036P10&amp;VALUEID=18809&amp;SDATE=2006&amp;PERIODTYPE=ANN_STD&amp;window=popup_no_bar&amp;width=385&amp;height=120&amp;START_MAXIMIZED=FALSE&amp;creator=factset&amp;display_string=Audit"}</definedName>
    <definedName name="_15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16__FDSAUDITLINK__" localSheetId="3" hidden="1">{"fdsup://Directions/FactSet Auditing Viewer?action=AUDIT_VALUE&amp;DB=129&amp;ID1=21036P10&amp;VALUEID=18809&amp;SDATE=2005&amp;PERIODTYPE=ANN_STD&amp;window=popup_no_bar&amp;width=385&amp;height=120&amp;START_MAXIMIZED=FALSE&amp;creator=factset&amp;display_string=Audit"}</definedName>
    <definedName name="_16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17__FDSAUDITLINK__" localSheetId="3" hidden="1">{"fdsup://Directions/FactSet Auditing Viewer?action=AUDIT_VALUE&amp;DB=129&amp;ID1=60871R20&amp;VALUEID=18807&amp;SDATE=2009&amp;PERIODTYPE=ANN_STD&amp;window=popup_no_bar&amp;width=385&amp;height=120&amp;START_MAXIMIZED=FALSE&amp;creator=factset&amp;display_string=Audit"}</definedName>
    <definedName name="_17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18__FDSAUDITLINK__" localSheetId="3" hidden="1">{"fdsup://Directions/FactSet Auditing Viewer?action=AUDIT_VALUE&amp;DB=129&amp;ID1=60871R20&amp;VALUEID=18807&amp;SDATE=2008&amp;PERIODTYPE=ANN_STD&amp;window=popup_no_bar&amp;width=385&amp;height=120&amp;START_MAXIMIZED=FALSE&amp;creator=factset&amp;display_string=Audit"}</definedName>
    <definedName name="_18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19__FDSAUDITLINK__" localSheetId="3" hidden="1">{"fdsup://Directions/FactSet Auditing Viewer?action=AUDIT_VALUE&amp;DB=129&amp;ID1=60871R20&amp;VALUEID=18807&amp;SDATE=2007&amp;PERIODTYPE=ANN_STD&amp;window=popup_no_bar&amp;width=385&amp;height=120&amp;START_MAXIMIZED=FALSE&amp;creator=factset&amp;display_string=Audit"}</definedName>
    <definedName name="_19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1Q00">[2]WY!$BB$2:$BB$1044</definedName>
    <definedName name="_1Q01">[2]WY!$AV$2:$AV$1044</definedName>
    <definedName name="_1Q02">[2]WY!$AP$2:$AP$1044</definedName>
    <definedName name="_1Q03">[2]WY!$AI$2:$AI$1044</definedName>
    <definedName name="_1Q91">[2]WY!$DD$2:$DD$1044</definedName>
    <definedName name="_1Q92">[2]WY!$CX$2:$CX$1044</definedName>
    <definedName name="_1Q93">[2]WY!$CR$2:$CR$1044</definedName>
    <definedName name="_1Q94">[2]WY!$CL$2:$CL$1044</definedName>
    <definedName name="_1Q95">[2]WY!$CF$2:$CF$1044</definedName>
    <definedName name="_1Q96">[2]WY!$BZ$2:$BZ$1044</definedName>
    <definedName name="_1Q97">[2]WY!$BT$2:$BT$1044</definedName>
    <definedName name="_1Q98">[2]WY!$BN$2:$BN$1044</definedName>
    <definedName name="_1Q99">[2]WY!$BH$2:$BH$1044</definedName>
    <definedName name="_2__123Graph_ACHART_2E" hidden="1">[1]Aerospace!$L$342:$L$373</definedName>
    <definedName name="_2__FDSAUDITLINK__" localSheetId="3" hidden="1">{"fdsup://Directions/FactSet Auditing Viewer?action=AUDIT_VALUE&amp;DB=129&amp;ID1=468232&amp;VALUEID=02001&amp;SDATE=200901&amp;PERIODTYPE=SEMI_STD&amp;window=popup_no_bar&amp;width=385&amp;height=120&amp;START_MAXIMIZED=FALSE&amp;creator=factset&amp;display_string=Audit"}</definedName>
    <definedName name="_2__FDSAUDITLINK__" hidden="1">{"fdsup://Directions/FactSet Auditing Viewer?action=AUDIT_VALUE&amp;DB=129&amp;ID1=468232&amp;VALUEID=02001&amp;SDATE=200901&amp;PERIODTYPE=SEMI_STD&amp;window=popup_no_bar&amp;width=385&amp;height=120&amp;START_MAXIMIZED=FALSE&amp;creator=factset&amp;display_string=Audit"}</definedName>
    <definedName name="_20__FDSAUDITLINK__" localSheetId="3" hidden="1">{"fdsup://Directions/FactSet Auditing Viewer?action=AUDIT_VALUE&amp;DB=129&amp;ID1=60871R20&amp;VALUEID=18807&amp;SDATE=2005&amp;PERIODTYPE=ANN_STD&amp;window=popup_no_bar&amp;width=385&amp;height=120&amp;START_MAXIMIZED=FALSE&amp;creator=factset&amp;display_string=Audit"}</definedName>
    <definedName name="_20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21__FDSAUDITLINK__" localSheetId="3" hidden="1">{"fdsup://Directions/FactSet Auditing Viewer?action=AUDIT_VALUE&amp;DB=129&amp;ID1=21036P10&amp;VALUEID=18807&amp;SDATE=2008&amp;PERIODTYPE=ANN_STD&amp;window=popup_no_bar&amp;width=385&amp;height=120&amp;START_MAXIMIZED=FALSE&amp;creator=factset&amp;display_string=Audit"}</definedName>
    <definedName name="_21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22__FDSAUDITLINK__" localSheetId="3" hidden="1">{"fdsup://Directions/FactSet Auditing Viewer?action=AUDIT_VALUE&amp;DB=129&amp;ID1=21036P10&amp;VALUEID=18807&amp;SDATE=2007&amp;PERIODTYPE=ANN_STD&amp;window=popup_no_bar&amp;width=385&amp;height=120&amp;START_MAXIMIZED=FALSE&amp;creator=factset&amp;display_string=Audit"}</definedName>
    <definedName name="_22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23__FDSAUDITLINK__" localSheetId="3" hidden="1">{"fdsup://Directions/FactSet Auditing Viewer?action=AUDIT_VALUE&amp;DB=129&amp;ID1=21036P10&amp;VALUEID=18807&amp;SDATE=2006&amp;PERIODTYPE=ANN_STD&amp;window=popup_no_bar&amp;width=385&amp;height=120&amp;START_MAXIMIZED=FALSE&amp;creator=factset&amp;display_string=Audit"}</definedName>
    <definedName name="_23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24__FDSAUDITLINK__" localSheetId="3" hidden="1">{"fdsup://Directions/FactSet Auditing Viewer?action=AUDIT_VALUE&amp;DB=129&amp;ID1=21036P10&amp;VALUEID=18807&amp;SDATE=2005&amp;PERIODTYPE=ANN_STD&amp;window=popup_no_bar&amp;width=385&amp;height=120&amp;START_MAXIMIZED=FALSE&amp;creator=factset&amp;display_string=Audit"}</definedName>
    <definedName name="_24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25__FDSAUDITLINK__" localSheetId="3" hidden="1">{"fdsup://Directions/FactSet Auditing Viewer?action=AUDIT_VALUE&amp;DB=129&amp;ID1=468232&amp;VALUEID=02001&amp;SDATE=201001&amp;PERIODTYPE=SEMI_STD&amp;window=popup_no_bar&amp;width=385&amp;height=120&amp;START_MAXIMIZED=FALSE&amp;creator=factset&amp;display_string=Audit"}</definedName>
    <definedName name="_25__FDSAUDITLINK__" hidden="1">{"fdsup://Directions/FactSet Auditing Viewer?action=AUDIT_VALUE&amp;DB=129&amp;ID1=468232&amp;VALUEID=02001&amp;SDATE=201001&amp;PERIODTYPE=SEMI_STD&amp;window=popup_no_bar&amp;width=385&amp;height=120&amp;START_MAXIMIZED=FALSE&amp;creator=factset&amp;display_string=Audit"}</definedName>
    <definedName name="_26__FDSAUDITLINK__" localSheetId="3" hidden="1">{"fdsup://Directions/FactSet Auditing Viewer?action=AUDIT_VALUE&amp;DB=129&amp;ID1=468232&amp;VALUEID=02001&amp;SDATE=200901&amp;PERIODTYPE=SEMI_STD&amp;window=popup_no_bar&amp;width=385&amp;height=120&amp;START_MAXIMIZED=FALSE&amp;creator=factset&amp;display_string=Audit"}</definedName>
    <definedName name="_26__FDSAUDITLINK__" hidden="1">{"fdsup://Directions/FactSet Auditing Viewer?action=AUDIT_VALUE&amp;DB=129&amp;ID1=468232&amp;VALUEID=02001&amp;SDATE=200901&amp;PERIODTYPE=SEMI_STD&amp;window=popup_no_bar&amp;width=385&amp;height=120&amp;START_MAXIMIZED=FALSE&amp;creator=factset&amp;display_string=Audit"}</definedName>
    <definedName name="_27__FDSAUDITLINK__" localSheetId="3" hidden="1">{"fdsup://Directions/FactSet Auditing Viewer?action=AUDIT_VALUE&amp;DB=129&amp;ID1=468232&amp;VALUEID=02001&amp;SDATE=200801&amp;PERIODTYPE=SEMI_STD&amp;window=popup_no_bar&amp;width=385&amp;height=120&amp;START_MAXIMIZED=FALSE&amp;creator=factset&amp;display_string=Audit"}</definedName>
    <definedName name="_27__FDSAUDITLINK__" hidden="1">{"fdsup://Directions/FactSet Auditing Viewer?action=AUDIT_VALUE&amp;DB=129&amp;ID1=468232&amp;VALUEID=02001&amp;SDATE=200801&amp;PERIODTYPE=SEMI_STD&amp;window=popup_no_bar&amp;width=385&amp;height=120&amp;START_MAXIMIZED=FALSE&amp;creator=factset&amp;display_string=Audit"}</definedName>
    <definedName name="_28__FDSAUDITLINK__" localSheetId="3" hidden="1">{"fdsup://Directions/FactSet Auditing Viewer?action=AUDIT_VALUE&amp;DB=129&amp;ID1=468232&amp;VALUEID=02001&amp;SDATE=200701&amp;PERIODTYPE=SEMI_STD&amp;window=popup_no_bar&amp;width=385&amp;height=120&amp;START_MAXIMIZED=FALSE&amp;creator=factset&amp;display_string=Audit"}</definedName>
    <definedName name="_28__FDSAUDITLINK__" hidden="1">{"fdsup://Directions/FactSet Auditing Viewer?action=AUDIT_VALUE&amp;DB=129&amp;ID1=468232&amp;VALUEID=02001&amp;SDATE=200701&amp;PERIODTYPE=SEMI_STD&amp;window=popup_no_bar&amp;width=385&amp;height=120&amp;START_MAXIMIZED=FALSE&amp;creator=factset&amp;display_string=Audit"}</definedName>
    <definedName name="_29__FDSAUDITLINK__" localSheetId="3" hidden="1">{"fdsup://Directions/FactSet Auditing Viewer?action=AUDIT_VALUE&amp;DB=129&amp;ID1=023740&amp;VALUEID=02001&amp;SDATE=201001&amp;PERIODTYPE=SEMI_STD&amp;window=popup_no_bar&amp;width=385&amp;height=120&amp;START_MAXIMIZED=FALSE&amp;creator=factset&amp;display_string=Audit"}</definedName>
    <definedName name="_29__FDSAUDITLINK__" hidden="1">{"fdsup://Directions/FactSet Auditing Viewer?action=AUDIT_VALUE&amp;DB=129&amp;ID1=023740&amp;VALUEID=02001&amp;SDATE=201001&amp;PERIODTYPE=SEMI_STD&amp;window=popup_no_bar&amp;width=385&amp;height=120&amp;START_MAXIMIZED=FALSE&amp;creator=factset&amp;display_string=Audit"}</definedName>
    <definedName name="_2Q00">[2]WY!$BC$2:$BC$1044</definedName>
    <definedName name="_2Q01">[2]WY!$AW$2:$AW$1044</definedName>
    <definedName name="_2Q02">[2]WY!$AQ$2:$AQ$1044</definedName>
    <definedName name="_2Q03">[2]WY!$AJ$2:$AJ$1044</definedName>
    <definedName name="_2Q91">[2]WY!$DE$2:$DE$1044</definedName>
    <definedName name="_2Q92">[2]WY!$CY$2:$CY$1044</definedName>
    <definedName name="_2Q93">[2]WY!$CS$2:$CS$1044</definedName>
    <definedName name="_2Q94">[2]WY!$CM$2:$CM$1044</definedName>
    <definedName name="_2Q95">[2]WY!$CG$2:$CG$1044</definedName>
    <definedName name="_2Q96">[2]WY!$CA$2:$CA$1044</definedName>
    <definedName name="_2Q97">[2]WY!$BU$2:$BU$1044</definedName>
    <definedName name="_2Q98">[2]WY!$BO$2:$BO$1044</definedName>
    <definedName name="_2Q99">[2]WY!$BI$2:$BI$1044</definedName>
    <definedName name="_3__123Graph_ACHART_3I" hidden="1">[1]Acquisitions!$AO$4:$AU$4</definedName>
    <definedName name="_3__FDSAUDITLINK__" localSheetId="3" hidden="1">{"fdsup://Directions/FactSet Auditing Viewer?action=AUDIT_VALUE&amp;DB=129&amp;ID1=468232&amp;VALUEID=02001&amp;SDATE=200801&amp;PERIODTYPE=SEMI_STD&amp;window=popup_no_bar&amp;width=385&amp;height=120&amp;START_MAXIMIZED=FALSE&amp;creator=factset&amp;display_string=Audit"}</definedName>
    <definedName name="_3__FDSAUDITLINK__" hidden="1">{"fdsup://Directions/FactSet Auditing Viewer?action=AUDIT_VALUE&amp;DB=129&amp;ID1=468232&amp;VALUEID=02001&amp;SDATE=200801&amp;PERIODTYPE=SEMI_STD&amp;window=popup_no_bar&amp;width=385&amp;height=120&amp;START_MAXIMIZED=FALSE&amp;creator=factset&amp;display_string=Audit"}</definedName>
    <definedName name="_30__FDSAUDITLINK__" localSheetId="3" hidden="1">{"fdsup://Directions/FactSet Auditing Viewer?action=AUDIT_VALUE&amp;DB=129&amp;ID1=474171&amp;VALUEID=02001&amp;SDATE=200801&amp;PERIODTYPE=SEMI_STD&amp;window=popup_no_bar&amp;width=385&amp;height=120&amp;START_MAXIMIZED=FALSE&amp;creator=factset&amp;display_string=Audit"}</definedName>
    <definedName name="_30__FDSAUDITLINK__" hidden="1">{"fdsup://Directions/FactSet Auditing Viewer?action=AUDIT_VALUE&amp;DB=129&amp;ID1=474171&amp;VALUEID=02001&amp;SDATE=200801&amp;PERIODTYPE=SEMI_STD&amp;window=popup_no_bar&amp;width=385&amp;height=120&amp;START_MAXIMIZED=FALSE&amp;creator=factset&amp;display_string=Audit"}</definedName>
    <definedName name="_31__FDSAUDITLINK__" localSheetId="3" hidden="1">{"fdsup://Directions/FactSet Auditing Viewer?action=AUDIT_VALUE&amp;DB=129&amp;ID1=474171&amp;VALUEID=02001&amp;SDATE=200701&amp;PERIODTYPE=SEMI_STD&amp;window=popup_no_bar&amp;width=385&amp;height=120&amp;START_MAXIMIZED=FALSE&amp;creator=factset&amp;display_string=Audit"}</definedName>
    <definedName name="_31__FDSAUDITLINK__" hidden="1">{"fdsup://Directions/FactSet Auditing Viewer?action=AUDIT_VALUE&amp;DB=129&amp;ID1=474171&amp;VALUEID=02001&amp;SDATE=200701&amp;PERIODTYPE=SEMI_STD&amp;window=popup_no_bar&amp;width=385&amp;height=120&amp;START_MAXIMIZED=FALSE&amp;creator=factset&amp;display_string=Audit"}</definedName>
    <definedName name="_32__FDSAUDITLINK__" localSheetId="3" hidden="1">{"fdsup://Directions/FactSet Auditing Viewer?action=AUDIT_VALUE&amp;DB=129&amp;ID1=74271810&amp;VALUEID=18809&amp;SDATE=2007&amp;PERIODTYPE=ANN_STD&amp;window=popup_no_bar&amp;width=385&amp;height=120&amp;START_MAXIMIZED=FALSE&amp;creator=factset&amp;display_string=Audit"}</definedName>
    <definedName name="_32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33__FDSAUDITLINK__" localSheetId="3" hidden="1">{"fdsup://Directions/FactSet Auditing Viewer?action=AUDIT_VALUE&amp;DB=129&amp;ID1=60871R20&amp;VALUEID=18809&amp;SDATE=2009&amp;PERIODTYPE=ANN_STD&amp;window=popup_no_bar&amp;width=385&amp;height=120&amp;START_MAXIMIZED=FALSE&amp;creator=factset&amp;display_string=Audit"}</definedName>
    <definedName name="_33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34__FDSAUDITLINK__" localSheetId="3" hidden="1">{"fdsup://Directions/FactSet Auditing Viewer?action=AUDIT_VALUE&amp;DB=129&amp;ID1=60871R20&amp;VALUEID=18809&amp;SDATE=2008&amp;PERIODTYPE=ANN_STD&amp;window=popup_no_bar&amp;width=385&amp;height=120&amp;START_MAXIMIZED=FALSE&amp;creator=factset&amp;display_string=Audit"}</definedName>
    <definedName name="_34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35__FDSAUDITLINK__" localSheetId="3" hidden="1">{"fdsup://Directions/FactSet Auditing Viewer?action=AUDIT_VALUE&amp;DB=129&amp;ID1=60871R20&amp;VALUEID=18809&amp;SDATE=2007&amp;PERIODTYPE=ANN_STD&amp;window=popup_no_bar&amp;width=385&amp;height=120&amp;START_MAXIMIZED=FALSE&amp;creator=factset&amp;display_string=Audit"}</definedName>
    <definedName name="_35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36__FDSAUDITLINK__" localSheetId="3" hidden="1">{"fdsup://Directions/FactSet Auditing Viewer?action=AUDIT_VALUE&amp;DB=129&amp;ID1=60871R20&amp;VALUEID=18809&amp;SDATE=2005&amp;PERIODTYPE=ANN_STD&amp;window=popup_no_bar&amp;width=385&amp;height=120&amp;START_MAXIMIZED=FALSE&amp;creator=factset&amp;display_string=Audit"}</definedName>
    <definedName name="_36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37__FDSAUDITLINK__" localSheetId="3" hidden="1">{"fdsup://Directions/FactSet Auditing Viewer?action=AUDIT_VALUE&amp;DB=129&amp;ID1=21036P10&amp;VALUEID=18809&amp;SDATE=2008&amp;PERIODTYPE=ANN_STD&amp;window=popup_no_bar&amp;width=385&amp;height=120&amp;START_MAXIMIZED=FALSE&amp;creator=factset&amp;display_string=Audit"}</definedName>
    <definedName name="_37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38__FDSAUDITLINK__" localSheetId="3" hidden="1">{"fdsup://Directions/FactSet Auditing Viewer?action=AUDIT_VALUE&amp;DB=129&amp;ID1=21036P10&amp;VALUEID=18809&amp;SDATE=2007&amp;PERIODTYPE=ANN_STD&amp;window=popup_no_bar&amp;width=385&amp;height=120&amp;START_MAXIMIZED=FALSE&amp;creator=factset&amp;display_string=Audit"}</definedName>
    <definedName name="_38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39__FDSAUDITLINK__" localSheetId="3" hidden="1">{"fdsup://Directions/FactSet Auditing Viewer?action=AUDIT_VALUE&amp;DB=129&amp;ID1=21036P10&amp;VALUEID=18809&amp;SDATE=2006&amp;PERIODTYPE=ANN_STD&amp;window=popup_no_bar&amp;width=385&amp;height=120&amp;START_MAXIMIZED=FALSE&amp;creator=factset&amp;display_string=Audit"}</definedName>
    <definedName name="_39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3Q00">[2]WY!$BD$2:$BD$1044</definedName>
    <definedName name="_3Q01">[2]WY!$AX$2:$AX$1044</definedName>
    <definedName name="_3Q02">[2]WY!$AR$2:$AR$1044</definedName>
    <definedName name="_3Q03">[2]WY!$AK$2:$AK$1044</definedName>
    <definedName name="_3Q91">[2]WY!$DF$2:$DF$1044</definedName>
    <definedName name="_3Q92">[2]WY!$CZ$2:$CZ$1044</definedName>
    <definedName name="_3Q93">[2]WY!$CT$2:$CT$1044</definedName>
    <definedName name="_3Q94">[2]WY!$CN$2:$CN$1044</definedName>
    <definedName name="_3Q95">[2]WY!$CH$2:$CH$1044</definedName>
    <definedName name="_3Q96">[2]WY!$CB$2:$CB$1044</definedName>
    <definedName name="_3Q97">[2]WY!$BV$2:$BV$1044</definedName>
    <definedName name="_3Q98">[2]WY!$BP$2:$BP$1044</definedName>
    <definedName name="_3Q99">[2]WY!$BJ$2:$BJ$1044</definedName>
    <definedName name="_4__FDSAUDITLINK__" localSheetId="3" hidden="1">{"fdsup://Directions/FactSet Auditing Viewer?action=AUDIT_VALUE&amp;DB=129&amp;ID1=468232&amp;VALUEID=02001&amp;SDATE=200701&amp;PERIODTYPE=SEMI_STD&amp;window=popup_no_bar&amp;width=385&amp;height=120&amp;START_MAXIMIZED=FALSE&amp;creator=factset&amp;display_string=Audit"}</definedName>
    <definedName name="_4__FDSAUDITLINK__" hidden="1">{"fdsup://Directions/FactSet Auditing Viewer?action=AUDIT_VALUE&amp;DB=129&amp;ID1=468232&amp;VALUEID=02001&amp;SDATE=200701&amp;PERIODTYPE=SEMI_STD&amp;window=popup_no_bar&amp;width=385&amp;height=120&amp;START_MAXIMIZED=FALSE&amp;creator=factset&amp;display_string=Audit"}</definedName>
    <definedName name="_40__FDSAUDITLINK__" localSheetId="3" hidden="1">{"fdsup://Directions/FactSet Auditing Viewer?action=AUDIT_VALUE&amp;DB=129&amp;ID1=21036P10&amp;VALUEID=18809&amp;SDATE=2005&amp;PERIODTYPE=ANN_STD&amp;window=popup_no_bar&amp;width=385&amp;height=120&amp;START_MAXIMIZED=FALSE&amp;creator=factset&amp;display_string=Audit"}</definedName>
    <definedName name="_40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41__FDSAUDITLINK__" localSheetId="3" hidden="1">{"fdsup://Directions/FactSet Auditing Viewer?action=AUDIT_VALUE&amp;DB=129&amp;ID1=60871R20&amp;VALUEID=18807&amp;SDATE=2009&amp;PERIODTYPE=ANN_STD&amp;window=popup_no_bar&amp;width=385&amp;height=120&amp;START_MAXIMIZED=FALSE&amp;creator=factset&amp;display_string=Audit"}</definedName>
    <definedName name="_41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42__FDSAUDITLINK__" localSheetId="3" hidden="1">{"fdsup://Directions/FactSet Auditing Viewer?action=AUDIT_VALUE&amp;DB=129&amp;ID1=60871R20&amp;VALUEID=18807&amp;SDATE=2008&amp;PERIODTYPE=ANN_STD&amp;window=popup_no_bar&amp;width=385&amp;height=120&amp;START_MAXIMIZED=FALSE&amp;creator=factset&amp;display_string=Audit"}</definedName>
    <definedName name="_42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43__FDSAUDITLINK__" localSheetId="3" hidden="1">{"fdsup://Directions/FactSet Auditing Viewer?action=AUDIT_VALUE&amp;DB=129&amp;ID1=60871R20&amp;VALUEID=18807&amp;SDATE=2007&amp;PERIODTYPE=ANN_STD&amp;window=popup_no_bar&amp;width=385&amp;height=120&amp;START_MAXIMIZED=FALSE&amp;creator=factset&amp;display_string=Audit"}</definedName>
    <definedName name="_43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44__FDSAUDITLINK__" localSheetId="3" hidden="1">{"fdsup://Directions/FactSet Auditing Viewer?action=AUDIT_VALUE&amp;DB=129&amp;ID1=60871R20&amp;VALUEID=18807&amp;SDATE=2005&amp;PERIODTYPE=ANN_STD&amp;window=popup_no_bar&amp;width=385&amp;height=120&amp;START_MAXIMIZED=FALSE&amp;creator=factset&amp;display_string=Audit"}</definedName>
    <definedName name="_44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45__FDSAUDITLINK__" localSheetId="3" hidden="1">{"fdsup://Directions/FactSet Auditing Viewer?action=AUDIT_VALUE&amp;DB=129&amp;ID1=21036P10&amp;VALUEID=18807&amp;SDATE=2008&amp;PERIODTYPE=ANN_STD&amp;window=popup_no_bar&amp;width=385&amp;height=120&amp;START_MAXIMIZED=FALSE&amp;creator=factset&amp;display_string=Audit"}</definedName>
    <definedName name="_45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46__FDSAUDITLINK__" localSheetId="3" hidden="1">{"fdsup://Directions/FactSet Auditing Viewer?action=AUDIT_VALUE&amp;DB=129&amp;ID1=21036P10&amp;VALUEID=18807&amp;SDATE=2007&amp;PERIODTYPE=ANN_STD&amp;window=popup_no_bar&amp;width=385&amp;height=120&amp;START_MAXIMIZED=FALSE&amp;creator=factset&amp;display_string=Audit"}</definedName>
    <definedName name="_46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47__FDSAUDITLINK__" localSheetId="3" hidden="1">{"fdsup://Directions/FactSet Auditing Viewer?action=AUDIT_VALUE&amp;DB=129&amp;ID1=21036P10&amp;VALUEID=18807&amp;SDATE=2006&amp;PERIODTYPE=ANN_STD&amp;window=popup_no_bar&amp;width=385&amp;height=120&amp;START_MAXIMIZED=FALSE&amp;creator=factset&amp;display_string=Audit"}</definedName>
    <definedName name="_47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48__FDSAUDITLINK__" localSheetId="3" hidden="1">{"fdsup://Directions/FactSet Auditing Viewer?action=AUDIT_VALUE&amp;DB=129&amp;ID1=21036P10&amp;VALUEID=18807&amp;SDATE=2005&amp;PERIODTYPE=ANN_STD&amp;window=popup_no_bar&amp;width=385&amp;height=120&amp;START_MAXIMIZED=FALSE&amp;creator=factset&amp;display_string=Audit"}</definedName>
    <definedName name="_48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49__FDSAUDITLINK__" localSheetId="3" hidden="1">{"fdsup://Directions/FactSet Auditing Viewer?action=AUDIT_VALUE&amp;DB=129&amp;ID1=76171310&amp;VALUEID=02001&amp;SDATE=201003&amp;PERIODTYPE=QTR_STD&amp;window=popup_no_bar&amp;width=385&amp;height=120&amp;START_MAXIMIZED=FALSE&amp;creator=factset&amp;display_string=Audit"}</definedName>
    <definedName name="_49__FDSAUDITLINK__" hidden="1">{"fdsup://Directions/FactSet Auditing Viewer?action=AUDIT_VALUE&amp;DB=129&amp;ID1=76171310&amp;VALUEID=02001&amp;SDATE=201003&amp;PERIODTYPE=QTR_STD&amp;window=popup_no_bar&amp;width=385&amp;height=120&amp;START_MAXIMIZED=FALSE&amp;creator=factset&amp;display_string=Audit"}</definedName>
    <definedName name="_4Q00">[2]WY!$BE$2:$BE$1044</definedName>
    <definedName name="_4Q01">[2]WY!$AY$2:$AY$1044</definedName>
    <definedName name="_4Q02">[2]WY!$AS$2:$AS$1044</definedName>
    <definedName name="_4Q03">[2]WY!$AL$2:$AL$1044</definedName>
    <definedName name="_4Q91">[2]WY!$DG$2:$DG$1044</definedName>
    <definedName name="_4Q92">[2]WY!$DA$2:$DA$1044</definedName>
    <definedName name="_4Q93">[2]WY!$CU$2:$CU$1044</definedName>
    <definedName name="_4Q94">[2]WY!$CO$2:$CO$1044</definedName>
    <definedName name="_4Q95">[2]WY!$CI$2:$CI$1044</definedName>
    <definedName name="_4Q96">[2]WY!$CC$2:$CC$1044</definedName>
    <definedName name="_4Q97">[2]WY!$BW$2:$BW$1044</definedName>
    <definedName name="_4Q98">[2]WY!$BQ$2:$BQ$1044</definedName>
    <definedName name="_4Q99">[2]WY!$BK$2:$BK$1044</definedName>
    <definedName name="_5__FDSAUDITLINK__" localSheetId="3" hidden="1">{"fdsup://Directions/FactSet Auditing Viewer?action=AUDIT_VALUE&amp;DB=129&amp;ID1=023740&amp;VALUEID=02001&amp;SDATE=201001&amp;PERIODTYPE=SEMI_STD&amp;window=popup_no_bar&amp;width=385&amp;height=120&amp;START_MAXIMIZED=FALSE&amp;creator=factset&amp;display_string=Audit"}</definedName>
    <definedName name="_5__FDSAUDITLINK__" hidden="1">{"fdsup://Directions/FactSet Auditing Viewer?action=AUDIT_VALUE&amp;DB=129&amp;ID1=023740&amp;VALUEID=02001&amp;SDATE=201001&amp;PERIODTYPE=SEMI_STD&amp;window=popup_no_bar&amp;width=385&amp;height=120&amp;START_MAXIMIZED=FALSE&amp;creator=factset&amp;display_string=Audit"}</definedName>
    <definedName name="_50__FDSAUDITLINK__" localSheetId="3" hidden="1">{"fdsup://Directions/FactSet Auditing Viewer?action=AUDIT_VALUE&amp;DB=129&amp;ID1=54414710&amp;VALUEID=02001&amp;SDATE=201002&amp;PERIODTYPE=QTR_STD&amp;window=popup_no_bar&amp;width=385&amp;height=120&amp;START_MAXIMIZED=FALSE&amp;creator=factset&amp;display_string=Audit"}</definedName>
    <definedName name="_50__FDSAUDITLINK__" hidden="1">{"fdsup://Directions/FactSet Auditing Viewer?action=AUDIT_VALUE&amp;DB=129&amp;ID1=54414710&amp;VALUEID=02001&amp;SDATE=201002&amp;PERIODTYPE=QTR_STD&amp;window=popup_no_bar&amp;width=385&amp;height=120&amp;START_MAXIMIZED=FALSE&amp;creator=factset&amp;display_string=Audit"}</definedName>
    <definedName name="_51__FDSAUDITLINK__" localSheetId="3" hidden="1">{"fdsup://Directions/FactSet Auditing Viewer?action=AUDIT_VALUE&amp;DB=129&amp;ID1=42307410&amp;VALUEID=02001&amp;SDATE=201001&amp;PERIODTYPE=QTR_STD&amp;window=popup_no_bar&amp;width=385&amp;height=120&amp;START_MAXIMIZED=FALSE&amp;creator=factset&amp;display_string=Audit"}</definedName>
    <definedName name="_51__FDSAUDITLINK__" hidden="1">{"fdsup://Directions/FactSet Auditing Viewer?action=AUDIT_VALUE&amp;DB=129&amp;ID1=42307410&amp;VALUEID=02001&amp;SDATE=201001&amp;PERIODTYPE=QTR_STD&amp;window=popup_no_bar&amp;width=385&amp;height=120&amp;START_MAXIMIZED=FALSE&amp;creator=factset&amp;display_string=Audit"}</definedName>
    <definedName name="_52__FDSAUDITLINK__" localSheetId="3" hidden="1">{"fdsup://Directions/FactSet Auditing Viewer?action=AUDIT_VALUE&amp;DB=129&amp;ID1=13442910&amp;VALUEID=02001&amp;SDATE=201004&amp;PERIODTYPE=QTR_STD&amp;window=popup_no_bar&amp;width=385&amp;height=120&amp;START_MAXIMIZED=FALSE&amp;creator=factset&amp;display_string=Audit"}</definedName>
    <definedName name="_52__FDSAUDITLINK__" hidden="1">{"fdsup://Directions/FactSet Auditing Viewer?action=AUDIT_VALUE&amp;DB=129&amp;ID1=13442910&amp;VALUEID=02001&amp;SDATE=201004&amp;PERIODTYPE=QTR_STD&amp;window=popup_no_bar&amp;width=385&amp;height=120&amp;START_MAXIMIZED=FALSE&amp;creator=factset&amp;display_string=Audit"}</definedName>
    <definedName name="_53__FDSAUDITLINK__" localSheetId="3" hidden="1">{"fdsup://Directions/FactSet Auditing Viewer?action=AUDIT_VALUE&amp;DB=129&amp;ID1=48783610&amp;VALUEID=02001&amp;SDATE=201002&amp;PERIODTYPE=QTR_STD&amp;window=popup_no_bar&amp;width=385&amp;height=120&amp;START_MAXIMIZED=FALSE&amp;creator=factset&amp;display_string=Audit"}</definedName>
    <definedName name="_53__FDSAUDITLINK__" hidden="1">{"fdsup://Directions/FactSet Auditing Viewer?action=AUDIT_VALUE&amp;DB=129&amp;ID1=48783610&amp;VALUEID=02001&amp;SDATE=201002&amp;PERIODTYPE=QTR_STD&amp;window=popup_no_bar&amp;width=385&amp;height=120&amp;START_MAXIMIZED=FALSE&amp;creator=factset&amp;display_string=Audit"}</definedName>
    <definedName name="_54__FDSAUDITLINK__" localSheetId="3" hidden="1">{"fdsup://Directions/FactSet Auditing Viewer?action=AUDIT_VALUE&amp;DB=129&amp;ID1=60871R20&amp;VALUEID=02001&amp;SDATE=201002&amp;PERIODTYPE=QTR_STD&amp;window=popup_no_bar&amp;width=385&amp;height=120&amp;START_MAXIMIZED=FALSE&amp;creator=factset&amp;display_string=Audit"}</definedName>
    <definedName name="_54__FDSAUDITLINK__" hidden="1">{"fdsup://Directions/FactSet Auditing Viewer?action=AUDIT_VALUE&amp;DB=129&amp;ID1=60871R20&amp;VALUEID=02001&amp;SDATE=201002&amp;PERIODTYPE=QTR_STD&amp;window=popup_no_bar&amp;width=385&amp;height=120&amp;START_MAXIMIZED=FALSE&amp;creator=factset&amp;display_string=Audit"}</definedName>
    <definedName name="_55__FDSAUDITLINK__" localSheetId="3" hidden="1">{"fdsup://Directions/FactSet Auditing Viewer?action=AUDIT_VALUE&amp;DB=129&amp;ID1=34963110&amp;VALUEID=02001&amp;SDATE=201002&amp;PERIODTYPE=QTR_STD&amp;window=popup_no_bar&amp;width=385&amp;height=120&amp;START_MAXIMIZED=FALSE&amp;creator=factset&amp;display_string=Audit"}</definedName>
    <definedName name="_55__FDSAUDITLINK__" hidden="1">{"fdsup://Directions/FactSet Auditing Viewer?action=AUDIT_VALUE&amp;DB=129&amp;ID1=34963110&amp;VALUEID=02001&amp;SDATE=201002&amp;PERIODTYPE=QTR_STD&amp;window=popup_no_bar&amp;width=385&amp;height=120&amp;START_MAXIMIZED=FALSE&amp;creator=factset&amp;display_string=Audit"}</definedName>
    <definedName name="_56__FDSAUDITLINK__" localSheetId="3" hidden="1">{"fdsup://Directions/FactSet Auditing Viewer?action=AUDIT_VALUE&amp;DB=129&amp;ID1=21036P10&amp;VALUEID=02001&amp;SDATE=201002&amp;PERIODTYPE=QTR_STD&amp;window=popup_no_bar&amp;width=385&amp;height=120&amp;START_MAXIMIZED=FALSE&amp;creator=factset&amp;display_string=Audit"}</definedName>
    <definedName name="_56__FDSAUDITLINK__" hidden="1">{"fdsup://Directions/FactSet Auditing Viewer?action=AUDIT_VALUE&amp;DB=129&amp;ID1=21036P10&amp;VALUEID=02001&amp;SDATE=201002&amp;PERIODTYPE=QTR_STD&amp;window=popup_no_bar&amp;width=385&amp;height=120&amp;START_MAXIMIZED=FALSE&amp;creator=factset&amp;display_string=Audit"}</definedName>
    <definedName name="_57__FDSAUDITLINK__" localSheetId="3" hidden="1">{"fdsup://Directions/FactSet Auditing Viewer?action=AUDIT_VALUE&amp;DB=129&amp;ID1=11563720&amp;VALUEID=02001&amp;SDATE=201001&amp;PERIODTYPE=QTR_STD&amp;window=popup_no_bar&amp;width=385&amp;height=120&amp;START_MAXIMIZED=FALSE&amp;creator=factset&amp;display_string=Audit"}</definedName>
    <definedName name="_57__FDSAUDITLINK__" hidden="1">{"fdsup://Directions/FactSet Auditing Viewer?action=AUDIT_VALUE&amp;DB=129&amp;ID1=11563720&amp;VALUEID=02001&amp;SDATE=201001&amp;PERIODTYPE=QTR_STD&amp;window=popup_no_bar&amp;width=385&amp;height=120&amp;START_MAXIMIZED=FALSE&amp;creator=factset&amp;display_string=Audit"}</definedName>
    <definedName name="_58__FDSAUDITLINK__" localSheetId="3" hidden="1">{"fdsup://Directions/FactSet Auditing Viewer?action=AUDIT_VALUE&amp;DB=129&amp;ID1=18905410&amp;VALUEID=02001&amp;SDATE=201004&amp;PERIODTYPE=QTR_STD&amp;window=popup_no_bar&amp;width=385&amp;height=120&amp;START_MAXIMIZED=FALSE&amp;creator=factset&amp;display_string=Audit"}</definedName>
    <definedName name="_58__FDSAUDITLINK__" hidden="1">{"fdsup://Directions/FactSet Auditing Viewer?action=AUDIT_VALUE&amp;DB=129&amp;ID1=18905410&amp;VALUEID=02001&amp;SDATE=201004&amp;PERIODTYPE=QTR_STD&amp;window=popup_no_bar&amp;width=385&amp;height=120&amp;START_MAXIMIZED=FALSE&amp;creator=factset&amp;display_string=Audit"}</definedName>
    <definedName name="_59__FDSAUDITLINK__" localSheetId="3" hidden="1">{"fdsup://Directions/FactSet Auditing Viewer?action=AUDIT_VALUE&amp;DB=129&amp;ID1=05430310&amp;VALUEID=02001&amp;SDATE=201002&amp;PERIODTYPE=QTR_STD&amp;window=popup_no_bar&amp;width=385&amp;height=120&amp;START_MAXIMIZED=FALSE&amp;creator=factset&amp;display_string=Audit"}</definedName>
    <definedName name="_59__FDSAUDITLINK__" hidden="1">{"fdsup://Directions/FactSet Auditing Viewer?action=AUDIT_VALUE&amp;DB=129&amp;ID1=05430310&amp;VALUEID=02001&amp;SDATE=201002&amp;PERIODTYPE=QTR_STD&amp;window=popup_no_bar&amp;width=385&amp;height=120&amp;START_MAXIMIZED=FALSE&amp;creator=factset&amp;display_string=Audit"}</definedName>
    <definedName name="_6__FDSAUDITLINK__" localSheetId="3" hidden="1">{"fdsup://Directions/FactSet Auditing Viewer?action=AUDIT_VALUE&amp;DB=129&amp;ID1=474171&amp;VALUEID=02001&amp;SDATE=200801&amp;PERIODTYPE=SEMI_STD&amp;window=popup_no_bar&amp;width=385&amp;height=120&amp;START_MAXIMIZED=FALSE&amp;creator=factset&amp;display_string=Audit"}</definedName>
    <definedName name="_6__FDSAUDITLINK__" hidden="1">{"fdsup://Directions/FactSet Auditing Viewer?action=AUDIT_VALUE&amp;DB=129&amp;ID1=474171&amp;VALUEID=02001&amp;SDATE=200801&amp;PERIODTYPE=SEMI_STD&amp;window=popup_no_bar&amp;width=385&amp;height=120&amp;START_MAXIMIZED=FALSE&amp;creator=factset&amp;display_string=Audit"}</definedName>
    <definedName name="_60__FDSAUDITLINK__" localSheetId="3" hidden="1">{"fdsup://Directions/FactSet Auditing Viewer?action=AUDIT_VALUE&amp;DB=129&amp;ID1=19121610&amp;VALUEID=02001&amp;SDATE=201003&amp;PERIODTYPE=QTR_STD&amp;window=popup_no_bar&amp;width=385&amp;height=120&amp;START_MAXIMIZED=FALSE&amp;creator=factset&amp;display_string=Audit"}</definedName>
    <definedName name="_60__FDSAUDITLINK__" hidden="1">{"fdsup://Directions/FactSet Auditing Viewer?action=AUDIT_VALUE&amp;DB=129&amp;ID1=19121610&amp;VALUEID=02001&amp;SDATE=201003&amp;PERIODTYPE=QTR_STD&amp;window=popup_no_bar&amp;width=385&amp;height=120&amp;START_MAXIMIZED=FALSE&amp;creator=factset&amp;display_string=Audit"}</definedName>
    <definedName name="_61__FDSAUDITLINK__" localSheetId="3" hidden="1">{"fdsup://Directions/FactSet Auditing Viewer?action=AUDIT_VALUE&amp;DB=129&amp;ID1=71344810&amp;VALUEID=02001&amp;SDATE=201003&amp;PERIODTYPE=QTR_STD&amp;window=popup_no_bar&amp;width=385&amp;height=120&amp;START_MAXIMIZED=FALSE&amp;creator=factset&amp;display_string=Audit"}</definedName>
    <definedName name="_61__FDSAUDITLINK__" hidden="1">{"fdsup://Directions/FactSet Auditing Viewer?action=AUDIT_VALUE&amp;DB=129&amp;ID1=71344810&amp;VALUEID=02001&amp;SDATE=201003&amp;PERIODTYPE=QTR_STD&amp;window=popup_no_bar&amp;width=385&amp;height=120&amp;START_MAXIMIZED=FALSE&amp;creator=factset&amp;display_string=Audit"}</definedName>
    <definedName name="_62__FDSAUDITLINK__" localSheetId="3" hidden="1">{"fdsup://Directions/FactSet Auditing Viewer?action=AUDIT_VALUE&amp;DB=129&amp;ID1=405780&amp;VALUEID=02001&amp;SDATE=201001&amp;PERIODTYPE=SEMI_STD&amp;window=popup_no_bar&amp;width=385&amp;height=120&amp;START_MAXIMIZED=FALSE&amp;creator=factset&amp;display_string=Audit"}</definedName>
    <definedName name="_62__FDSAUDITLINK__" hidden="1">{"fdsup://Directions/FactSet Auditing Viewer?action=AUDIT_VALUE&amp;DB=129&amp;ID1=405780&amp;VALUEID=02001&amp;SDATE=201001&amp;PERIODTYPE=SEMI_STD&amp;window=popup_no_bar&amp;width=385&amp;height=120&amp;START_MAXIMIZED=FALSE&amp;creator=factset&amp;display_string=Audit"}</definedName>
    <definedName name="_63__FDSAUDITLINK__" localSheetId="3" hidden="1">{"fdsup://Directions/FactSet Auditing Viewer?action=AUDIT_VALUE&amp;DB=129&amp;ID1=19416210&amp;VALUEID=02001&amp;SDATE=201002&amp;PERIODTYPE=QTR_STD&amp;window=popup_no_bar&amp;width=385&amp;height=120&amp;START_MAXIMIZED=FALSE&amp;creator=factset&amp;display_string=Audit"}</definedName>
    <definedName name="_63__FDSAUDITLINK__" hidden="1">{"fdsup://Directions/FactSet Auditing Viewer?action=AUDIT_VALUE&amp;DB=129&amp;ID1=19416210&amp;VALUEID=02001&amp;SDATE=201002&amp;PERIODTYPE=QTR_STD&amp;window=popup_no_bar&amp;width=385&amp;height=120&amp;START_MAXIMIZED=FALSE&amp;creator=factset&amp;display_string=Audit"}</definedName>
    <definedName name="_64__FDSAUDITLINK__" localSheetId="3" hidden="1">{"fdsup://Directions/FactSet Auditing Viewer?action=AUDIT_VALUE&amp;DB=129&amp;ID1=B12T3J&amp;VALUEID=02001&amp;SDATE=201002&amp;PERIODTYPE=QTR_STD&amp;window=popup_no_bar&amp;width=385&amp;height=120&amp;START_MAXIMIZED=FALSE&amp;creator=factset&amp;display_string=Audit"}</definedName>
    <definedName name="_64__FDSAUDITLINK__" hidden="1">{"fdsup://Directions/FactSet Auditing Viewer?action=AUDIT_VALUE&amp;DB=129&amp;ID1=B12T3J&amp;VALUEID=02001&amp;SDATE=201002&amp;PERIODTYPE=QTR_STD&amp;window=popup_no_bar&amp;width=385&amp;height=120&amp;START_MAXIMIZED=FALSE&amp;creator=factset&amp;display_string=Audit"}</definedName>
    <definedName name="_65__FDSAUDITLINK__" localSheetId="3" hidden="1">{"fdsup://Directions/FactSet Auditing Viewer?action=AUDIT_VALUE&amp;DB=129&amp;ID1=74271810&amp;VALUEID=02001&amp;SDATE=201004&amp;PERIODTYPE=QTR_STD&amp;window=popup_no_bar&amp;width=385&amp;height=120&amp;START_MAXIMIZED=FALSE&amp;creator=factset&amp;display_string=Audit"}</definedName>
    <definedName name="_65__FDSAUDITLINK__" hidden="1">{"fdsup://Directions/FactSet Auditing Viewer?action=AUDIT_VALUE&amp;DB=129&amp;ID1=74271810&amp;VALUEID=02001&amp;SDATE=201004&amp;PERIODTYPE=QTR_STD&amp;window=popup_no_bar&amp;width=385&amp;height=120&amp;START_MAXIMIZED=FALSE&amp;creator=factset&amp;display_string=Audit"}</definedName>
    <definedName name="_66__FDSAUDITLINK__" localSheetId="3" hidden="1">{"fdsup://Directions/FactSet Auditing Viewer?action=AUDIT_VALUE&amp;DB=129&amp;ID1=02209S10&amp;VALUEID=02001&amp;SDATE=201003&amp;PERIODTYPE=QTR_STD&amp;window=popup_no_bar&amp;width=385&amp;height=120&amp;START_MAXIMIZED=FALSE&amp;creator=factset&amp;display_string=Audit"}</definedName>
    <definedName name="_66__FDSAUDITLINK__" hidden="1">{"fdsup://Directions/FactSet Auditing Viewer?action=AUDIT_VALUE&amp;DB=129&amp;ID1=02209S10&amp;VALUEID=02001&amp;SDATE=201003&amp;PERIODTYPE=QTR_STD&amp;window=popup_no_bar&amp;width=385&amp;height=120&amp;START_MAXIMIZED=FALSE&amp;creator=factset&amp;display_string=Audit"}</definedName>
    <definedName name="_67__FDSAUDITLINK__" localSheetId="3" hidden="1">{"fdsup://Directions/FactSet Auditing Viewer?action=AUDIT_VALUE&amp;DB=129&amp;ID1=37033410&amp;VALUEID=02001&amp;SDATE=201001&amp;PERIODTYPE=QTR_STD&amp;window=popup_no_bar&amp;width=385&amp;height=120&amp;START_MAXIMIZED=FALSE&amp;creator=factset&amp;display_string=Audit"}</definedName>
    <definedName name="_67__FDSAUDITLINK__" hidden="1">{"fdsup://Directions/FactSet Auditing Viewer?action=AUDIT_VALUE&amp;DB=129&amp;ID1=37033410&amp;VALUEID=02001&amp;SDATE=201001&amp;PERIODTYPE=QTR_STD&amp;window=popup_no_bar&amp;width=385&amp;height=120&amp;START_MAXIMIZED=FALSE&amp;creator=factset&amp;display_string=Audit"}</definedName>
    <definedName name="_68__FDSAUDITLINK__" localSheetId="3" hidden="1">{"fdsup://Directions/FactSet Auditing Viewer?action=AUDIT_VALUE&amp;DB=129&amp;ID1=023740&amp;VALUEID=02001&amp;SDATE=201002&amp;PERIODTYPE=SEMI_STD&amp;window=popup_no_bar&amp;width=385&amp;height=120&amp;START_MAXIMIZED=FALSE&amp;creator=factset&amp;display_string=Audit"}</definedName>
    <definedName name="_68__FDSAUDITLINK__" hidden="1">{"fdsup://Directions/FactSet Auditing Viewer?action=AUDIT_VALUE&amp;DB=129&amp;ID1=023740&amp;VALUEID=02001&amp;SDATE=201002&amp;PERIODTYPE=SEMI_STD&amp;window=popup_no_bar&amp;width=385&amp;height=120&amp;START_MAXIMIZED=FALSE&amp;creator=factset&amp;display_string=Audit"}</definedName>
    <definedName name="_69__FDSAUDITLINK__" localSheetId="3" hidden="1">{"fdsup://Directions/FactSet Auditing Viewer?action=AUDIT_VALUE&amp;DB=129&amp;ID1=779255&amp;VALUEID=02001&amp;SDATE=201001&amp;PERIODTYPE=SEMI_STD&amp;window=popup_no_bar&amp;width=385&amp;height=120&amp;START_MAXIMIZED=FALSE&amp;creator=factset&amp;display_string=Audit"}</definedName>
    <definedName name="_69__FDSAUDITLINK__" hidden="1">{"fdsup://Directions/FactSet Auditing Viewer?action=AUDIT_VALUE&amp;DB=129&amp;ID1=779255&amp;VALUEID=02001&amp;SDATE=201001&amp;PERIODTYPE=SEMI_STD&amp;window=popup_no_bar&amp;width=385&amp;height=120&amp;START_MAXIMIZED=FALSE&amp;creator=factset&amp;display_string=Audit"}</definedName>
    <definedName name="_7__123Graph_BCHART_1E" hidden="1">[1]Aerospace!$AJ$342:$AJ$355</definedName>
    <definedName name="_7__FDSAUDITLINK__" localSheetId="3" hidden="1">{"fdsup://Directions/FactSet Auditing Viewer?action=AUDIT_VALUE&amp;DB=129&amp;ID1=474171&amp;VALUEID=02001&amp;SDATE=200701&amp;PERIODTYPE=SEMI_STD&amp;window=popup_no_bar&amp;width=385&amp;height=120&amp;START_MAXIMIZED=FALSE&amp;creator=factset&amp;display_string=Audit"}</definedName>
    <definedName name="_7__FDSAUDITLINK__" hidden="1">{"fdsup://Directions/FactSet Auditing Viewer?action=AUDIT_VALUE&amp;DB=129&amp;ID1=474171&amp;VALUEID=02001&amp;SDATE=200701&amp;PERIODTYPE=SEMI_STD&amp;window=popup_no_bar&amp;width=385&amp;height=120&amp;START_MAXIMIZED=FALSE&amp;creator=factset&amp;display_string=Audit"}</definedName>
    <definedName name="_70__FDSAUDITLINK__" localSheetId="3" hidden="1">{"fdsup://Directions/FactSet Auditing Viewer?action=AUDIT_VALUE&amp;DB=129&amp;ID1=50075N10&amp;VALUEID=02001&amp;SDATE=201002&amp;PERIODTYPE=QTR_STD&amp;window=popup_no_bar&amp;width=385&amp;height=120&amp;START_MAXIMIZED=FALSE&amp;creator=factset&amp;display_string=Audit"}</definedName>
    <definedName name="_70__FDSAUDITLINK__" hidden="1">{"fdsup://Directions/FactSet Auditing Viewer?action=AUDIT_VALUE&amp;DB=129&amp;ID1=50075N10&amp;VALUEID=02001&amp;SDATE=201002&amp;PERIODTYPE=QTR_STD&amp;window=popup_no_bar&amp;width=385&amp;height=120&amp;START_MAXIMIZED=FALSE&amp;creator=factset&amp;display_string=Audit"}</definedName>
    <definedName name="_71__FDSAUDITLINK__" localSheetId="3" hidden="1">{"fdsup://Directions/FactSet Auditing Viewer?action=AUDIT_VALUE&amp;DB=129&amp;ID1=475531&amp;VALUEID=02001&amp;SDATE=201002&amp;PERIODTYPE=QTR_STD&amp;window=popup_no_bar&amp;width=385&amp;height=120&amp;START_MAXIMIZED=FALSE&amp;creator=factset&amp;display_string=Audit"}</definedName>
    <definedName name="_71__FDSAUDITLINK__" hidden="1">{"fdsup://Directions/FactSet Auditing Viewer?action=AUDIT_VALUE&amp;DB=129&amp;ID1=475531&amp;VALUEID=02001&amp;SDATE=201002&amp;PERIODTYPE=QTR_STD&amp;window=popup_no_bar&amp;width=385&amp;height=120&amp;START_MAXIMIZED=FALSE&amp;creator=factset&amp;display_string=Audit"}</definedName>
    <definedName name="_72__FDSAUDITLINK__" localSheetId="3" hidden="1">{"fdsup://Directions/FactSet Auditing Viewer?action=AUDIT_VALUE&amp;DB=129&amp;ID1=60871R20&amp;VALUEID=18809&amp;SDATE=2007&amp;PERIODTYPE=ANN_STD&amp;window=popup_no_bar&amp;width=385&amp;height=120&amp;START_MAXIMIZED=FALSE&amp;creator=factset&amp;display_string=Audit"}</definedName>
    <definedName name="_72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73__FDSAUDITLINK__" localSheetId="3" hidden="1">{"fdsup://Directions/FactSet Auditing Viewer?action=AUDIT_VALUE&amp;DB=129&amp;ID1=60871R20&amp;VALUEID=18809&amp;SDATE=2005&amp;PERIODTYPE=ANN_STD&amp;window=popup_no_bar&amp;width=385&amp;height=120&amp;START_MAXIMIZED=FALSE&amp;creator=factset&amp;display_string=Audit"}</definedName>
    <definedName name="_73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74__FDSAUDITLINK__" localSheetId="3" hidden="1">{"fdsup://Directions/FactSet Auditing Viewer?action=AUDIT_VALUE&amp;DB=129&amp;ID1=21036P10&amp;VALUEID=18809&amp;SDATE=2008&amp;PERIODTYPE=ANN_STD&amp;window=popup_no_bar&amp;width=385&amp;height=120&amp;START_MAXIMIZED=FALSE&amp;creator=factset&amp;display_string=Audit"}</definedName>
    <definedName name="_74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75__FDSAUDITLINK__" localSheetId="3" hidden="1">{"fdsup://Directions/FactSet Auditing Viewer?action=AUDIT_VALUE&amp;DB=129&amp;ID1=21036P10&amp;VALUEID=18809&amp;SDATE=2007&amp;PERIODTYPE=ANN_STD&amp;window=popup_no_bar&amp;width=385&amp;height=120&amp;START_MAXIMIZED=FALSE&amp;creator=factset&amp;display_string=Audit"}</definedName>
    <definedName name="_75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76__FDSAUDITLINK__" localSheetId="3" hidden="1">{"fdsup://Directions/FactSet Auditing Viewer?action=AUDIT_VALUE&amp;DB=129&amp;ID1=21036P10&amp;VALUEID=18809&amp;SDATE=2006&amp;PERIODTYPE=ANN_STD&amp;window=popup_no_bar&amp;width=385&amp;height=120&amp;START_MAXIMIZED=FALSE&amp;creator=factset&amp;display_string=Audit"}</definedName>
    <definedName name="_76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77__FDSAUDITLINK__" localSheetId="3" hidden="1">{"fdsup://Directions/FactSet Auditing Viewer?action=AUDIT_VALUE&amp;DB=129&amp;ID1=21036P10&amp;VALUEID=18809&amp;SDATE=2005&amp;PERIODTYPE=ANN_STD&amp;window=popup_no_bar&amp;width=385&amp;height=120&amp;START_MAXIMIZED=FALSE&amp;creator=factset&amp;display_string=Audit"}</definedName>
    <definedName name="_77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78__FDSAUDITLINK__" localSheetId="3" hidden="1">{"fdsup://Directions/FactSet Auditing Viewer?action=AUDIT_VALUE&amp;DB=129&amp;ID1=60871R20&amp;VALUEID=18807&amp;SDATE=2009&amp;PERIODTYPE=ANN_STD&amp;window=popup_no_bar&amp;width=385&amp;height=120&amp;START_MAXIMIZED=FALSE&amp;creator=factset&amp;display_string=Audit"}</definedName>
    <definedName name="_78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79__FDSAUDITLINK__" localSheetId="3" hidden="1">{"fdsup://Directions/FactSet Auditing Viewer?action=AUDIT_VALUE&amp;DB=129&amp;ID1=60871R20&amp;VALUEID=18807&amp;SDATE=2008&amp;PERIODTYPE=ANN_STD&amp;window=popup_no_bar&amp;width=385&amp;height=120&amp;START_MAXIMIZED=FALSE&amp;creator=factset&amp;display_string=Audit"}</definedName>
    <definedName name="_79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8__123Graph_BCHART_2E" hidden="1">[1]Aerospace!$AD$342:$AD$373</definedName>
    <definedName name="_8__FDSAUDITLINK__" localSheetId="3" hidden="1">{"fdsup://Directions/FactSet Auditing Viewer?action=AUDIT_VALUE&amp;DB=129&amp;ID1=74271810&amp;VALUEID=18809&amp;SDATE=2007&amp;PERIODTYPE=ANN_STD&amp;window=popup_no_bar&amp;width=385&amp;height=120&amp;START_MAXIMIZED=FALSE&amp;creator=factset&amp;display_string=Audit"}</definedName>
    <definedName name="_8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80__FDSAUDITLINK__" localSheetId="3" hidden="1">{"fdsup://Directions/FactSet Auditing Viewer?action=AUDIT_VALUE&amp;DB=129&amp;ID1=60871R20&amp;VALUEID=18807&amp;SDATE=2007&amp;PERIODTYPE=ANN_STD&amp;window=popup_no_bar&amp;width=385&amp;height=120&amp;START_MAXIMIZED=FALSE&amp;creator=factset&amp;display_string=Audit"}</definedName>
    <definedName name="_80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81__FDSAUDITLINK__" localSheetId="3" hidden="1">{"fdsup://Directions/FactSet Auditing Viewer?action=AUDIT_VALUE&amp;DB=129&amp;ID1=60871R20&amp;VALUEID=18807&amp;SDATE=2005&amp;PERIODTYPE=ANN_STD&amp;window=popup_no_bar&amp;width=385&amp;height=120&amp;START_MAXIMIZED=FALSE&amp;creator=factset&amp;display_string=Audit"}</definedName>
    <definedName name="_81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82__FDSAUDITLINK__" localSheetId="3" hidden="1">{"fdsup://Directions/FactSet Auditing Viewer?action=AUDIT_VALUE&amp;DB=129&amp;ID1=21036P10&amp;VALUEID=18807&amp;SDATE=2008&amp;PERIODTYPE=ANN_STD&amp;window=popup_no_bar&amp;width=385&amp;height=120&amp;START_MAXIMIZED=FALSE&amp;creator=factset&amp;display_string=Audit"}</definedName>
    <definedName name="_82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83__FDSAUDITLINK__" localSheetId="3" hidden="1">{"fdsup://Directions/FactSet Auditing Viewer?action=AUDIT_VALUE&amp;DB=129&amp;ID1=21036P10&amp;VALUEID=18807&amp;SDATE=2007&amp;PERIODTYPE=ANN_STD&amp;window=popup_no_bar&amp;width=385&amp;height=120&amp;START_MAXIMIZED=FALSE&amp;creator=factset&amp;display_string=Audit"}</definedName>
    <definedName name="_83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84__FDSAUDITLINK__" localSheetId="3" hidden="1">{"fdsup://Directions/FactSet Auditing Viewer?action=AUDIT_VALUE&amp;DB=129&amp;ID1=21036P10&amp;VALUEID=18807&amp;SDATE=2006&amp;PERIODTYPE=ANN_STD&amp;window=popup_no_bar&amp;width=385&amp;height=120&amp;START_MAXIMIZED=FALSE&amp;creator=factset&amp;display_string=Audit"}</definedName>
    <definedName name="_84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85__FDSAUDITLINK__" localSheetId="3" hidden="1">{"fdsup://Directions/FactSet Auditing Viewer?action=AUDIT_VALUE&amp;DB=129&amp;ID1=21036P10&amp;VALUEID=18807&amp;SDATE=2005&amp;PERIODTYPE=ANN_STD&amp;window=popup_no_bar&amp;width=385&amp;height=120&amp;START_MAXIMIZED=FALSE&amp;creator=factset&amp;display_string=Audit"}</definedName>
    <definedName name="_85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86__FDSAUDITLINK__" localSheetId="3" hidden="1">{"fdsup://Directions/FactSet Auditing Viewer?action=AUDIT_VALUE&amp;DB=129&amp;ID1=74271810&amp;VALUEID=18809&amp;SDATE=2007&amp;PERIODTYPE=ANN_STD&amp;window=popup_no_bar&amp;width=385&amp;height=120&amp;START_MAXIMIZED=FALSE&amp;creator=factset&amp;display_string=Audit"}</definedName>
    <definedName name="_86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87__FDSAUDITLINK__" localSheetId="3" hidden="1">{"fdsup://Directions/FactSet Auditing Viewer?action=AUDIT_VALUE&amp;DB=129&amp;ID1=60871R20&amp;VALUEID=18809&amp;SDATE=2009&amp;PERIODTYPE=ANN_STD&amp;window=popup_no_bar&amp;width=385&amp;height=120&amp;START_MAXIMIZED=FALSE&amp;creator=factset&amp;display_string=Audit"}</definedName>
    <definedName name="_87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88__FDSAUDITLINK__" localSheetId="3" hidden="1">{"fdsup://Directions/FactSet Auditing Viewer?action=AUDIT_VALUE&amp;DB=129&amp;ID1=60871R20&amp;VALUEID=18809&amp;SDATE=2008&amp;PERIODTYPE=ANN_STD&amp;window=popup_no_bar&amp;width=385&amp;height=120&amp;START_MAXIMIZED=FALSE&amp;creator=factset&amp;display_string=Audit"}</definedName>
    <definedName name="_88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89__FDSAUDITLINK__" localSheetId="3" hidden="1">{"fdsup://Directions/FactSet Auditing Viewer?action=AUDIT_VALUE&amp;DB=129&amp;ID1=60871R20&amp;VALUEID=18809&amp;SDATE=2007&amp;PERIODTYPE=ANN_STD&amp;window=popup_no_bar&amp;width=385&amp;height=120&amp;START_MAXIMIZED=FALSE&amp;creator=factset&amp;display_string=Audit"}</definedName>
    <definedName name="_89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9__123Graph_CCHART_1E" hidden="1">[1]Aerospace!$AK$342:$AK$355</definedName>
    <definedName name="_9__FDSAUDITLINK__" localSheetId="3" hidden="1">{"fdsup://Directions/FactSet Auditing Viewer?action=AUDIT_VALUE&amp;DB=129&amp;ID1=60871R20&amp;VALUEID=18809&amp;SDATE=2009&amp;PERIODTYPE=ANN_STD&amp;window=popup_no_bar&amp;width=385&amp;height=120&amp;START_MAXIMIZED=FALSE&amp;creator=factset&amp;display_string=Audit"}</definedName>
    <definedName name="_9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90__FDSAUDITLINK__" localSheetId="3" hidden="1">{"fdsup://Directions/FactSet Auditing Viewer?action=AUDIT_VALUE&amp;DB=129&amp;ID1=60871R20&amp;VALUEID=18809&amp;SDATE=2005&amp;PERIODTYPE=ANN_STD&amp;window=popup_no_bar&amp;width=385&amp;height=120&amp;START_MAXIMIZED=FALSE&amp;creator=factset&amp;display_string=Audit"}</definedName>
    <definedName name="_90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91__FDSAUDITLINK__" localSheetId="3" hidden="1">{"fdsup://Directions/FactSet Auditing Viewer?action=AUDIT_VALUE&amp;DB=129&amp;ID1=21036P10&amp;VALUEID=18809&amp;SDATE=2008&amp;PERIODTYPE=ANN_STD&amp;window=popup_no_bar&amp;width=385&amp;height=120&amp;START_MAXIMIZED=FALSE&amp;creator=factset&amp;display_string=Audit"}</definedName>
    <definedName name="_91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92__FDSAUDITLINK__" localSheetId="3" hidden="1">{"fdsup://Directions/FactSet Auditing Viewer?action=AUDIT_VALUE&amp;DB=129&amp;ID1=21036P10&amp;VALUEID=18809&amp;SDATE=2007&amp;PERIODTYPE=ANN_STD&amp;window=popup_no_bar&amp;width=385&amp;height=120&amp;START_MAXIMIZED=FALSE&amp;creator=factset&amp;display_string=Audit"}</definedName>
    <definedName name="_92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93__FDSAUDITLINK__" localSheetId="3" hidden="1">{"fdsup://Directions/FactSet Auditing Viewer?action=AUDIT_VALUE&amp;DB=129&amp;ID1=21036P10&amp;VALUEID=18809&amp;SDATE=2006&amp;PERIODTYPE=ANN_STD&amp;window=popup_no_bar&amp;width=385&amp;height=120&amp;START_MAXIMIZED=FALSE&amp;creator=factset&amp;display_string=Audit"}</definedName>
    <definedName name="_93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94__FDSAUDITLINK__" localSheetId="3" hidden="1">{"fdsup://Directions/FactSet Auditing Viewer?action=AUDIT_VALUE&amp;DB=129&amp;ID1=21036P10&amp;VALUEID=18809&amp;SDATE=2005&amp;PERIODTYPE=ANN_STD&amp;window=popup_no_bar&amp;width=385&amp;height=120&amp;START_MAXIMIZED=FALSE&amp;creator=factset&amp;display_string=Audit"}</definedName>
    <definedName name="_94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95__FDSAUDITLINK__" localSheetId="3" hidden="1">{"fdsup://Directions/FactSet Auditing Viewer?action=AUDIT_VALUE&amp;DB=129&amp;ID1=60871R20&amp;VALUEID=18807&amp;SDATE=2009&amp;PERIODTYPE=ANN_STD&amp;window=popup_no_bar&amp;width=385&amp;height=120&amp;START_MAXIMIZED=FALSE&amp;creator=factset&amp;display_string=Audit"}</definedName>
    <definedName name="_95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96__FDSAUDITLINK__" localSheetId="3" hidden="1">{"fdsup://Directions/FactSet Auditing Viewer?action=AUDIT_VALUE&amp;DB=129&amp;ID1=60871R20&amp;VALUEID=18807&amp;SDATE=2008&amp;PERIODTYPE=ANN_STD&amp;window=popup_no_bar&amp;width=385&amp;height=120&amp;START_MAXIMIZED=FALSE&amp;creator=factset&amp;display_string=Audit"}</definedName>
    <definedName name="_96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97__FDSAUDITLINK__" localSheetId="3" hidden="1">{"fdsup://Directions/FactSet Auditing Viewer?action=AUDIT_VALUE&amp;DB=129&amp;ID1=60871R20&amp;VALUEID=18807&amp;SDATE=2007&amp;PERIODTYPE=ANN_STD&amp;window=popup_no_bar&amp;width=385&amp;height=120&amp;START_MAXIMIZED=FALSE&amp;creator=factset&amp;display_string=Audit"}</definedName>
    <definedName name="_97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98__FDSAUDITLINK__" localSheetId="3" hidden="1">{"fdsup://Directions/FactSet Auditing Viewer?action=AUDIT_VALUE&amp;DB=129&amp;ID1=60871R20&amp;VALUEID=18807&amp;SDATE=2005&amp;PERIODTYPE=ANN_STD&amp;window=popup_no_bar&amp;width=385&amp;height=120&amp;START_MAXIMIZED=FALSE&amp;creator=factset&amp;display_string=Audit"}</definedName>
    <definedName name="_98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99__FDSAUDITLINK__" localSheetId="3" hidden="1">{"fdsup://Directions/FactSet Auditing Viewer?action=AUDIT_VALUE&amp;DB=129&amp;ID1=21036P10&amp;VALUEID=18807&amp;SDATE=2008&amp;PERIODTYPE=ANN_STD&amp;window=popup_no_bar&amp;width=385&amp;height=120&amp;START_MAXIMIZED=FALSE&amp;creator=factset&amp;display_string=Audit"}</definedName>
    <definedName name="_99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bdm.00EE383DE0924FAFBCE82825B4BB582A.edm" hidden="1">[3]LINKS!$A:$IV</definedName>
    <definedName name="_bdm.00EF85E90FCC48CB89B5E499BF44C5DF.edm" hidden="1">[4]US_Hair_Care_Mkt_Share!$A:$IV</definedName>
    <definedName name="_bdm.02E29E7B1053433EA3CCCBE4E5141596.edm" hidden="1">[5]B1070!$A:$IV</definedName>
    <definedName name="_bdm.03BCCBBF4E634C51A1974A41947EF255.edm" hidden="1">'[6]EM as % of Mix'!$A:$IV</definedName>
    <definedName name="_bdm.03F1E810780B44CEA82D3465DBCC4AA7.edm" hidden="1">[4]IRI_New_Product_Contribution!$A:$IV</definedName>
    <definedName name="_bdm.04E65DB1C8A446AA80D85B8F97C409B6.edm" hidden="1">[6]Resin!$A:$IV</definedName>
    <definedName name="_bdm.06C5157AC91540C9B96C147C16AF3C95.edm" hidden="1">'[4]SHAMPOO LEAD SCHEDULE'!$A:$IV</definedName>
    <definedName name="_bdm.0B5C0A254DC4474693CB306BD830CE96.edm" hidden="1" xml:space="preserve">  '[7]VALUATION ''04'!$A:$IV</definedName>
    <definedName name="_bdm.0C162E3D4DE14C8FB128D1B8B92D9482.edm" hidden="1" xml:space="preserve">  '[7]VALUATION ''04'!$A:$IV</definedName>
    <definedName name="_bdm.0E33CE29F7F84E5BBD40978EFB67E522.edm" hidden="1">'[6]TotalOrgRegres-1Qtr '!$A:$IV</definedName>
    <definedName name="_bdm.0E3629CBDD814EECACC73AF69BB54848.edm" hidden="1">'[6]TUP Org Sales Growth'!$A:$IV</definedName>
    <definedName name="_bdm.0EEA9077374342D788B7E33314189AB3.edm" hidden="1">'[6]AVP Org Growth'!$A:$IV</definedName>
    <definedName name="_bdm.1123CC7D16EA4153A206A92E8FF9ED14.edm" hidden="1">[8]Leverage_Alcohol!$A:$IV</definedName>
    <definedName name="_bdm.11498A8839444897865B12618224C0A9.edm" hidden="1" xml:space="preserve">  [7]BS_CF!$A:$IV</definedName>
    <definedName name="_bdm.11BDF2D61D2443F88CB131E53E06B621.edm" hidden="1" xml:space="preserve">  '[7]VALUATION ''04'!$A:$IV</definedName>
    <definedName name="_bdm.12A6E73624E9495EB03AF383FC4E8B7D.edm" hidden="1">[6]SLDSRegionSales_Bar!$A:$IV</definedName>
    <definedName name="_bdm.144106CA71EA447DA33DD2CE5492D388.edm" hidden="1">'[6]LTM vs NTM Comps'!$A:$IV</definedName>
    <definedName name="_bdm.1493C4E4B35B47F88CD9573DF1708281.edm" hidden="1">'[9]Adj PE '!$A:$IV</definedName>
    <definedName name="_bdm.14FD0B4191F34B3C8EEF6C0A13869432.edm" hidden="1">'[6]2 Year Organic Sales %'!$A:$IV</definedName>
    <definedName name="_bdm.167A85249FE94B4380BCFE22320BDF87.edm" localSheetId="4" hidden="1">'Financial Statements'!$A$4:$BT$90</definedName>
    <definedName name="_bdm.17B726E67A7A4E5CAF33CCACE2EDF7BE.edm" hidden="1">'[4]New Product % total Org Growth'!$A:$IV</definedName>
    <definedName name="_bdm.18067E4B20EA443BB5CC1C908F3868C0.edm" hidden="1" xml:space="preserve">  [7]CCE!$A:$IV</definedName>
    <definedName name="_bdm.181339E8610242F8A607F2B68EE53D40.edm" hidden="1">[10]Model_Template!$A:$IV</definedName>
    <definedName name="_bdm.1830E9F12B6B434687D126B4C9DD5CE1.edm" hidden="1">'[4]Share Repurchase Table'!$A:$IV</definedName>
    <definedName name="_bdm.19A3E70CFC524016874EB52BB1554807.edm" hidden="1" xml:space="preserve">  [7]CCE!$A:$IV</definedName>
    <definedName name="_bdm.1C5B058B830443F3973E4AAFA0DFEB9A.edm" hidden="1">[6]TUPNA_New_Trends!$A:$IV</definedName>
    <definedName name="_bdm.1FCCC1740DAB4392B82EE78CAEB7F8CE.edm" hidden="1">'[8]LRB Consumption - 2000'!$A:$IV</definedName>
    <definedName name="_bdm.20C8CC7AFE18408290C8E3B1685C4887.edm" hidden="1">'[6]EM-DM Growth'!$A:$IV</definedName>
    <definedName name="_bdm.250AC8528CFD4D82AF2573898E711BA3.edm" hidden="1">[3]CL!$A:$IV</definedName>
    <definedName name="_bdm.257F880C04B84AB8B7FB8473582B6402.edm" localSheetId="4" hidden="1">'Financial Statements'!$A$111:$BO$154</definedName>
    <definedName name="_bdm.263A6AD7D5E74E0BAF2ABA7BE09CC67D.edm" hidden="1">[4]Hair_Care_Scanner_Data!$A:$IV</definedName>
    <definedName name="_bdm.266FE8E46060488192FF847AC5E6AF79.edm" hidden="1">[4]IRI_Shampoo_Price_Points!$A:$IV</definedName>
    <definedName name="_bdm.268133316AC544CA9CC68D86720F7A1F.edm" hidden="1">'[4]Noxzema Sensitivity'!$A:$IV</definedName>
    <definedName name="_bdm.28A5D3B62A874CE28BE8AC54692563A5.edm" hidden="1">[4]Share_Repurchases!$A:$IV</definedName>
    <definedName name="_bdm.2AAA9235F6D6499BAEF2E92668E68E71.edm" hidden="1">[4]Global_HPC_Select_Cats!$A:$IV</definedName>
    <definedName name="_bdm.2F28351424A34A75A9AE30125E078DD3.edm" hidden="1">'[6]SLDS Region Sales Mix'!$A:$IV</definedName>
    <definedName name="_bdm.32BDC948C7BE41CB8193C1E2A664ACD9.edm" hidden="1">'[6]SLDS Cat Mix_Bar'!$A:$IV</definedName>
    <definedName name="_bdm.354B8CAD1D80495FA4EA294BE605031E.edm" hidden="1" xml:space="preserve">  '[7]2006 Template'!$A:$IV</definedName>
    <definedName name="_bdm.366660F8A5C6446795E00A46974DCC9A.edm" hidden="1">'[8]Leverage_Non-Alcohol'!$A:$IV</definedName>
    <definedName name="_bdm.36A36670D4B14AB48DF4F8418BD722E5.edm" hidden="1">'[6]2 Year StackedOrg Sales'!$A:$IV</definedName>
    <definedName name="_bdm.374A031E21164DB1943F15E3587BD455.edm" hidden="1">'[6]2000-2005EPS_OMChange'!$A:$IV</definedName>
    <definedName name="_bdm.39E6B98DA5CD4F58A9DA857005E71EBD.edm" hidden="1">[6]EMToplineBuild!$A:$IV</definedName>
    <definedName name="_bdm.3D3C3CEBFE844F5BB53A6C2F65D6CB51.edm" hidden="1">[4]US_Hair_Care_Share_Change!$A:$IV</definedName>
    <definedName name="_bdm.3D5F3582FA0D4FBBAB015DC6DEC73528.edm" hidden="1">'[4]5 Year CAGR Comp'!$A:$IV</definedName>
    <definedName name="_bdm.4274D64484D148989FB7DC17524652CD.edm" hidden="1" xml:space="preserve">  [7]BS_CF!$A:$IV</definedName>
    <definedName name="_bdm.42BD946BC2D74ABFB8E861A8ECE42675.edm" hidden="1">[4]Nexxus_Tracked_Channel!$A:$IV</definedName>
    <definedName name="_bdm.46ED9579339F4D64B126F4C653116BCE.edm" hidden="1">'[4]5 YrRevGrowth ex-NexxusTres'!$A:$IV</definedName>
    <definedName name="_bdm.47E5411D05FF4D9C89F5393909B1C7A8.edm" hidden="1">[6]HPC_Net_Debt_EBITDA!$A:$IV</definedName>
    <definedName name="_bdm.4886633828F2455D9CC8CE5DFA40FBB8.edm" hidden="1">'[4]US Top HC Brands'!$A:$IV</definedName>
    <definedName name="_bdm.4A1C6F3928F84CF3A809C2BDCFD6AA5F.edm" hidden="1">[4]New_Product_Contribution!$A:$IV</definedName>
    <definedName name="_bdm.4CCC511399C54B3680B805AE372C179C.edm" hidden="1">[3]KMB!$A:$IV</definedName>
    <definedName name="_bdm.4CD3EC5253724025A412080552FEB7EE.edm" hidden="1">'[4]EPS Accretion % Pro-Forma Deal'!$A:$IV</definedName>
    <definedName name="_bdm.503E554185DE40508DE4E4B60DFBEA46.edm" hidden="1">'[4]L4Q_N4Q Comp'!$A:$IV</definedName>
    <definedName name="_bdm.51660C9BE5234729A08220F196E61F92.edm" hidden="1" xml:space="preserve">  [7]CCE!$A:$IV</definedName>
    <definedName name="_bdm.5308F891207742B9AD43ACBC04182E4D.edm" hidden="1">'[6]TotalOrgRegres-2Qtr '!$A:$IV</definedName>
    <definedName name="_bdm.56D00256EE6348AAA1FA99630FF8E0B3.edm" hidden="1" xml:space="preserve">  [7]BS_CF!$A:$IV</definedName>
    <definedName name="_bdm.56D09FC9AE75413E91B3F7C06AA03612.edm" hidden="1" xml:space="preserve">  [7]CCE!$A:$IV</definedName>
    <definedName name="_bdm.57126916111E402D8835863C96B73BEF.edm" hidden="1">'[6]EPS vs. Street_and_Company'!$A:$IV</definedName>
    <definedName name="_bdm.5860FA67682241BDAD671E776A0B22AE.edm" hidden="1" xml:space="preserve">  [7]BS_CF!$A:$IV</definedName>
    <definedName name="_bdm.59DAE95C438A45BCAAC5BE8FD0F1D4C4.edm" hidden="1">[4]Leverage_Analysis!$A:$IV</definedName>
    <definedName name="_bdm.5A71178E06CB48EA97454ADD1A1B663A.edm" hidden="1">[11]Model_Template!$A:$IV</definedName>
    <definedName name="_bdm.5BBC31139A49493DA566E5C6A46362B0.edm" hidden="1" xml:space="preserve">  [7]BS_CF!$A:$IV</definedName>
    <definedName name="_bdm.5C9059AFFF6041CCAD896772A0F71FFE.edm" hidden="1">'[8]LRB Consumption - 2007'!$A:$IV</definedName>
    <definedName name="_bdm.6782448D10994CA1844F10C0A8656F2D.edm" hidden="1">[9]Data!$A:$IV</definedName>
    <definedName name="_bdm.697C656096184D4CA40721F4C4DF1B93.edm" hidden="1">'[4]2 Yr forecast'!$A:$IV</definedName>
    <definedName name="_bdm.6987C86963D04347AE7AE5FB27537974.edm" hidden="1" xml:space="preserve">  [7]BS_CF!$A:$IV</definedName>
    <definedName name="_bdm.6C38F560B97845E7A4EE69F2A087422B.edm" hidden="1">'[12]Savings Exhibit'!$A:$IV</definedName>
    <definedName name="_bdm.6FC6924B6A614DF39F6D0D566FC646BF.edm" hidden="1">'[8]Vanilla Coke'!$A:$IV</definedName>
    <definedName name="_bdm.700A12F78E6C4219A0867C67014D7BED.edm" hidden="1">'[4]UK Top HC Brands'!$A:$IV</definedName>
    <definedName name="_bdm.7125EE6D296441B799FE23609B168B51.edm" hidden="1">'[13]QTRLY - REGIONAL'!$A:$IV</definedName>
    <definedName name="_bdm.714434F247C347CBA7AC80697B3904CD.edm" hidden="1" xml:space="preserve">  [7]BS_CF!$A:$IV</definedName>
    <definedName name="_bdm.71A6650530D047EE8199630EA21AD983.edm" hidden="1">[3]PG!$A:$IV</definedName>
    <definedName name="_bdm.73EFD4C8D7694B35A38A816B86E264D1.edm" hidden="1">'[4]Two-Year Avg Org Growth'!$A:$IV</definedName>
    <definedName name="_bdm.7708C35DEA28469B9CA4137CDDB6546B.edm" localSheetId="4" hidden="1">'Financial Statements'!$A$111:$BT$154</definedName>
    <definedName name="_bdm.796FA6FFE69F414D9D1D74B43508E6B0.edm" hidden="1">[4]ACV_Brand_Mix!$A:$IV</definedName>
    <definedName name="_bdm.7E6FA8E209B04305B07D4F4F8AA8D1F7.edm" hidden="1" xml:space="preserve">  [7]BS_CF!$A:$IV</definedName>
    <definedName name="_bdm.7F3F850E47664098910A3801DD59C364.edm" hidden="1">[6]European_Sales_Op_Margins!$A:$IV</definedName>
    <definedName name="_bdm.7F6DE12A5C2249EA880A1E0921053C28.edm" hidden="1">[4]Top_HC_and_SC_Brands!$A:$IV</definedName>
    <definedName name="_bdm.7F8F98983EEF41E5821C7A84B9CA9695.edm" hidden="1">'[9]EV-EBITDA'!$A:$IV</definedName>
    <definedName name="_bdm.80519E36CFCD489293BEF81ACE401AC1.edm" hidden="1">'[6]SMID HPC 5 Year Org Growth'!$A:$IV</definedName>
    <definedName name="_bdm.81E4447A183F47E090A37E0258CE8EEC.edm" hidden="1">'[14]2007 EPS Scenario'!$A:$IV</definedName>
    <definedName name="_bdm.825A13E742B54840AAD222D1915E76C8.edm" hidden="1">'[6]ActivevOrgRegres-2Qtr'!$A:$IV</definedName>
    <definedName name="_bdm.8352F4DAABFC425F90A4FF4A76F604CA.edm" hidden="1" xml:space="preserve">  [7]BS_CF!$A:$IV</definedName>
    <definedName name="_bdm.8426F1D97B7D48EAB46F65C0DFA163C4.edm" hidden="1" xml:space="preserve">  '[7]VALUATION ''04'!$A:$IV</definedName>
    <definedName name="_bdm.8C97900894684A479ACEF011C64778AE.edm" hidden="1">[4]BrandMix!$A:$IV</definedName>
    <definedName name="_bdm.8D2D097FE93048888961FB576E320033.edm" hidden="1">'[4]2 Year Avg Sales '!$A:$IV</definedName>
    <definedName name="_bdm.8F97B80661C348B888CE6ED73628A806.edm" hidden="1" xml:space="preserve">  [7]BS_CF!$A:$IV</definedName>
    <definedName name="_bdm.94639A624321478D8DF812832C816619.edm" hidden="1" xml:space="preserve">  [7]CCE!$A:$IV</definedName>
    <definedName name="_bdm.97302B6469AB47F682FE07A9A3F4740C.edm" hidden="1">'[6]SD&amp;A'!$A:$IV</definedName>
    <definedName name="_bdm.9AADB442008748F2966D1E75DBD88F19.edm" localSheetId="4" hidden="1">'Financial Statements'!$A$158:$BT$193</definedName>
    <definedName name="_bdm.9B051B36A00A44628F6BDE97F8ED6375.edm" hidden="1">'[6]Est Above Consensus'!$A:$IV</definedName>
    <definedName name="_bdm.9B5BDF1A2A9A4D659D8DFB5F60DA8633.edm" hidden="1">'[4]Shampoo_ Price Points'!$A:$IV</definedName>
    <definedName name="_bdm.9CF1EC782CA246C5B743B60E78EFF75A.edm" hidden="1">[4]Private_Label!$A:$IV</definedName>
    <definedName name="_bdm.9EB2A04478664A2F9F448ABABFA19ADC.edm" hidden="1" xml:space="preserve">  [7]CCE!$A:$IV</definedName>
    <definedName name="_bdm.9F2F660F7F7F4DE0A5EBD2C70D910AFC.edm" hidden="1">[4]Tresemme_VO5_Intl_Growth!$A:$IV</definedName>
    <definedName name="_bdm.A0DC2E73A33540C88C7AF3BE12B55E4A.edm" hidden="1">[4]ACV_vs_Hair_Care_Cat_Growth!$A:$IV</definedName>
    <definedName name="_bdm.A2C62C6C73684AAB94C6DD6416C77A18.edm" hidden="1">'[6]Est Above Consensus (2)'!$A:$IV</definedName>
    <definedName name="_bdm.A7E6106FD34F4E66803D3DCB01EBEE84.edm" hidden="1">'[4]Top Global HairCare markets '!$A:$IV</definedName>
    <definedName name="_bdm.AA4AF3D9DA8249CEA1F6F5D8DC19E532.edm" hidden="1">[6]MarketvsMSOpIncome!$A:$IV</definedName>
    <definedName name="_bdm.AC787102189649FD8B20A26EF81E2C27.edm" hidden="1">'[4]Organic Sales Growth_Geo'!$A:$IV</definedName>
    <definedName name="_bdm.AD126F1FD80B4033ACC826F67368C8AF.edm" hidden="1">[6]TUP_Rev_Mix!$A:$IV</definedName>
    <definedName name="_bdm.B1A3A4783084432AA9198BEDF22C5BC1.edm" hidden="1">[4]Operating_Margin_Walk!$A:$IV</definedName>
    <definedName name="_bdm.B6FEF21C1A99419C903F7D7EE9E36415.edm" hidden="1">'[4]HPC Deal Multiples'!$A:$IV</definedName>
    <definedName name="_bdm.B8C97E7226DF4FD084E8053FAE6D7736.edm" hidden="1">[8]Beer_Import_Share_US_Consumptio!$A:$IV</definedName>
    <definedName name="_bdm.BCCFA55F8B684774BC6BE9B015C7E25F.edm" hidden="1">'[4]Share Repurchases'!$A:$IV</definedName>
    <definedName name="_bdm.C2BAC37E4E824278804219D92A38D762.edm" hidden="1">'Financial Statements'!$1:$1048576</definedName>
    <definedName name="_bdm.C2F1A45F72974C3D8306773B5ADB0E9B.edm" hidden="1">[6]OPMSvsConsensus!$A:$IV</definedName>
    <definedName name="_bdm.C4AFDC3253D94BAD97C1DC3C206083CC.edm" hidden="1">[4]Nexxus_Rev_CAGR!$A:$IV</definedName>
    <definedName name="_bdm.C808034CE88F4F29BA7F4031F9495433.edm" hidden="1" xml:space="preserve">  [7]BS_CF!$A:$IV</definedName>
    <definedName name="_bdm.C91ECC20E27649C6A25C8DA5EE92B454.edm" hidden="1">[6]TUP_EBIT_Mix!$A:$IV</definedName>
    <definedName name="_bdm.C9216835A701413EA75DD1A8E10F89F3.edm" hidden="1">'[4]Share Repo Commentary '!$A:$IV</definedName>
    <definedName name="_bdm.C97C7A18AB4D4B8CBEC36217E90D18FB.edm" hidden="1" xml:space="preserve">    [7]CCE!$A:$IV</definedName>
    <definedName name="_bdm.CAF8EC83B5DA44ABB13AE5B3D599E934.edm" hidden="1">[4]FX_Impact!$A:$IV</definedName>
    <definedName name="_bdm.CD88A3CA784B41CFACA58F739A2FE3A2.edm" hidden="1">'[6]ActivevOrgRegres-1Qtr'!$A:$IV</definedName>
    <definedName name="_bdm.CE89DE488C64433A818AC4BEF536FA83.edm" hidden="1">'[6]Traling 2 Year Org vs MS F-Cast'!$A:$IV</definedName>
    <definedName name="_bdm.D445C577D2494789B4F9004B095C411D.edm" hidden="1" xml:space="preserve">  [7]BS_CF!$A:$IV</definedName>
    <definedName name="_bdm.D55F7F7C00DA48A493823D53EE3B3D6A.edm" hidden="1">[4]ACV_New_Product_Growth!$A:$IV</definedName>
    <definedName name="_bdm.DC2AE9D32B324418952700C0FC5881DA.edm" hidden="1">'[6]Org Sales Growth'!$A:$IV</definedName>
    <definedName name="_bdm.DCC2EBBBBB4F4F3B806A2FB686AA0F22.edm" hidden="1">[8]CSD_BEER_Demand_Elasticity!$A:$IV</definedName>
    <definedName name="_bdm.E028980278054C7BB954C6C5DE055D3F.edm" hidden="1">[6]TUPNA_Old_Trends!$A:$IV</definedName>
    <definedName name="_bdm.E42FFF4F2F604BCDB57539E4097CE728.edm" hidden="1" xml:space="preserve">  [7]BS_CF!$A:$IV</definedName>
    <definedName name="_bdm.E77F77FFFDE44366B69EDE61AF196E21.edm" hidden="1">'[6]SLDS Category Mix'!$A:$IV</definedName>
    <definedName name="_bdm.EA3BF679C40A4929B98CE6C24BA824F4.edm" hidden="1">'[8]Leverage_HPC Chart'!$A:$IV</definedName>
    <definedName name="_bdm.EA5A43FB4BA84D74BB9331A884DFBCCE.edm" hidden="1">[6]NAmer_Germ_Drag!$A:$IV</definedName>
    <definedName name="_bdm.EBD055E8711D41779CA5FAB70BE427C2.edm" hidden="1">[6]RevMSvsConsensus!$A:$IV</definedName>
    <definedName name="_bdm.ED3F0BDD4FF04E35A3550535DB4DBC27.edm" hidden="1">'[4]Hair Care Dollar Share'!$A:$IV</definedName>
    <definedName name="_bdm.ED8B8E9AA49442F8926C4459F7E654B7.edm" hidden="1">'[6]GermOrgSales_Euro Margins'!$A:$IV</definedName>
    <definedName name="_bdm.EDAAC595A88F41CD897215089EE1CD64.edm" hidden="1">'[6]EM Growth'!$A:$IV</definedName>
    <definedName name="_bdm.F094B5DBEC714146B9BA833D84DDF9EB.edm" localSheetId="4" hidden="1">'Financial Statements'!$A$158:$BO$193</definedName>
    <definedName name="_bdm.F3BA2F29C3364FB1991C362EA5F9BE54.edm" hidden="1">'[4]GM Forecast'!$A:$IV</definedName>
    <definedName name="_bdm.F510911558094C92A8D43AFEF6E51F82.edm" hidden="1">'[4]ACV Topline Org Growth Bar'!$A:$IV</definedName>
    <definedName name="_bdm.F5E8C3994EA6404AB249FA098EFEF0DF.edm" hidden="1" xml:space="preserve">  [7]BS_CF!$A:$IV</definedName>
    <definedName name="_bdm.F6894AB6A7EA4C44A714722F3300564F.edm" hidden="1" xml:space="preserve">  [7]BS_CF!$A:$IV</definedName>
    <definedName name="_bdm.F8C05F61F10E438BB46F29AD822B772C.edm" localSheetId="4" hidden="1">'Financial Statements'!$A$4:$BO$90</definedName>
    <definedName name="_bdm.FBF11188945645068E7DC3B4FF649052.edm" hidden="1">'[6]Active-Org Sales Gap'!$A:$IV</definedName>
    <definedName name="_bdm.FEBB30D051B642BA840D40ED6CB8EDA2.edm" hidden="1" xml:space="preserve">  [7]CCE!$A:$IV</definedName>
    <definedName name="_DPS01">[15]WELLA_YEAR!$G$25</definedName>
    <definedName name="_DPS02">[15]WELLA_YEAR!$I$25</definedName>
    <definedName name="_DPS03">[15]WELLA_YEAR!$K$25</definedName>
    <definedName name="_DPS04">[15]WELLA_YEAR!$M$25</definedName>
    <definedName name="_DPS05">[15]WELLA_YEAR!$O$25</definedName>
    <definedName name="_DPS06">[15]WELLA_YEAR!$Q$25</definedName>
    <definedName name="_DPS07">[15]WELLA_YEAR!$S$25</definedName>
    <definedName name="_EPS01">'[16]P&amp;L'!$G$25</definedName>
    <definedName name="_EPS02">'[16]P&amp;L'!$I$25</definedName>
    <definedName name="_EPS03">'[16]P&amp;L'!$K$25</definedName>
    <definedName name="_EPS04">'[16]P&amp;L'!$M$25</definedName>
    <definedName name="_EPS05">'[17]P&amp;L'!$O$35</definedName>
    <definedName name="_EPS06">'[17]P&amp;L'!$Q$35</definedName>
    <definedName name="_fcf05">'[18]Cash Flow'!$R$53</definedName>
    <definedName name="_fcf98">'[18]Cash Flow'!$H$53</definedName>
    <definedName name="_fcf99">'[18]Cash Flow'!$I$53</definedName>
    <definedName name="_FY00">[2]WY!$BF$2:$BF$697</definedName>
    <definedName name="_FY01">[2]WY!$AZ$2:$AZ$697</definedName>
    <definedName name="_FY02">[2]WY!$AT$2:$AT$697</definedName>
    <definedName name="_FY03">[2]WY!$AN$2:$AN$697</definedName>
    <definedName name="_FY92">[2]WY!$DB$2:$DB$697</definedName>
    <definedName name="_FY93">[2]WY!$CV$2:$CV$697</definedName>
    <definedName name="_FY94">[2]WY!$CP$2:$CP$697</definedName>
    <definedName name="_FY95">[2]WY!$CJ$2:$CJ$697</definedName>
    <definedName name="_FY96">[2]WY!$CD$2:$CD$697</definedName>
    <definedName name="_FY97">[2]WY!$BX$2:$BX$697</definedName>
    <definedName name="_FY98">[2]WY!$BR$2:$BR$697</definedName>
    <definedName name="_FY99">[2]WY!$BL$2:$BL$697</definedName>
    <definedName name="_Order1">0</definedName>
    <definedName name="_pe2" hidden="1">{"income",#N/A,FALSE,"K";"cashflow",#N/A,FALSE,"K";"balances",#N/A,FALSE,"K";"ratios",#N/A,FALSE,"K"}</definedName>
    <definedName name="_reg1">IF([19]BarChart!$B$13=FALSE,"",INDIRECT([19]settings!$I$3))</definedName>
    <definedName name="_reg2">IF([19]BarChart!$B$14=FALSE,"",INDIRECT([19]settings!$I$4))</definedName>
    <definedName name="_reg3">INDIRECT([19]settings!$I$5)</definedName>
    <definedName name="_reg4">INDIRECT([19]settings!$I$6)</definedName>
    <definedName name="_reg5">INDIRECT([19]settings!$I$7)</definedName>
    <definedName name="_reg6">INDIRECT([19]settings!$I$8)</definedName>
    <definedName name="_reg7">INDIRECT([19]settings!$I$9)</definedName>
    <definedName name="_ROE01">[17]Ratios!$E$14</definedName>
    <definedName name="_ROE02">[17]Ratios!$F$14</definedName>
    <definedName name="_ROE03">[17]Ratios!$G$14</definedName>
    <definedName name="_ROE04">[17]Ratios!$H$14</definedName>
    <definedName name="_ROE05">[17]Ratios!$I$14</definedName>
    <definedName name="_ROE06">[17]Ratios!$J$14</definedName>
    <definedName name="_tes2" hidden="1">{"quarter",#N/A,FALSE,"MOB"}</definedName>
    <definedName name="ab"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f_pt">[20]D!$D$26</definedName>
    <definedName name="Actual" hidden="1">{#N/A,#N/A,TRUE,"Historicals";#N/A,#N/A,TRUE,"Charts";#N/A,#N/A,TRUE,"Forecasts"}</definedName>
    <definedName name="actuals" hidden="1">{#N/A,#N/A,TRUE,"Historicals";#N/A,#N/A,TRUE,"Charts";#N/A,#N/A,TRUE,"Forecasts"}</definedName>
    <definedName name="ACV">[21]Industry_NetDebt_EBITDA!$A$13,[21]Industry_NetDebt_EBITDA!$A$14,[21]Industry_NetDebt_EBITDA!$A$16,[21]Industry_NetDebt_EBITDA!$A$20,[21]Industry_NetDebt_EBITDA!$A$17,[21]Industry_NetDebt_EBITDA!$A$18,[21]Industry_NetDebt_EBITDA!$A$23,[21]Industry_NetDebt_EBITDA!$A$22,[21]Industry_NetDebt_EBITDA!$A$24,[21]Industry_NetDebt_EBITDA!$A$25,[21]Industry_NetDebt_EBITDA!$A$12</definedName>
    <definedName name="AdditionalInstructions">IndexInformation!$B$42</definedName>
    <definedName name="Address" localSheetId="0">ImportantDisclosures!$A$2:$A$2</definedName>
    <definedName name="adfafsdf">INDEX(MktCapLst,[22]Val_MW!$Y$1)</definedName>
    <definedName name="adfs">INDEX(MktCapLst,[22]Val_MW!$Y$1)</definedName>
    <definedName name="AM">[21]Industry_NetDebt_EBITDA!$A$12,[21]Industry_NetDebt_EBITDA!$A$14,[21]Industry_NetDebt_EBITDA!$A$16,[21]Industry_NetDebt_EBITDA!$A$20,[21]Industry_NetDebt_EBITDA!$A$17,[21]Industry_NetDebt_EBITDA!$A$23,[21]Industry_NetDebt_EBITDA!$A$22,[21]Industry_NetDebt_EBITDA!$A$18,[21]Industry_NetDebt_EBITDA!$A$21,[21]Industry_NetDebt_EBITDA!$A$24,[21]Industry_NetDebt_EBITDA!$A$13</definedName>
    <definedName name="ANA" localSheetId="7">ModPubIndex!$A$7</definedName>
    <definedName name="anscount" hidden="1">1</definedName>
    <definedName name="asdfasd" hidden="1">{#N/A,#N/A,FALSE,"Earnings";#N/A,#N/A,FALSE,"Overview";#N/A,#N/A,FALSE,"Summary";#N/A,#N/A,FALSE,"Summary II";#N/A,#N/A,FALSE,"R&amp;D";#N/A,#N/A,FALSE,"R&amp;D Forecast";#N/A,#N/A,FALSE,"Tax Adj";#N/A,#N/A,FALSE,"Goodwill";#N/A,#N/A,FALSE,"FX ";#N/A,#N/A,FALSE,"Consolidation";#N/A,#N/A,FALSE,"Provisions"}</definedName>
    <definedName name="assets">[2]WY!$D$520:$EG$520</definedName>
    <definedName name="Authors" localSheetId="0">ImportantDisclosures!$A$7</definedName>
    <definedName name="Authors" localSheetId="6">IndexInformation!$B$18</definedName>
    <definedName name="Avg">"Avg"</definedName>
    <definedName name="B11_dataseries1">OFFSET([5]B1070!$D$14,0,0,COUNTA([5]B1070!$D$14:$D$33),1)</definedName>
    <definedName name="B11_xaxisseries1">OFFSET([5]B1070!$C$14,0,0,COUNTA([5]B1070!$C$14:$C$33),1)</definedName>
    <definedName name="balance">[2]WY!$A$483:$X$558</definedName>
    <definedName name="bc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eta">'[21]Valuation-DCF'!$C$37</definedName>
    <definedName name="BEVERAGEANALYSIS">'[23]Raw Data'!$B$4:$W$17</definedName>
    <definedName name="bong_pt">[20]D!$D$41</definedName>
    <definedName name="BRO" localSheetId="7">ModPubIndex!$A$1</definedName>
    <definedName name="BS.CF">'[24]BOW Model'!$A$487:$AF$520</definedName>
    <definedName name="bussum">[25]Sheet1!$M$16:$S$34</definedName>
    <definedName name="Buttons" localSheetId="2">CircularReferenceAlert!$B$13:$B$15</definedName>
    <definedName name="cad_pt">[20]D!$D$7</definedName>
    <definedName name="CAPACITIES">'[26]TIN Model'!$A$4:$AD$34</definedName>
    <definedName name="CENT">[21]Industry_NetDebt_EBITDA!$A$13,[21]Industry_NetDebt_EBITDA!$A$16,[21]Industry_NetDebt_EBITDA!$A$17,[21]Industry_NetDebt_EBITDA!$A$18,[21]Industry_NetDebt_EBITDA!$A$21,[21]Industry_NetDebt_EBITDA!$A$22,[21]Industry_NetDebt_EBITDA!$A$23,[21]Industry_NetDebt_EBITDA!$A$24,[21]Industry_NetDebt_EBITDA!$A$14</definedName>
    <definedName name="ceps">[2]WY!$D$382:$EG$382</definedName>
    <definedName name="ceps_03">[27]B!$S$38</definedName>
    <definedName name="CEPS00">[15]WELLA_YEAR!$E$24</definedName>
    <definedName name="CEPS01">[15]WELLA_YEAR!$G$24</definedName>
    <definedName name="CEPS02">[15]WELLA_YEAR!$I$24</definedName>
    <definedName name="CEPS03">[15]WELLA_YEAR!$K$24</definedName>
    <definedName name="CEPS04">[15]WELLA_YEAR!$M$24</definedName>
    <definedName name="CEPS05">[15]WELLA_YEAR!$O$24</definedName>
    <definedName name="CEPS06">[15]WELLA_YEAR!$Q$24</definedName>
    <definedName name="CEPS07">[15]WELLA_YEAR!$S$24</definedName>
    <definedName name="CEPS98">[15]WELLA_YEAR!$B$24</definedName>
    <definedName name="CEPS99">[15]WELLA_YEAR!$C$24</definedName>
    <definedName name="cereal1">[28]annual!$A$444:$AF$479</definedName>
    <definedName name="CF">'[26]TIN Model'!$A$488:$AD$546</definedName>
    <definedName name="Change">[29]Stats!$D$37:$Q$38</definedName>
    <definedName name="CHD">[21]Industry_NetDebt_EBITDA!$A$12,[21]Industry_NetDebt_EBITDA!$A$18,[21]Industry_NetDebt_EBITDA!$A$20,[21]Industry_NetDebt_EBITDA!$A$17,[21]Industry_NetDebt_EBITDA!$A$22,[21]Industry_NetDebt_EBITDA!$A$23,[21]Industry_NetDebt_EBITDA!$A$16</definedName>
    <definedName name="ChtPerf_AsBev">OFFSET([22]RankingBarCharts!$P$4,1,,COUNT([22]RankingBarCharts!$N$5:$N$150),1)</definedName>
    <definedName name="ChtPerf_AsFd">OFFSET([22]RankingBarCharts!$Q$4,1,,COUNT([22]RankingBarCharts!$N$5:$N$150),1)</definedName>
    <definedName name="ChtPerf_AsHPC">OFFSET([22]RankingBarCharts!$R$4,1,,COUNT([22]RankingBarCharts!$N$5:$N$150),1)</definedName>
    <definedName name="ChtPerf_AsTob">OFFSET([22]RankingBarCharts!$S$4,1,,COUNT([22]RankingBarCharts!$N$5:$N$150),1)</definedName>
    <definedName name="ChtPerf_EUBev">OFFSET([22]RankingBarCharts!$T$4,1,,COUNT([22]RankingBarCharts!$N$5:$N$150),1)</definedName>
    <definedName name="ChtPerf_EUFD">OFFSET([22]RankingBarCharts!$U$4,1,,COUNT([22]RankingBarCharts!$N$5:$N$150),1)</definedName>
    <definedName name="ChtPerf_EUHPC">OFFSET([22]RankingBarCharts!$V$4,1,,COUNT([22]RankingBarCharts!$N$5:$N$150),1)</definedName>
    <definedName name="ChtPerf_EUTob">OFFSET([22]RankingBarCharts!$W$4,1,,COUNT([22]RankingBarCharts!$N$5:$N$150),1)</definedName>
    <definedName name="ChtPerf_USBev">OFFSET([22]RankingBarCharts!$X$4,1,,COUNT([22]RankingBarCharts!$N$5:$N$150),1)</definedName>
    <definedName name="ChtPerf_USFd">OFFSET([22]RankingBarCharts!$Y$4,1,,COUNT([22]RankingBarCharts!$N$5:$N$150),1)</definedName>
    <definedName name="ChtPerf_USHPC">OFFSET([22]RankingBarCharts!$Z$4,1,,COUNT([22]RankingBarCharts!$N$5:$N$150),1)</definedName>
    <definedName name="ChtPerf_USTob">OFFSET([22]RankingBarCharts!$AA$4,1,,COUNT([22]RankingBarCharts!$N$5:$N$150),1)</definedName>
    <definedName name="ChtPerf_X">OFFSET([22]RankingBarCharts!$O$4,1,,COUNT([22]RankingBarCharts!$N$5:$N$150),1)</definedName>
    <definedName name="CHTT">[21]Industry_NetDebt_EBITDA!$A$16,[21]Industry_NetDebt_EBITDA!$A$14,[21]Industry_NetDebt_EBITDA!$A$17,[21]Industry_NetDebt_EBITDA!$A$23,[21]Industry_NetDebt_EBITDA!$A$22,[21]Industry_NetDebt_EBITDA!$A$18,[21]Industry_NetDebt_EBITDA!$A$24,[21]Industry_NetDebt_EBITDA!$A$21,[21]Industry_NetDebt_EBITDA!$A$15</definedName>
    <definedName name="Co_Name">OFFSET([19]mware!$A$1,5,0,[19]settings!$N$2)</definedName>
    <definedName name="COLUMNS">'[30]FINANCIAL STATEMENTS'!$B$1:$E$65536,'[30]FINANCIAL STATEMENTS'!$G$1:$J$65536,'[30]FINANCIAL STATEMENTS'!$L$1:$O$65536,'[30]FINANCIAL STATEMENTS'!$Q$1:$T$65536,'[30]FINANCIAL STATEMENTS'!$V$1:$Y$65536,'[30]FINANCIAL STATEMENTS'!$AK$1:$AN$65536</definedName>
    <definedName name="COLUMNS2">'[30]QTRLY - REGIONAL'!$B$1:$T$65536,'[30]QTRLY - REGIONAL'!$V$1:$Y$65536,'[30]QTRLY - REGIONAL'!$AA$1:$AD$65536,'[30]QTRLY - REGIONAL'!$AF$1:$AI$65536,'[30]QTRLY - REGIONAL'!$AU$1:$AX$65536</definedName>
    <definedName name="COMPS">'[13]FINANCIAL STATEMENTS'!$BL$1:$BT$49</definedName>
    <definedName name="COMPS2">'[13]QTRLY - REGIONAL'!$AR$1:$AY$112</definedName>
    <definedName name="COMPS3">'[13]QTRLY - REGIONAL'!$AR$115:$AY$168</definedName>
    <definedName name="CopyrightStamp">ImportantDisclosures!$A$27</definedName>
    <definedName name="Core_High">OFFSET([22]CoreMetrics_MW!$AK$3,[22]CoreMetrics_MW!$AL$2,0,-[22]CoreMetrics_MW!$AL$2,1)</definedName>
    <definedName name="Core_Low">OFFSET([22]CoreMetrics_MW!$AJ$3,[22]CoreMetrics_MW!$AL$1,0,-[22]CoreMetrics_MW!$AL$1,1)</definedName>
    <definedName name="CoreValLCell">#N/A</definedName>
    <definedName name="Cost_of_equity">'[21]Valuation-DCF'!$C$38</definedName>
    <definedName name="Cost_of_preferred_stock">'[21]Valuation-DCF'!$C$39</definedName>
    <definedName name="COU" localSheetId="7">ModPubIndex!$A$5</definedName>
    <definedName name="CQEnd" localSheetId="6">IndexInformation!$B$31</definedName>
    <definedName name="csm_pt">[20]D!$D$27</definedName>
    <definedName name="Currency" localSheetId="6">IndexInformation!$B$24</definedName>
    <definedName name="CurrentStockPrice" localSheetId="6">IndexInformation!$B$23</definedName>
    <definedName name="CurrQtrEPS" localSheetId="6">IndexInformation!$B$29</definedName>
    <definedName name="CurrYearEPS" localSheetId="6">IndexInformation!$B$11</definedName>
    <definedName name="CurrYearTotalRevenue" localSheetId="6">IndexInformation!$B$10</definedName>
    <definedName name="CurrYearTotalRevenueActual" localSheetId="6">IndexInformation!$B$32</definedName>
    <definedName name="CUSIP" localSheetId="6">IndexInformation!$B$20</definedName>
    <definedName name="CYEnd" localSheetId="6">IndexInformation!$B$30</definedName>
    <definedName name="da">[2]WY!$D$420:$EG$420</definedName>
    <definedName name="danceps_eu00">[31]B!$R$49</definedName>
    <definedName name="danceps_eu01">[31]B!$T$49</definedName>
    <definedName name="danceps_eu02">[31]B!$V$49</definedName>
    <definedName name="danceps_eu03">[31]B!$X$49</definedName>
    <definedName name="danceps00">[31]B!$R$122</definedName>
    <definedName name="danceps01">[31]B!$T$122</definedName>
    <definedName name="danceps98">[31]B!$F$122</definedName>
    <definedName name="danceps99">[31]B!$L$122</definedName>
    <definedName name="dandps_eu00">[31]B!$R$50</definedName>
    <definedName name="dandps_eu01">[31]B!$T$50</definedName>
    <definedName name="dandps_eu02">[31]B!$V$50</definedName>
    <definedName name="dandps_eu03">[31]B!$X$50</definedName>
    <definedName name="dandps00">[31]B!$R$123</definedName>
    <definedName name="dandps01">[31]B!$T$123</definedName>
    <definedName name="dandps98">[31]B!$F$123</definedName>
    <definedName name="dandps99">[31]B!$L$123</definedName>
    <definedName name="daneps_eu00">[31]B!$R$45</definedName>
    <definedName name="daneps_eu01">[31]B!$T$45</definedName>
    <definedName name="daneps_eu02">[31]B!$V$45</definedName>
    <definedName name="daneps_eu03">[31]B!$X$45</definedName>
    <definedName name="daneps00">[31]B!$R$120</definedName>
    <definedName name="daneps01">[31]B!$T$120</definedName>
    <definedName name="daneps98">[31]B!$F$120</definedName>
    <definedName name="daneps99">[31]B!$L$120</definedName>
    <definedName name="danepseu_04">[32]B!$AH$45</definedName>
    <definedName name="danepseu_05">[31]B!$Z$45</definedName>
    <definedName name="dani_pt">[20]D!$D$28</definedName>
    <definedName name="dano_pt">[20]D!$D$8</definedName>
    <definedName name="dataseries4">OFFSET([33]c1!$G$12,0,0,COUNTA([33]c1!$G$12:$G$31),1)</definedName>
    <definedName name="Date" localSheetId="0">ImportantDisclosures!$A$8</definedName>
    <definedName name="days">[34]Financials!$D$96</definedName>
    <definedName name="DCF">[29]DCF!$B$2:$P$59</definedName>
    <definedName name="ddddddd"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eleted" localSheetId="6">IndexInformation!$B$27</definedName>
    <definedName name="Description" localSheetId="6">IndexInformation!$B$7</definedName>
    <definedName name="DEVELOPMENT">5</definedName>
    <definedName name="diffname" hidden="1">{"summary1",#N/A,FALSE,"K";"summary2",#N/A,FALSE,"K";"USmarket",#N/A,FALSE,"K";"USearnings",#N/A,FALSE,"K"}</definedName>
    <definedName name="Discipline" localSheetId="6">IndexInformation!$B$3</definedName>
    <definedName name="DISCIPLINE" localSheetId="7">ModPubIndex!$A$12</definedName>
    <definedName name="DisclosuresText">ImportantDisclosures!$A$22</definedName>
    <definedName name="Distribution" localSheetId="6">IndexInformation!$B$26</definedName>
    <definedName name="DistTable" localSheetId="0">ImportantDisclosures!#REF!</definedName>
    <definedName name="DistTablePreamble" localSheetId="0">ImportantDisclosures!#REF!</definedName>
    <definedName name="DOCDAT" localSheetId="7">ModPubIndex!$A$2</definedName>
    <definedName name="DOCTIME" localSheetId="7">ModPubIndex!$A$3</definedName>
    <definedName name="DocType" localSheetId="6">IndexInformation!$B$5</definedName>
    <definedName name="dps_03">[27]B!$S$40</definedName>
    <definedName name="dps_04">'[35]P&amp;L'!$O$29</definedName>
    <definedName name="DPS00">[15]WELLA_YEAR!$E$25</definedName>
    <definedName name="DRS_Balance">[36]Main!$A$180:$AE$212</definedName>
    <definedName name="DRS_Cash">[36]Main!$A$130</definedName>
    <definedName name="DRS_Earnings">[36]Main!$A$1</definedName>
    <definedName name="drtrt" hidden="1">[1]Aerospace!$A$342:$A$374</definedName>
    <definedName name="e">'[37]P&amp;L'!$F$5</definedName>
    <definedName name="EARN">'[26]TIN Model'!$A$182:$AD$236</definedName>
    <definedName name="EBIT">[38]WY!$AG$271:$HW$271</definedName>
    <definedName name="EBIT_00">'[39]P&amp;L'!$F$38</definedName>
    <definedName name="EBIT_01">'[39]P&amp;L'!$G$38</definedName>
    <definedName name="EBIT_02">'[39]P&amp;L'!$H$38</definedName>
    <definedName name="EBIT_03">'[39]P&amp;L'!$I$38</definedName>
    <definedName name="EBIT_04">'[39]P&amp;L'!$J$38</definedName>
    <definedName name="EBIT_05">'[39]P&amp;L'!$K$38</definedName>
    <definedName name="EBIT_06">'[39]P&amp;L'!$L$38</definedName>
    <definedName name="EBIT_07">'[39]P&amp;L'!$M$38</definedName>
    <definedName name="EBIT_08">'[39]P&amp;L'!$N$38</definedName>
    <definedName name="ebit_1998">[31]B!$F$97</definedName>
    <definedName name="EBIT_96">'[39]P&amp;L'!$B$38</definedName>
    <definedName name="EBIT_97">'[39]P&amp;L'!$C$38</definedName>
    <definedName name="EBIT_98">'[39]P&amp;L'!$D$38</definedName>
    <definedName name="EBIT_99">'[39]P&amp;L'!$E$38</definedName>
    <definedName name="ebit_plc_00">[40]D!$U$23</definedName>
    <definedName name="ebit_plc_01">[40]D!$AE$23</definedName>
    <definedName name="ebit_plc_02">[40]D!$AG$23</definedName>
    <definedName name="ebit00">'[41]Inc-Yr Summary'!$AC$27</definedName>
    <definedName name="ebit04">'[18]Income Statement'!$AN$19</definedName>
    <definedName name="ebit05">'[18]Income Statement'!$AO$19</definedName>
    <definedName name="ebit06">'[18]Income Statement'!$AP$19</definedName>
    <definedName name="EBIT07">[15]WELLA_YEAR!$S$6</definedName>
    <definedName name="ebit95">'[18]Income Statement'!$B$19</definedName>
    <definedName name="ebit96">'[18]Income Statement'!$C$19</definedName>
    <definedName name="ebit97">'[18]Income Statement'!$D$19</definedName>
    <definedName name="ebit98">'[18]Income Statement'!$I$19</definedName>
    <definedName name="ebit99">'[18]Income Statement'!$N$19</definedName>
    <definedName name="EBITDA_02">'[39]P&amp;L'!$H$29</definedName>
    <definedName name="ebitda_03">[27]B!$S$39</definedName>
    <definedName name="EBITDA_04">'[39]P&amp;L'!$J$29</definedName>
    <definedName name="EBITDA_05">'[39]P&amp;L'!$K$29</definedName>
    <definedName name="EBITDA_06">'[39]P&amp;L'!$L$29</definedName>
    <definedName name="EBITDA_07">'[39]P&amp;L'!$M$29</definedName>
    <definedName name="EBITDA_08">'[39]P&amp;L'!$N$29</definedName>
    <definedName name="EBITDA_98">'[39]P&amp;L'!$D$29</definedName>
    <definedName name="EBITDA_99">'[39]P&amp;L'!$E$29</definedName>
    <definedName name="ebitda_eu00">[31]B!$R$13</definedName>
    <definedName name="ebitda_eu01">[32]B!$X$13</definedName>
    <definedName name="ebitda_eu02">[32]B!$AD$13</definedName>
    <definedName name="ebitda_eu03">[31]B!$X$13</definedName>
    <definedName name="ebitda_eu04">[32]B!$AH$13</definedName>
    <definedName name="ebitda_eu98">[31]B!$F$13</definedName>
    <definedName name="ebitda_eu99">[31]B!$L$13</definedName>
    <definedName name="ebitda06">'[18]Income Statement'!$AP$44</definedName>
    <definedName name="EBITDA07">[15]WELLA_YEAR!$S$5</definedName>
    <definedName name="EBITDA94">'[42]Inc-Yr Summary'!$Z$46</definedName>
    <definedName name="EBITMargin00">[15]WELLA_YEAR!$E$7</definedName>
    <definedName name="EBITMargin01">[15]WELLA_YEAR!$G$7</definedName>
    <definedName name="EBITMargin02">[15]WELLA_YEAR!$I$7</definedName>
    <definedName name="EBITMargin03">[15]WELLA_YEAR!$K$7</definedName>
    <definedName name="EBITMargin04">[15]WELLA_YEAR!$M$7</definedName>
    <definedName name="EBITMargin05">[15]WELLA_YEAR!$O$7</definedName>
    <definedName name="EBITMargin06">[15]WELLA_YEAR!$Q$7</definedName>
    <definedName name="EBITMargin07">[15]WELLA_YEAR!$S$7</definedName>
    <definedName name="EBITMargin98">[15]WELLA_YEAR!$B$7</definedName>
    <definedName name="EBITMargin99">[15]WELLA_YEAR!$C$7</definedName>
    <definedName name="ebs_pt">[20]D!$D$40</definedName>
    <definedName name="EMAIL_ALERT" localSheetId="7">ModPubIndex!$A$10</definedName>
    <definedName name="EmailAlert" localSheetId="6">IndexInformation!$B$28</definedName>
    <definedName name="ENR">[21]Industry_NetDebt_EBITDA!$A$12,[21]Industry_NetDebt_EBITDA!$A$14,[21]Industry_NetDebt_EBITDA!$A$16,[21]Industry_NetDebt_EBITDA!$A$20,[21]Industry_NetDebt_EBITDA!$A$17,[21]Industry_NetDebt_EBITDA!$A$23,[21]Industry_NetDebt_EBITDA!$A$22,[21]Industry_NetDebt_EBITDA!$A$24,[21]Industry_NetDebt_EBITDA!$A$18</definedName>
    <definedName name="Enterprise_value">'[21]Valuation-DCF'!$G$56</definedName>
    <definedName name="eps_03">[31]B!$X$120</definedName>
    <definedName name="eps_05">[27]B!$W$31</definedName>
    <definedName name="eps_nv_eu_01">'[40]G-Euro'!$AB$53</definedName>
    <definedName name="eps_plc_01">[40]D!$AE$53</definedName>
    <definedName name="EPSord00">[15]WELLA_YEAR!$E$21</definedName>
    <definedName name="EPSord02">[15]WELLA_YEAR!$I$21</definedName>
    <definedName name="EPSord03">[15]WELLA_YEAR!$K$21</definedName>
    <definedName name="EPSord04">[15]WELLA_YEAR!$M$21</definedName>
    <definedName name="EPSord05">[15]WELLA_YEAR!$O$21</definedName>
    <definedName name="EPSord06">[15]WELLA_YEAR!$Q$21</definedName>
    <definedName name="EPSord07">[15]WELLA_YEAR!$S$21</definedName>
    <definedName name="EPSord98">[15]WELLA_YEAR!$B$21</definedName>
    <definedName name="EPSord99">[15]WELLA_YEAR!$C$21</definedName>
    <definedName name="EPSpref00">[15]WELLA_YEAR!$E$22</definedName>
    <definedName name="EPSpref01">[15]WELLA_YEAR!$G$22</definedName>
    <definedName name="EPSpref02">[15]WELLA_YEAR!$I$22</definedName>
    <definedName name="EPSpref03">[15]WELLA_YEAR!$K$22</definedName>
    <definedName name="EPSpref04">[15]WELLA_YEAR!$M$22</definedName>
    <definedName name="EPSpref05">[15]WELLA_YEAR!$O$22</definedName>
    <definedName name="EPSpref06">[15]WELLA_YEAR!$Q$22</definedName>
    <definedName name="EPSpref07">[15]WELLA_YEAR!$S$22</definedName>
    <definedName name="EPSpref98">[15]WELLA_YEAR!$B$22</definedName>
    <definedName name="EPSpref99">[15]WELLA_YEAR!$C$22</definedName>
    <definedName name="equity">[2]WY!$D$556:$EG$556</definedName>
    <definedName name="Equity_percent_of_total_capitalisation">'[21]Valuation-DCF'!$C$44</definedName>
    <definedName name="Equity_risk_premium">'[21]Valuation-DCF'!$C$36</definedName>
    <definedName name="eter" hidden="1">[1]Aerospace!$AJ$342:$AJ$355</definedName>
    <definedName name="ev">[2]WY!$D$425:$EG$425</definedName>
    <definedName name="EVA">[29]EVA!$B$2:$P$31</definedName>
    <definedName name="ExpandModel">[0]!ExpandModel</definedName>
    <definedName name="ExpandOutputs">[0]!ExpandOutputs</definedName>
    <definedName name="ExpandVPeriods">[0]!ExpandVPeriods</definedName>
    <definedName name="ExportFile">[0]!ExportFile</definedName>
    <definedName name="ｆ" hidden="1">"iQShowAnnual"</definedName>
    <definedName name="FCF">[43]L!$C$13:$P$20</definedName>
    <definedName name="fhrt" hidden="1">[1]Aerospace!$AL$342:$AL$355</definedName>
    <definedName name="FilterLst">[44]Inputs!$P$1:$P$30</definedName>
    <definedName name="FiveYearGrowthRate" localSheetId="6">IndexInformation!$B$16</definedName>
    <definedName name="fn">[11]Model_Template!$B$779</definedName>
    <definedName name="FollowingYearEPS" localSheetId="6">IndexInformation!$B$15</definedName>
    <definedName name="FollowingYearTotalRevenue" localSheetId="6">IndexInformation!$B$14</definedName>
    <definedName name="FollowingYearTotalRevenueActual" localSheetId="6">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Y00">[2]WY!$BF$2:$BF$1044</definedName>
    <definedName name="FY01_">[2]WY!$AZ$2:$AZ$1044</definedName>
    <definedName name="FY02_">[2]WY!$AT$2:$AT$1044</definedName>
    <definedName name="FY03_">[2]WY!$AN$2:$AN$1044</definedName>
    <definedName name="FY92_">[2]WY!$DB$2:$DB$1044</definedName>
    <definedName name="FY93_">[2]WY!$CV$2:$CV$1044</definedName>
    <definedName name="FY94_">[2]WY!$CP$2:$CP$1044</definedName>
    <definedName name="FY95_">[2]WY!$CJ$2:$CJ$1044</definedName>
    <definedName name="FY96_">[2]WY!$CD$2:$CD$1044</definedName>
    <definedName name="FY97_">[2]WY!$BX$2:$BX$1044</definedName>
    <definedName name="FY98_">[2]WY!$BR$2:$BR$1044</definedName>
    <definedName name="FY99_">[2]WY!$BL$2:$BL$1044</definedName>
    <definedName name="gearing_97">[45]D!$K$41</definedName>
    <definedName name="gearing_98">[31]G!$O$135</definedName>
    <definedName name="gearing_eu00">[31]G!$Q$54</definedName>
    <definedName name="germ">INDEX(MktCapLst,[22]Val_MW!$Y$1)</definedName>
    <definedName name="ghtrhy" hidden="1">[1]Aerospace!$R$342:$R$373</definedName>
    <definedName name="growth">[28]annual!$A$292:$R$335</definedName>
    <definedName name="HELE">[21]Industry_NetDebt_EBITDA!$A$18,[21]Industry_NetDebt_EBITDA!$A$16,[21]Industry_NetDebt_EBITDA!$A$12,[21]Industry_NetDebt_EBITDA!$A$23,[21]Industry_NetDebt_EBITDA!$A$22,[21]Industry_NetDebt_EBITDA!$A$17,[21]Industry_NetDebt_EBITDA!$A$14,[21]Industry_NetDebt_EBITDA!$A$15,[21]Industry_NetDebt_EBITDA!$A$21,[21]Industry_NetDebt_EBITDA!$A$13,[21]Industry_NetDebt_EBITDA!$A$19</definedName>
    <definedName name="help2">INDIRECT(ValShtNm&amp;"!"&amp;ADDRESS(4,COLUMN([22]ScatterCharts!$D$1:$D$65536))&amp;":"&amp; ADDRESS(ROW(INDIRECT(whynot)),COLUMN([22]ScatterCharts!$D$1:$D$65536)))</definedName>
    <definedName name="hey">OFFSET([6]L1071!$X$12,0,0,COUNTIF([6]L1071!$W$12:$W$1231,"&lt;&gt;false"),1)</definedName>
    <definedName name="HISTORY">'[26]TIN Model'!$A$641:$AD$648</definedName>
    <definedName name="HL" localSheetId="7">ModPubIndex!$A$8</definedName>
    <definedName name="HOME">'[13]QTRLY - REGIONAL'!$C$5</definedName>
    <definedName name="i" hidden="1">{"Qtr Op Mgd Q3",#N/A,FALSE,"Qtr-Op (Mng)";"Qtr Op Rpt Q3",#N/A,FALSE,"Qtr-Op (Rpt)";"Operating Vs Reported",#N/A,FALSE,"Rpt-Op Inc"}</definedName>
    <definedName name="ImportFile">[0]!ImportFile</definedName>
    <definedName name="IND" localSheetId="7">ModPubIndex!$A$9</definedName>
    <definedName name="Industry" localSheetId="0">ImportantDisclosures!$A$12</definedName>
    <definedName name="industry1">OFFSET([19]mware!$A$1,[19]settings!$N$7,[19]settings!$N$16-1,[19]settings!$N$2)</definedName>
    <definedName name="IndustryId">IndexInformation!$B$40</definedName>
    <definedName name="IndustryRating" localSheetId="0">ImportantDisclosures!$A$13</definedName>
    <definedName name="interest_01">'[46]P&amp;L'!$O$20</definedName>
    <definedName name="interest_02">'[46]P&amp;L'!$Q$20</definedName>
    <definedName name="interest_03">'[46]P&amp;L'!$S$20</definedName>
    <definedName name="interest_98">[31]B!$F$106</definedName>
    <definedName name="intexp">[2]WY!$D$351:$EG$351</definedName>
    <definedName name="IntOptions">[47]Storage!$BR$3:$BR$5</definedName>
    <definedName name="Ip_Factset">OFFSET([22]Inputs!$G$2,,,COUNTA([22]Inputs!$G$2:$G$164),1)</definedName>
    <definedName name="Ip_Ind">OFFSET([22]Inputs!$F$2,,,COUNTA([22]Inputs!$F$2:$F$164),1)</definedName>
    <definedName name="Ip_Index">OFFSET([22]Inputs!$B$2,,,COUNT([22]Inputs!$B$2:$B$164),1)</definedName>
    <definedName name="Ip_Region">OFFSET([22]Inputs!$E$2,,,COUNTA([22]Inputs!$E$2:$E$164),1)</definedName>
    <definedName name="Ip_Ticker">OFFSET([22]Inputs!$C$2,,,COUNTA([22]Inputs!$C$2:$C$164),1)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SHAREOUTSTANDING" hidden="1">"c83"</definedName>
    <definedName name="IQ_AVG_TEMP_EMPLOYEES" hidden="1">"c6020"</definedName>
    <definedName name="IQ_AVG_TEV" hidden="1">"c84"</definedName>
    <definedName name="IQ_AVG_VOLUME" hidden="1">"c1346"</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IVIDENDS_NET_INCOME_FDIC" hidden="1">"c6738"</definedName>
    <definedName name="IQ_CASH_DUE_BANKS" hidden="1">"c1351"</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"c1369"</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_THOM" hidden="1">"c5300"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BOTTOM_UP" hidden="1">"c5489"</definedName>
    <definedName name="IQ_EPS_EST_BOTTOM_UP_THOM" hidden="1">"c5647"</definedName>
    <definedName name="IQ_EPS_EST_REUT" hidden="1">"c5453"</definedName>
    <definedName name="IQ_EPS_EST_THOM" hidden="1">"c5290"</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THOM" hidden="1">"c5132"</definedName>
    <definedName name="IQ_EST_ACT_OPER_INC" hidden="1">"c1694"</definedName>
    <definedName name="IQ_EST_ACT_OPER_INC_THOM" hidden="1">"c5118"</definedName>
    <definedName name="IQ_EST_ACT_PRETAX_INC" hidden="1">"c1701"</definedName>
    <definedName name="IQ_EST_ACT_PRETAX_INC_THOM" hidden="1">"c5125"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I_DIFF" hidden="1">"c1885"</definedName>
    <definedName name="IQ_EST_NI_DIFF_THOM" hidden="1">"c5198"</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"c1448"</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TURN_ASSETS_FDIC" hidden="1">"c6731"</definedName>
    <definedName name="IQ_PRICE_CFPS_FWD" hidden="1">"c2237"</definedName>
    <definedName name="IQ_PRICE_CFPS_FWD_THOM" hidden="1">"c4060"</definedName>
    <definedName name="IQ_PRICE_OVER_BVPS" hidden="1">"c1412"</definedName>
    <definedName name="IQ_PRICE_OVER_LTM_EPS" hidden="1">"c1413"</definedName>
    <definedName name="IQ_PRICE_TARGET" hidden="1">"c82"</definedName>
    <definedName name="IQ_PRICE_TARGET_REUT" hidden="1">"c3631"</definedName>
    <definedName name="IQ_PRICE_TARGET_THOM" hidden="1">"c3649"</definedName>
    <definedName name="IQ_PRICEDATE" hidden="1">"c1069"</definedName>
    <definedName name="IQ_PRICING_DATE" hidden="1">"c1613"</definedName>
    <definedName name="IQ_PRIMARY_EPS_TYPE" hidden="1">"c4498"</definedName>
    <definedName name="IQ_PRIMARY_INDUSTRY" hidden="1">"c1070"</definedName>
    <definedName name="IQ_PRINCIPAL_AMT" hidden="1">"c2157"</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_THOM" hidden="1">"c5299"</definedName>
    <definedName name="IQ_REVENUE_EST" hidden="1">"c1126"</definedName>
    <definedName name="IQ_REVENUE_EST_REUT" hidden="1">"c3634"</definedName>
    <definedName name="IQ_REVENUE_EST_THOM" hidden="1">"c3652"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39745.4187268519</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justname" hidden="1">{"summary1",#N/A,FALSE,"K";"summary2",#N/A,FALSE,"K";"USmarket",#N/A,FALSE,"K";"USearnings",#N/A,FALSE,"K"}</definedName>
    <definedName name="KeepVersions" localSheetId="6">IndexInformation!$B$8</definedName>
    <definedName name="KelloggUS">[28]annual!$A$490:$AF$519</definedName>
    <definedName name="KKK">'[48]P&amp;L'!$N$8</definedName>
    <definedName name="labels">OFFSET([19]settings!$AG$1,1,0,[19]settings!$N$2)</definedName>
    <definedName name="LanguageCode">IndexInformation!$B$38</definedName>
    <definedName name="LastCell" localSheetId="0">ImportantDisclosures!$A$22</definedName>
    <definedName name="lastregression"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Latest_net_debt">'[21]Valuation-DCF'!$G$46</definedName>
    <definedName name="liab">[2]WY!$D$555:$EG$555</definedName>
    <definedName name="lindt_pt">[20]D!$D$29</definedName>
    <definedName name="Linking_Range_11">'Financial Statements'!$A$4:$BY$90</definedName>
    <definedName name="Linking_Range_12">'Financial Statements'!$A$111:$BY$154</definedName>
    <definedName name="Linking_Range_13">'Financial Statements'!$A$158:$BY$193</definedName>
    <definedName name="Linking_Range_2">'Financial Statements'!$A$111:$BT$154</definedName>
    <definedName name="Linking_Range_20">'Financial Statements'!$A$4:$CD$90</definedName>
    <definedName name="Linking_Range_21">'Financial Statements'!$A$111:$CD$154</definedName>
    <definedName name="Linking_Range_22">'Financial Statements'!$A$158:$CD$193</definedName>
    <definedName name="Linking_Range_3">'Financial Statements'!$A$158:$BT$193</definedName>
    <definedName name="Linking_Range_31">'Financial Statements'!$A$1:$CD$90</definedName>
    <definedName name="Linking_Text_1">Segments!$AP$63</definedName>
    <definedName name="Linking_Text_5">18</definedName>
    <definedName name="Linking_Text_6">22</definedName>
    <definedName name="Linking_Text_7">23</definedName>
    <definedName name="List_of_sheetnames">OFFSET([19]master!$E$2,0,0,1,[19]settings!$N$13)</definedName>
    <definedName name="Long_term_growth">'[21]Valuation-DCF'!$G$32</definedName>
    <definedName name="MacroVersion" localSheetId="6">IndexInformation!$B$1</definedName>
    <definedName name="MACRS_schedule">[49]Analysis!$C$2</definedName>
    <definedName name="MACRSoptions">[49]MACRS!$C$4:$C$8</definedName>
    <definedName name="Marginal_tax_rate">'[21]Valuation-DCF'!$C$34</definedName>
    <definedName name="Market_cap_of_equity">'[21]Valuation-DCF'!$C$40</definedName>
    <definedName name="Market_cap_of_preferred">'[21]Valuation-DCF'!$C$41</definedName>
    <definedName name="MaxChange" localSheetId="2">CircularReferenceAlert!$B$9</definedName>
    <definedName name="MaxIterations" localSheetId="2">CircularReferenceAlert!$B$8</definedName>
    <definedName name="me">"Button 5"</definedName>
    <definedName name="metric1">OFFSET([19]settings!$AM$1,1,0,[19]settings!$N$2)</definedName>
    <definedName name="metric2">OFFSET([19]settings!$AN$1,1,0,[19]settings!$N$2)</definedName>
    <definedName name="Minorities00">[15]WELLA_YEAR!$E$14</definedName>
    <definedName name="Minorities01">[15]WELLA_YEAR!$G$14</definedName>
    <definedName name="Minorities02">[15]WELLA_YEAR!$I$14</definedName>
    <definedName name="Minorities03">[15]WELLA_YEAR!$K$14</definedName>
    <definedName name="Minorities04">[15]WELLA_YEAR!$M$14</definedName>
    <definedName name="Minorities05">[15]WELLA_YEAR!$O$14</definedName>
    <definedName name="Minorities06">[15]WELLA_YEAR!$Q$14</definedName>
    <definedName name="Minorities07">[15]WELLA_YEAR!$S$14</definedName>
    <definedName name="Minorities98">[15]WELLA_YEAR!$B$14</definedName>
    <definedName name="Minorities99">[15]WELLA_YEAR!$C$14</definedName>
    <definedName name="MktCap">INDEX(MktCapLst,[22]Val_MW!$Y$1)</definedName>
    <definedName name="MktCapLst">[22]Inputs!$K$2:$K$10</definedName>
    <definedName name="ModelPrice" localSheetId="0">ImportantDisclosures!$A$14</definedName>
    <definedName name="MtCap">10000000000</definedName>
    <definedName name="Multiplier" localSheetId="6">IndexInformation!$B$35</definedName>
    <definedName name="multSecurities_L">[50]MultipleSecurities!$A$2:$A$17</definedName>
    <definedName name="mv">[2]WY!$D$424:$EG$424</definedName>
    <definedName name="mwaremetrics">OFFSET([19]mware!$A$5,0,0,1,[19]settings!$N$3)</definedName>
    <definedName name="ndfas" hidden="1">{#N/A,#N/A,FALSE,"COVER";#N/A,#N/A,FALSE,"VALUATION";#N/A,#N/A,FALSE,"FORECAST";#N/A,#N/A,FALSE,"FY ANALYSIS ";#N/A,#N/A,FALSE," HY ANALYSIS"}</definedName>
    <definedName name="nes_pt">[20]D!$D$9</definedName>
    <definedName name="Net_debt_total_capitalisation">'[21]Valuation-DCF'!$C$46</definedName>
    <definedName name="net_profit_98">[27]B!$I$28</definedName>
    <definedName name="netdebt">[2]WY!$D$423:$EG$423</definedName>
    <definedName name="NetDebt_02">'[51]Ratios, Margins &amp; Multiples'!$I$36</definedName>
    <definedName name="NetIncome_00">'[39]P&amp;L'!$F$57</definedName>
    <definedName name="NetIncome_01">'[39]P&amp;L'!$G$57</definedName>
    <definedName name="NetIncome_02">'[39]P&amp;L'!$H$57</definedName>
    <definedName name="NetIncome_03">'[39]P&amp;L'!$I$57</definedName>
    <definedName name="NetIncome_04">'[39]P&amp;L'!$J$57</definedName>
    <definedName name="NetIncome_05">'[39]P&amp;L'!$K$57</definedName>
    <definedName name="NetIncome_06">'[39]P&amp;L'!$L$57</definedName>
    <definedName name="NetIncome_07">'[39]P&amp;L'!$M$57</definedName>
    <definedName name="NetIncome_08">'[39]P&amp;L'!$N$57</definedName>
    <definedName name="NetIncome_96">'[39]P&amp;L'!$B$57</definedName>
    <definedName name="NetIncome_97">'[39]P&amp;L'!$C$57</definedName>
    <definedName name="NetIncome_98">'[39]P&amp;L'!$D$57</definedName>
    <definedName name="NetIncome_99">'[39]P&amp;L'!$E$57</definedName>
    <definedName name="Netincome00">[15]WELLA_YEAR!$E$15</definedName>
    <definedName name="Netincome01">[15]WELLA_YEAR!$G$15</definedName>
    <definedName name="Netincome02">[15]WELLA_YEAR!$I$15</definedName>
    <definedName name="Netincome03">[15]WELLA_YEAR!$K$15</definedName>
    <definedName name="Netincome04">[15]WELLA_YEAR!$M$15</definedName>
    <definedName name="Netincome05">[15]WELLA_YEAR!$O$15</definedName>
    <definedName name="Netincome06">[15]WELLA_YEAR!$Q$15</definedName>
    <definedName name="Netincome07">[15]WELLA_YEAR!$S$15</definedName>
    <definedName name="Netincome98">[15]WELLA_YEAR!$B$15</definedName>
    <definedName name="Netincome99">[15]WELLA_YEAR!$C$15</definedName>
    <definedName name="nEW" hidden="1">{#N/A,#N/A,TRUE,"Historicals";#N/A,#N/A,TRUE,"Charts";#N/A,#N/A,TRUE,"Forecasts"}</definedName>
    <definedName name="next"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xt_regression" hidden="1">{"summary1",#N/A,FALSE,"K";"summary2",#N/A,FALSE,"K";"USmarket",#N/A,FALSE,"K";"USearnings",#N/A,FALSE,"K"}</definedName>
    <definedName name="next2">INDEX(MktCapLst,[22]Val_MW!$Y$1)</definedName>
    <definedName name="nextregression">ADDRESS(COUNT([22]ScatterCharts!$A$5:$A$201)+3,COUNTA([22]ScatterCharts!$A$4:$C$4),1,,ValShtNm)</definedName>
    <definedName name="NextYearEPS" localSheetId="6">IndexInformation!$B$13</definedName>
    <definedName name="NextYearTotalRevenue" localSheetId="6">IndexInformation!$B$12</definedName>
    <definedName name="NextYearTotalRevenueActual" localSheetId="6">IndexInformation!$B$33</definedName>
    <definedName name="nn">INDEX(MktCapLst,[22]Val_MW!$Y$1)</definedName>
    <definedName name="No_of_shares_latest">'[21]Valuation-DCF'!$G$45</definedName>
    <definedName name="NTFLabels">[47]Storage!$BR$10:$BR$11</definedName>
    <definedName name="numi_pt">[20]D!$D$30</definedName>
    <definedName name="NVCURR">[52]I!$B$1:$U$51</definedName>
    <definedName name="o" hidden="1">{"Pulp Production",#N/A,FALSE,"Pulp";"Pulp Earnings",#N/A,FALSE,"Pulp"}</definedName>
    <definedName name="ObjectType">IndexInformation!$B$37</definedName>
    <definedName name="Op_profit_01">'[53]Income-Segment'!$BD$25</definedName>
    <definedName name="Op_profit_02">'[53]Income-Segment'!$BE$25</definedName>
    <definedName name="Op_profit00">'[53]Income-Segment'!$BC$25</definedName>
    <definedName name="Op_profit03">'[53]Income-Segment'!$BF$25</definedName>
    <definedName name="Op_profit96">'[53]Income-Segment'!$AD$25</definedName>
    <definedName name="Op_profit97">'[53]Income-Segment'!$AN$25</definedName>
    <definedName name="Op_profit98">'[53]Income-Segment'!$AS$25</definedName>
    <definedName name="Op_profit99">'[53]Income-Segment'!$AX$25</definedName>
    <definedName name="ordshares00">[15]WELLA_YEAR!$E$18</definedName>
    <definedName name="ordshares01">[15]WELLA_YEAR!$G$18</definedName>
    <definedName name="ordshares02">[15]WELLA_YEAR!$I$18</definedName>
    <definedName name="ordshares03">[15]WELLA_YEAR!$K$18</definedName>
    <definedName name="ordshares04">[15]WELLA_YEAR!$M$18</definedName>
    <definedName name="ordshares05">[15]WELLA_YEAR!$O$18</definedName>
    <definedName name="ordshares06">[15]WELLA_YEAR!$Q$18</definedName>
    <definedName name="ordshares07">[15]WELLA_YEAR!$S$18</definedName>
    <definedName name="ordshares98">[15]WELLA_YEAR!$B$18</definedName>
    <definedName name="ordshares99">[15]WELLA_YEAR!$C$18</definedName>
    <definedName name="orkla_pt">[20]D!$D$42</definedName>
    <definedName name="P_L">[1]Tables!$X$256:$AN$276</definedName>
    <definedName name="PAGE2A">[28]annual!$A$159:$P$170</definedName>
    <definedName name="PAGE3">[28]annual!$A$187:$P$232</definedName>
    <definedName name="PAGE4">[28]annual!$A$235:$P$288</definedName>
    <definedName name="PAGE5">[28]annual!$A$292:$P$327</definedName>
    <definedName name="PANA" localSheetId="7">ModPubIndex!$A$11</definedName>
    <definedName name="parm_pt">[20]D!$D$31</definedName>
    <definedName name="PathName" localSheetId="6">IndexInformation!$B$25</definedName>
    <definedName name="PBH">[21]Industry_NetDebt_EBITDA!$A$16,[21]Industry_NetDebt_EBITDA!$A$15,[21]Industry_NetDebt_EBITDA!$A$12,[21]Industry_NetDebt_EBITDA!$A$17,[21]Industry_NetDebt_EBITDA!$A$23,[21]Industry_NetDebt_EBITDA!$A$22,[21]Industry_NetDebt_EBITDA!$A$18,[21]Industry_NetDebt_EBITDA!$A$24,[21]Industry_NetDebt_EBITDA!$A$21</definedName>
    <definedName name="Perf_High">OFFSET([22]Perf_MW!$AK$3,[22]Perf_MW!$AK$2,,-[22]Perf_MW!$AK$2)</definedName>
    <definedName name="Perf_low">OFFSET([22]Perf_MW!$AJ$3,[22]Perf_MW!$AK$1,,-[22]Perf_MW!$AK$1)</definedName>
    <definedName name="Performance">'[54]Quarterly Projection'!$AM$4:$AW$78</definedName>
    <definedName name="Post_tax_cost_of_debt">'[21]Valuation-DCF'!$C$35</definedName>
    <definedName name="Preferred_percent_of_total_capitalisation">'[21]Valuation-DCF'!$C$45</definedName>
    <definedName name="prefshares00">[15]WELLA_YEAR!$E$19</definedName>
    <definedName name="prefshares01">[15]WELLA_YEAR!$G$19</definedName>
    <definedName name="prefshares02">[15]WELLA_YEAR!$I$19</definedName>
    <definedName name="prefshares03">[15]WELLA_YEAR!$K$19</definedName>
    <definedName name="prefshares04">[15]WELLA_YEAR!$M$19</definedName>
    <definedName name="prefshares05">[15]WELLA_YEAR!$O$19</definedName>
    <definedName name="prefshares06">[15]WELLA_YEAR!$Q$19</definedName>
    <definedName name="prefshares07">[15]WELLA_YEAR!$S$19</definedName>
    <definedName name="prefshares98">[15]WELLA_YEAR!$B$19</definedName>
    <definedName name="prefshares99">[15]WELLA_YEAR!$C$19</definedName>
    <definedName name="PRICE">[28]annual!$E$127</definedName>
    <definedName name="_xlnm.Print_Area" localSheetId="3">Cover!$A$1:$L$40</definedName>
    <definedName name="_xlnm.Print_Area" localSheetId="4">'Financial Statements'!$AP$1:$BT$248</definedName>
    <definedName name="_xlnm.Print_Area" localSheetId="5">Segments!$A$1:$AT$237</definedName>
    <definedName name="_xlnm.Print_Area">[55]CENMODEL!#REF!</definedName>
    <definedName name="_xlnm.Print_Titles" localSheetId="4">'Financial Statements'!$A:$B</definedName>
    <definedName name="_xlnm.Print_Titles" localSheetId="5">Segments!$3:$3</definedName>
    <definedName name="_xlnm.Print_Titles">#REF!</definedName>
    <definedName name="Private_Label">OFFSET([4]Private_Label!$Z$12,0,0,COUNTIF([4]Private_Label!$Y$12:$Y$1231,"&lt;&gt;false"),1)</definedName>
    <definedName name="PRODPRIX">'[26]TIN Model'!$A$37:$AD$97</definedName>
    <definedName name="PRODUCT" localSheetId="7">ModPubIndex!$A$6</definedName>
    <definedName name="ProImportExport.ImportFile">[0]!ProImportExport.ImportFile</definedName>
    <definedName name="ProImportExport.SaveNewFile">[0]!ProImportExport.SaveNewFile</definedName>
    <definedName name="Projected_depreciation_percent_PPE">'[21]Valuation-DCF'!$L$34</definedName>
    <definedName name="Projected_EBITDA_margin">'[21]Valuation-DCF'!$L$32</definedName>
    <definedName name="Projected_NWI_percent_of_sales">'[21]Valuation-DCF'!$L$33</definedName>
    <definedName name="Projected_sales_growth">'[21]Valuation-DCF'!$L$31</definedName>
    <definedName name="ProjectName" localSheetId="3">{"Client Name or Project Name"}</definedName>
    <definedName name="ProjectName">{"Client Name or Project Name"}</definedName>
    <definedName name="PSYM" localSheetId="7">ModPubIndex!$A$4</definedName>
    <definedName name="PublishDate" localSheetId="6">IndexInformation!$B$2</definedName>
    <definedName name="q" hidden="1">{"Qtr Op Mgd Q2",#N/A,FALSE,"Qtr-Op (Mng)";"Qtr Op Rpt Q2",#N/A,FALSE,"Qtr-Op (Rpt)";"Operating Vs Reported",#N/A,FALSE,"Rpt-Op Inc"}</definedName>
    <definedName name="QIncome_1999">[1]Quarterly!$DE$1:$DQ$45</definedName>
    <definedName name="QIncome_2000">[1]Quarterly!$CM$1:$CY$45</definedName>
    <definedName name="Quarterly___Annual__Free__Cash_Position___MM">[36]Quarterly!$A$124</definedName>
    <definedName name="Quarterly_Balance_Sheet">[36]Quarterly!$A$166:$M$201</definedName>
    <definedName name="Rating" localSheetId="6">IndexInformation!$B$9</definedName>
    <definedName name="RatingsDefined" localSheetId="0">ImportantDisclosures!$A$21</definedName>
    <definedName name="RatingsDefs" localSheetId="0">ImportantDisclosures!#REF!</definedName>
    <definedName name="ratio">OFFSET([19]settings!$AO$1,1,0,[19]settings!$N$2)</definedName>
    <definedName name="RDEN">[21]Industry_NetDebt_EBITDA!$A$12,[21]Industry_NetDebt_EBITDA!$A$13,[21]Industry_NetDebt_EBITDA!$A$14,[21]Industry_NetDebt_EBITDA!$A$16,[21]Industry_NetDebt_EBITDA!$A$23,[21]Industry_NetDebt_EBITDA!$A$22,[21]Industry_NetDebt_EBITDA!$A$18,[21]Industry_NetDebt_EBITDA!$A$21,[21]Industry_NetDebt_EBITDA!$A$24,[21]Industry_NetDebt_EBITDA!$A$17</definedName>
    <definedName name="RegACDisclosure" localSheetId="0">ImportantDisclosures!#REF!</definedName>
    <definedName name="region1">OFFSET([19]mware!$A$1,[19]settings!$N$7,[19]settings!$N$17-1,[19]settings!$N$2)</definedName>
    <definedName name="region2">OFFSET([19]settings!$AK$1,1,0,[19]settings!$N$2)</definedName>
    <definedName name="rep" hidden="1">{#N/A,#N/A,FALSE,"COVER";#N/A,#N/A,FALSE,"VALUATION";#N/A,#N/A,FALSE,"FORECAST";#N/A,#N/A,FALSE,"FY ANALYSIS ";#N/A,#N/A,FALSE," HY ANALYSIS"}</definedName>
    <definedName name="ResearchTopic" localSheetId="6">IndexInformation!$B$4</definedName>
    <definedName name="resin">OFFSET([6]Resin!$AA$12,0,0,COUNTIF([6]Resin!$Z$12:$Z$1231,"&lt;&gt;false"),1)</definedName>
    <definedName name="rev">[2]WY!$D$282:$EG$282</definedName>
    <definedName name="RIC" localSheetId="6">IndexInformation!$B$21</definedName>
    <definedName name="roa">[2]WY!$D$462:$EG$462</definedName>
    <definedName name="roce_1998">[31]Ratios!$N$8</definedName>
    <definedName name="roce00">[31]Ratios!$P$8</definedName>
    <definedName name="roce01">[32]Ratios!$Q$8</definedName>
    <definedName name="roce02">[32]Ratios!$R$8</definedName>
    <definedName name="roce03">[32]Ratios!$S$8</definedName>
    <definedName name="roce04">[32]Ratios!$T$8</definedName>
    <definedName name="roe">[2]WY!$D$461:$EG$461</definedName>
    <definedName name="roi">[2]WY!$D$460:$EG$460</definedName>
    <definedName name="roic95">'[18]Cash Flow'!$E$89</definedName>
    <definedName name="rtyry" hidden="1">[1]Aerospace!$AD$342:$AD$373</definedName>
    <definedName name="s" localSheetId="3">{"Client Name or Project Name"}</definedName>
    <definedName name="s">{"Client Name or Project Name"}</definedName>
    <definedName name="SALES">[56]J!$B$1:$K$72</definedName>
    <definedName name="Sales_00">'[39]P&amp;L'!$F$13</definedName>
    <definedName name="Sales_01">'[39]P&amp;L'!$G$13</definedName>
    <definedName name="Sales_02">'[39]P&amp;L'!$H$13</definedName>
    <definedName name="Sales_03">'[39]P&amp;L'!$I$13</definedName>
    <definedName name="Sales_04">'[39]P&amp;L'!$J$13</definedName>
    <definedName name="Sales_05">'[39]P&amp;L'!$K$13</definedName>
    <definedName name="Sales_06">'[39]P&amp;L'!$L$13</definedName>
    <definedName name="Sales_07">'[39]P&amp;L'!$M$13</definedName>
    <definedName name="Sales_08">'[39]P&amp;L'!$N$13</definedName>
    <definedName name="sales_2001">'[35]P&amp;L'!$H$4</definedName>
    <definedName name="sales_2002">'[35]P&amp;L'!$K$4</definedName>
    <definedName name="sales_2003">'[35]P&amp;L'!$M$4</definedName>
    <definedName name="sales_2004">'[35]P&amp;L'!$O$4</definedName>
    <definedName name="Sales_96">'[39]P&amp;L'!$B$13</definedName>
    <definedName name="Sales_98">'[39]P&amp;L'!$D$13</definedName>
    <definedName name="Sales_99">'[39]P&amp;L'!$E$13</definedName>
    <definedName name="sales_eu_01">[32]B!$X$11</definedName>
    <definedName name="sales_eu_02">[32]B!$AD$11</definedName>
    <definedName name="sales_eu_03">[32]B!$AF$11</definedName>
    <definedName name="sales_eu_04">[32]B!$AH$11</definedName>
    <definedName name="SaveNewFile">[0]!SaveNewFile</definedName>
    <definedName name="scbcash">[28]annual!$A$363:$R$399</definedName>
    <definedName name="SDA">OFFSET([6]SDA!$AA$12,0,0,COUNTIF([6]SDA!$Z$12:$Z$1231,"&lt;&gt;false"),1)</definedName>
    <definedName name="sdsf" hidden="1">[1]Acquisitions!$AO$4:$AU$4</definedName>
    <definedName name="SECSettlement" localSheetId="0">ImportantDisclosures!#REF!</definedName>
    <definedName name="SEDOL" localSheetId="6">IndexInformation!$B$22</definedName>
    <definedName name="segment">[28]annual!$A$235:$R$290</definedName>
    <definedName name="Shareprice">[21]Front!$J$19</definedName>
    <definedName name="shares_00">[57]B!$M$30</definedName>
    <definedName name="shares_01">[32]B!$X$41</definedName>
    <definedName name="shares_02">[32]B!$AD$41</definedName>
    <definedName name="shares_03">[32]B!$AF$41</definedName>
    <definedName name="shares_04">'[46]P&amp;L'!$U$30</definedName>
    <definedName name="shares_99">[31]B!$L$41</definedName>
    <definedName name="shares_plc_00">[40]D!$U$45</definedName>
    <definedName name="shares_plc_01">[40]D!$AE$45</definedName>
    <definedName name="Shares01">'[16]P&amp;L'!$G$24</definedName>
    <definedName name="shares02">'[17]P&amp;L'!$I$34</definedName>
    <definedName name="shares03">'[17]P&amp;L'!$K$34</definedName>
    <definedName name="shares04">'[17]P&amp;L'!$M$34</definedName>
    <definedName name="shares05">'[17]P&amp;L'!$O$34</definedName>
    <definedName name="shares06">'[17]P&amp;L'!$Q$34</definedName>
    <definedName name="shs">[2]WY!$D$378:$EG$378</definedName>
    <definedName name="SMG">[21]Industry_NetDebt_EBITDA!$A$12:$A$14,[21]Industry_NetDebt_EBITDA!$A$16:$A$17,[21]Industry_NetDebt_EBITDA!$A$18,[21]Industry_NetDebt_EBITDA!$A$20,[21]Industry_NetDebt_EBITDA!$A$21,[21]Industry_NetDebt_EBITDA!$A$22,[21]Industry_NetDebt_EBITDA!$A$24,[21]Industry_NetDebt_EBITDA!$A$25,[21]Industry_NetDebt_EBITDA!$A$23</definedName>
    <definedName name="SortedMetrics">OFFSET([19]settings!$AA$3,0,0,COUNTA([19]settings!$AA$3:$AA$65536),1)</definedName>
    <definedName name="sose">[11]Model_Template!$A$543</definedName>
    <definedName name="SourceDefined" localSheetId="0">ImportantDisclosures!$A$19</definedName>
    <definedName name="Sp">"       "</definedName>
    <definedName name="SPC">[21]Industry_NetDebt_EBITDA!$A$12,[21]Industry_NetDebt_EBITDA!$A$16,[21]Industry_NetDebt_EBITDA!$A$17,[21]Industry_NetDebt_EBITDA!$A$18,[21]Industry_NetDebt_EBITDA!$A$20,[21]Industry_NetDebt_EBITDA!$A$23,[21]Industry_NetDebt_EBITDA!$A$24,[21]Industry_NetDebt_EBITDA!$A$22</definedName>
    <definedName name="SSLabels">[47]Storage!$BR$7:$BR$8</definedName>
    <definedName name="StockRating" localSheetId="0">ImportantDisclosures!$A$11</definedName>
    <definedName name="SubjectCode" localSheetId="6">IndexInformation!$B$6</definedName>
    <definedName name="SubmitterUserId">IndexInformation!$B$39</definedName>
    <definedName name="SUMCF">'[26]TIN Model'!$A$602:$AD$637</definedName>
    <definedName name="SUPPRESSED" localSheetId="7">ModPubIndex!$A$13</definedName>
    <definedName name="Table_1">'[29]Annual Inc.St.'!$A$1:$S$76</definedName>
    <definedName name="Table_10">[29]EV_EBITDA!$B$1:$O$26</definedName>
    <definedName name="Table_10G">[29]EV_EBITDA!$B$1:$O$41</definedName>
    <definedName name="Table_11">[29]Segments!$A$1:$H$13</definedName>
    <definedName name="Table_12">[29]DCF!$B$1:$P$59</definedName>
    <definedName name="Table_13">[29]EVA!$B$1:$P$31</definedName>
    <definedName name="Table_14">[29]Integration!$A$1:$D$11</definedName>
    <definedName name="Table_2">'[29]Annual Inc.St.'!$A$78:$S$136</definedName>
    <definedName name="Table_2A">'[29]Annual Inc.St.'!$A$186:$Q$211</definedName>
    <definedName name="Table_2G">'[29]Annual Inc.St.'!$A$78:$S$154</definedName>
    <definedName name="Table_3">'[29]Qtrly Inc.St.'!$A$1:$AQ$58</definedName>
    <definedName name="Table_4">'[29]Qtrly Inc.St.'!$A$60:$AQ$179</definedName>
    <definedName name="Table_4G">'[29]Qtrly Inc.St.'!$A$60:$AQ$198</definedName>
    <definedName name="Table_5">'[29]Bal Sheet'!$A$1:$Q$54</definedName>
    <definedName name="Table_5a">'[29]Bal Sheet'!$A$80:$Q$80</definedName>
    <definedName name="Table_5G">'[29]Bal Sheet'!$A$1:$Q$76</definedName>
    <definedName name="Table_6">'[29]Cash Flow'!$A$1:$Q$69</definedName>
    <definedName name="Table_6G">'[29]Cash Flow'!$A$1:$Q$89</definedName>
    <definedName name="Table_8">[29]Segments!$J$1:$M$17</definedName>
    <definedName name="TABLE1">'[24]BOW Model'!$A$3:$GC$92</definedName>
    <definedName name="TargetPrice" localSheetId="0">ImportantDisclosures!$A$15</definedName>
    <definedName name="tate_pt">[20]D!$D$32</definedName>
    <definedName name="Taxes">[38]WY!$AG$306:$HW$306</definedName>
    <definedName name="Taxrate_00">'[58]P&amp;L'!$F$43</definedName>
    <definedName name="Taxrate_97">'[58]P&amp;L'!$C$43</definedName>
    <definedName name="Taxrate_98">'[58]P&amp;L'!$D$43</definedName>
    <definedName name="Taxrate_99">'[58]P&amp;L'!$E$43</definedName>
    <definedName name="TemplateRegion">IndexInformation!$B$36</definedName>
    <definedName name="Terminal_value">'[21]Valuation-DCF'!$G$33</definedName>
    <definedName name="test10">'[21]Valuation-DCF'!$C$40</definedName>
    <definedName name="test11">'[21]Valuation-DCF'!$C$41</definedName>
    <definedName name="test12">'[21]Valuation-DCF'!$C$46</definedName>
    <definedName name="test13">'[21]Valuation-DCF'!$G$45</definedName>
    <definedName name="TEST145">OFFSET('[4]Hair Care Dollar Share'!$AB$12,0,0,COUNTIF('[4]Hair Care Dollar Share'!$AA$12:$AA$1231,"&lt;&gt;false"),1)</definedName>
    <definedName name="test15">'[21]Valuation-DCF'!$C$45</definedName>
    <definedName name="test3">'[21]Valuation-DCF'!$C$39</definedName>
    <definedName name="test35" hidden="1">{"cover a","4q",FALSE,"Cover";"Op Earn Mgd Q4",#N/A,FALSE,"Op-Earn (Mng)";"Op Earn Rpt Q4",#N/A,FALSE,"Op-Earn (Rpt)";"Loans",#N/A,FALSE,"Loans";"Credit Costs",#N/A,FALSE,"CCosts";"Net Interest Margin",#N/A,FALSE,"Margin";"Nonint Income",#N/A,FALSE,"NonII";"Nonint Exp",#N/A,FALSE,"NonIE";"Valuation",#N/A,FALSE,"Valuation"}</definedName>
    <definedName name="test4">'[21]Valuation-DCF'!$G$56</definedName>
    <definedName name="test5">'[21]Valuation-DCF'!$C$44</definedName>
    <definedName name="test6">'[21]Valuation-DCF'!$C$36</definedName>
    <definedName name="test7">'[21]Valuation-DCF'!$G$46</definedName>
    <definedName name="test8">'[21]Valuation-DCF'!$G$32</definedName>
    <definedName name="test9">'[21]Valuation-DCF'!$C$34</definedName>
    <definedName name="Ticker" localSheetId="0">ImportantDisclosures!$A$10</definedName>
    <definedName name="ticker">OFFSET('[59]Exclusion List'!$A$1,1,0,COUNTA('[59]Exclusion List'!$A$1:$A$65536)-1,1)</definedName>
    <definedName name="ticker1">OFFSET([19]mware!$A$1,[19]settings!$N$7,1,[19]settings!$N$2,6)</definedName>
    <definedName name="TickerRegion">IndexInformation!$B$41</definedName>
    <definedName name="Tickers" localSheetId="6">IndexInformation!$B$19</definedName>
    <definedName name="tickerSkeleton">OFFSET(INDIRECT("Skeleton!$D$" &amp; [19]settings!$N$14),0,0,[19]settings!$N$15,1)</definedName>
    <definedName name="TIT">[28]annual!$I$130:$J$136</definedName>
    <definedName name="Total_capitalisation">'[21]Valuation-DCF'!$C$43</definedName>
    <definedName name="Total_Metrics">OFFSET([19]master!$A$2,1,0,[19]settings!$N$10,3)</definedName>
    <definedName name="Total_Metrics1">IF([19]BarChart!$P$3="","",OFFSET([19]master!$A$2,1,0,[19]settings!$N$10,1))</definedName>
    <definedName name="trythy" hidden="1">[1]Aerospace!$AK$342:$AK$355</definedName>
    <definedName name="TUP">[21]Industry_NetDebt_EBITDA!$A$12,[21]Industry_NetDebt_EBITDA!$A$16,[21]Industry_NetDebt_EBITDA!$A$17,[21]Industry_NetDebt_EBITDA!$A$18,[21]Industry_NetDebt_EBITDA!$A$20,[21]Industry_NetDebt_EBITDA!$A$22,[21]Industry_NetDebt_EBITDA!$A$23,[21]Industry_NetDebt_EBITDA!$A$24</definedName>
    <definedName name="uninv_pt">[20]D!$D$10</definedName>
    <definedName name="uniplc_pt">[20]D!$D$11</definedName>
    <definedName name="UpdateReason" localSheetId="6">IndexInformation!$B$17</definedName>
    <definedName name="USRegDisclosures" localSheetId="0">ImportantDisclosures!#REF!</definedName>
    <definedName name="Val_High">OFFSET([22]Val_MW!$AF$3,[22]Val_MW!$AG$2,,-[22]Val_MW!$AG$2)</definedName>
    <definedName name="Val_low">OFFSET([22]Val_MW!$AE$3,[22]Val_MW!$AG$1,,-[22]Val_MW!$AG$1)</definedName>
    <definedName name="ValInd">INDIRECT(ValShtNm&amp;"!"&amp;ADDRESS(4,COLUMN([22]ScatterCharts!$D$1:$D$65536))&amp;":"&amp; ADDRESS(ROW(INDIRECT(ValLCell)),COLUMN([22]ScatterCharts!$D$1:$D$65536)))</definedName>
    <definedName name="ValIndex">INDIRECT(ValShtNm&amp;"!"&amp;ADDRESS(4,COLUMN([22]ScatterCharts!$A$1:$A$65536))&amp;":"&amp; ADDRESS(ROW(INDIRECT(ValLCell)),COLUMN([22]ScatterCharts!$A$1:$A$65536)))</definedName>
    <definedName name="ValLCell">ADDRESS(COUNT([22]ScatterCharts!$A$5:$A$201)+3,COUNTA([22]ScatterCharts!$A$4:$C$4),1,,ValShtNm)</definedName>
    <definedName name="ValReg">INDIRECT(ValShtNm&amp;"!"&amp;ADDRESS(4,COLUMN([22]ScatterCharts!$C$1:$C$65536))&amp;":"&amp; ADDRESS(ROW(INDIRECT(ValLCell)),COLUMN([22]ScatterCharts!$C$1:$C$65536)))</definedName>
    <definedName name="valregold">INDIRECT(ValShtNm&amp;"!"&amp;ADDRESS(4,COLUMN([22]ScatterCharts!$C$1:$C$65536))&amp;":"&amp; ADDRESS(ROW(INDIRECT(whynot)),COLUMN([22]ScatterCharts!$C$1:$C$65536)))</definedName>
    <definedName name="WACC">'[21]Valuation-DCF'!$C$47</definedName>
    <definedName name="wess_pt">[20]D!$D$43</definedName>
    <definedName name="whynot">ADDRESS(COUNT([22]ScatterCharts!$A$5:$A$201)+3,COUNTA([22]ScatterCharts!$A$4:$C$4),1,,ValShtNm)</definedName>
    <definedName name="wrn.2._.pagers." hidden="1">{"Cover",#N/A,FALSE,"Cover";"Summary",#N/A,FALSE,"Summarpage"}</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detail." hidden="1">{"sales1",#N/A,FALSE,"CPB";"sales2",#N/A,FALSE,"CPB";"sales3",#N/A,FALSE,"CPB";"margin1",#N/A,FALSE,"CPB";"margins2",#N/A,FALSE,"CPB";"soupmodel",#N/A,FALSE,"CPB"}</definedName>
    <definedName name="wrn.detail_US." hidden="1">{"summary1",#N/A,FALSE,"K";"summary2",#N/A,FALSE,"K";"USmarket",#N/A,FALSE,"K";"USearnings",#N/A,FALSE,"K"}</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ancials." hidden="1">{"income",#N/A,FALSE,"K";"cashflow",#N/A,FALSE,"K";"balances",#N/A,FALSE,"K";"ratios",#N/A,FALSE,"K"}</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Industry.xls." hidden="1">{#N/A,#N/A,FALSE,"Earnings";#N/A,#N/A,FALSE,"Overview";#N/A,#N/A,FALSE,"Summary";#N/A,#N/A,FALSE,"Summary II";#N/A,#N/A,FALSE,"R&amp;D";#N/A,#N/A,FALSE,"R&amp;D Forecast";#N/A,#N/A,FALSE,"Tax Adj";#N/A,#N/A,FALSE,"Goodwill";#N/A,#N/A,FALSE,"FX ";#N/A,#N/A,FALSE,"Consolidation";#N/A,#N/A,FALSE,"Provisions"}</definedName>
    <definedName name="wrn.MOBIL." hidden="1">{"quarter",#N/A,FALSE,"MOB"}</definedName>
    <definedName name="wrn.Pulp." hidden="1">{"Pulp Production",#N/A,FALSE,"Pulp";"Pulp Earnings",#N/A,FALSE,"Pulp"}</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Report." hidden="1">{#N/A,#N/A,FALSE,"COVER";#N/A,#N/A,FALSE,"FORECAST";#N/A,#N/A,FALSE,"VALUATION";#N/A,#N/A,FALSE,"FY ANALYSIS ";#N/A,#N/A,FALSE," HY ANALYSIS"}</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xaxis">OFFSET([4]Private_Label!$Y$12,0,0,COUNTIF([4]Private_Label!$Y$12:$Y$1231,"&lt;&gt;false"),1)</definedName>
    <definedName name="XLMLwidth">[60]Input!$U$3</definedName>
    <definedName name="XLMOrientationP1L2">[60]Input!$U$2</definedName>
    <definedName name="XLMPwidth">[60]Input!$U$4</definedName>
    <definedName name="xx" hidden="1">[1]Aerospace!$AI$342:$AI$355</definedName>
    <definedName name="zsd" hidden="1">[1]Aerospace!$L$342:$L$373</definedName>
  </definedNames>
  <calcPr calcId="145621" iterate="1"/>
</workbook>
</file>

<file path=xl/calcChain.xml><?xml version="1.0" encoding="utf-8"?>
<calcChain xmlns="http://schemas.openxmlformats.org/spreadsheetml/2006/main">
  <c r="BP22" i="67" l="1"/>
  <c r="BQ22" i="67"/>
  <c r="CO99" i="1" l="1"/>
  <c r="CO96" i="1"/>
  <c r="CO103" i="1"/>
  <c r="CO106" i="1"/>
  <c r="CO220" i="1"/>
  <c r="CO211" i="1"/>
  <c r="CO184" i="1"/>
  <c r="CO176" i="1"/>
  <c r="CO167" i="1"/>
  <c r="CO137" i="1"/>
  <c r="CO125" i="1"/>
  <c r="CO127" i="1"/>
  <c r="CO120" i="1"/>
  <c r="BO198" i="67"/>
  <c r="BO196" i="67"/>
  <c r="BO195" i="67"/>
  <c r="BO193" i="67"/>
  <c r="BO190" i="67"/>
  <c r="BO134" i="67"/>
  <c r="BO133" i="67"/>
  <c r="BO113" i="67"/>
  <c r="BO112" i="67"/>
  <c r="BO102" i="67"/>
  <c r="BO101" i="67"/>
  <c r="BO80" i="67"/>
  <c r="BO137" i="67"/>
  <c r="BO127" i="67"/>
  <c r="BO107" i="67"/>
  <c r="BO106" i="67"/>
  <c r="BO96" i="67"/>
  <c r="BO95" i="67"/>
  <c r="BO74" i="67"/>
  <c r="BO73" i="67"/>
  <c r="BO20" i="67"/>
  <c r="BO19" i="67"/>
  <c r="BO12" i="67"/>
  <c r="CM67" i="1" l="1"/>
  <c r="CL67" i="1"/>
  <c r="CK67" i="1"/>
  <c r="CJ67" i="1"/>
  <c r="CN36" i="1" l="1"/>
  <c r="CM99" i="1" l="1"/>
  <c r="CM96" i="1"/>
  <c r="G64" i="1"/>
  <c r="L64" i="1"/>
  <c r="Q64" i="1"/>
  <c r="V64" i="1"/>
  <c r="AA64" i="1"/>
  <c r="AF64" i="1"/>
  <c r="AK64" i="1"/>
  <c r="AP64" i="1"/>
  <c r="AU64" i="1"/>
  <c r="AZ64" i="1"/>
  <c r="BE64" i="1"/>
  <c r="BJ64" i="1"/>
  <c r="BO64" i="1"/>
  <c r="BT64" i="1"/>
  <c r="BY64" i="1"/>
  <c r="CD64" i="1"/>
  <c r="CI64" i="1"/>
  <c r="CN64" i="1"/>
  <c r="G65" i="1"/>
  <c r="L65" i="1"/>
  <c r="Q65" i="1"/>
  <c r="V65" i="1"/>
  <c r="AA65" i="1"/>
  <c r="AF65" i="1"/>
  <c r="AK65" i="1"/>
  <c r="AP65" i="1"/>
  <c r="AU65" i="1"/>
  <c r="AZ65" i="1"/>
  <c r="BE65" i="1"/>
  <c r="BJ65" i="1"/>
  <c r="BO65" i="1"/>
  <c r="BT65" i="1"/>
  <c r="BY65" i="1"/>
  <c r="CD65" i="1"/>
  <c r="CI65" i="1"/>
  <c r="CN65" i="1"/>
  <c r="BQ109" i="67" l="1"/>
  <c r="BP109" i="67"/>
  <c r="BQ98" i="67"/>
  <c r="BP98" i="67"/>
  <c r="BQ76" i="67"/>
  <c r="BP76" i="67"/>
  <c r="BM198" i="67"/>
  <c r="BM196" i="67"/>
  <c r="BM195" i="67"/>
  <c r="BM193" i="67"/>
  <c r="BM190" i="67"/>
  <c r="CM220" i="1"/>
  <c r="CR220" i="1" s="1"/>
  <c r="CM211" i="1"/>
  <c r="CR211" i="1" s="1"/>
  <c r="CN190" i="1"/>
  <c r="CN184" i="1"/>
  <c r="CN176" i="1"/>
  <c r="CM137" i="1"/>
  <c r="CM127" i="1"/>
  <c r="CM120" i="1"/>
  <c r="BM134" i="67"/>
  <c r="BM113" i="67"/>
  <c r="BM102" i="67"/>
  <c r="BM80" i="67"/>
  <c r="BM26" i="67"/>
  <c r="BM137" i="67"/>
  <c r="BM127" i="67"/>
  <c r="BM106" i="67"/>
  <c r="BM96" i="67"/>
  <c r="BM95" i="67"/>
  <c r="BM73" i="67"/>
  <c r="BM20" i="67"/>
  <c r="BM19" i="67"/>
  <c r="CN70" i="1"/>
  <c r="CN9" i="1"/>
  <c r="CW211" i="1" l="1"/>
  <c r="DB211" i="1" s="1"/>
  <c r="DG211" i="1" s="1"/>
  <c r="DL211" i="1" s="1"/>
  <c r="CL99" i="1" l="1"/>
  <c r="CL96" i="1"/>
  <c r="CL221" i="1"/>
  <c r="CL220" i="1"/>
  <c r="CQ220" i="1" s="1"/>
  <c r="CL212" i="1"/>
  <c r="CL211" i="1"/>
  <c r="CQ211" i="1" s="1"/>
  <c r="CL137" i="1"/>
  <c r="CL127" i="1"/>
  <c r="CL120" i="1"/>
  <c r="CK101" i="1"/>
  <c r="CL101" i="1" l="1"/>
  <c r="CM101" i="1" s="1"/>
  <c r="CV211" i="1"/>
  <c r="DA211" i="1" s="1"/>
  <c r="DF211" i="1" s="1"/>
  <c r="DK211" i="1" s="1"/>
  <c r="BL198" i="67"/>
  <c r="BL196" i="67"/>
  <c r="BL195" i="67"/>
  <c r="BL193" i="67"/>
  <c r="BL190" i="67"/>
  <c r="BK198" i="67"/>
  <c r="BK196" i="67"/>
  <c r="BK195" i="67"/>
  <c r="BK193" i="67"/>
  <c r="BK190" i="67"/>
  <c r="CN66" i="1"/>
  <c r="CS66" i="1" s="1"/>
  <c r="CX66" i="1" s="1"/>
  <c r="DC66" i="1" s="1"/>
  <c r="DH66" i="1" s="1"/>
  <c r="DM66" i="1" s="1"/>
  <c r="BL137" i="67" l="1"/>
  <c r="BL134" i="67"/>
  <c r="BL113" i="67"/>
  <c r="BL102" i="67"/>
  <c r="BL80" i="67"/>
  <c r="BL26" i="67"/>
  <c r="BL127" i="67"/>
  <c r="BL106" i="67"/>
  <c r="BL95" i="67"/>
  <c r="BL73" i="67"/>
  <c r="BL19" i="67"/>
  <c r="BK169" i="67" l="1"/>
  <c r="CK55" i="1" s="1"/>
  <c r="CQ75" i="1" l="1"/>
  <c r="CP75" i="1"/>
  <c r="CK99" i="1" l="1"/>
  <c r="CK96" i="1"/>
  <c r="CK230" i="1"/>
  <c r="CK229" i="1"/>
  <c r="CK221" i="1"/>
  <c r="CK220" i="1"/>
  <c r="CP220" i="1" s="1"/>
  <c r="CK212" i="1"/>
  <c r="CK211" i="1"/>
  <c r="CP211" i="1" s="1"/>
  <c r="CK190" i="1"/>
  <c r="CK187" i="1"/>
  <c r="CK186" i="1"/>
  <c r="CK185" i="1"/>
  <c r="CK180" i="1"/>
  <c r="CK179" i="1"/>
  <c r="CK178" i="1"/>
  <c r="CK177" i="1"/>
  <c r="CK175" i="1"/>
  <c r="CK171" i="1"/>
  <c r="CK170" i="1"/>
  <c r="CK169" i="1"/>
  <c r="CK167" i="1"/>
  <c r="CK166" i="1"/>
  <c r="CK165" i="1"/>
  <c r="CK164" i="1"/>
  <c r="CK163" i="1"/>
  <c r="CK162" i="1"/>
  <c r="CK161" i="1"/>
  <c r="CK137" i="1"/>
  <c r="CK127" i="1"/>
  <c r="CK120" i="1"/>
  <c r="CU211" i="1" l="1"/>
  <c r="CZ211" i="1" s="1"/>
  <c r="DE211" i="1" s="1"/>
  <c r="DJ211" i="1" s="1"/>
  <c r="CL163" i="1"/>
  <c r="CQ163" i="1" s="1"/>
  <c r="CP163" i="1"/>
  <c r="CL167" i="1"/>
  <c r="CM167" i="1" s="1"/>
  <c r="CL175" i="1"/>
  <c r="CM175" i="1" s="1"/>
  <c r="CL180" i="1"/>
  <c r="CM180" i="1" s="1"/>
  <c r="CL190" i="1"/>
  <c r="CM190" i="1" s="1"/>
  <c r="CL164" i="1"/>
  <c r="CM164" i="1" s="1"/>
  <c r="CL169" i="1"/>
  <c r="CM169" i="1" s="1"/>
  <c r="CL177" i="1"/>
  <c r="CM177" i="1" s="1"/>
  <c r="CL185" i="1"/>
  <c r="CL106" i="1" s="1"/>
  <c r="CL161" i="1"/>
  <c r="CM161" i="1" s="1"/>
  <c r="CL165" i="1"/>
  <c r="CM165" i="1" s="1"/>
  <c r="CL170" i="1"/>
  <c r="CM170" i="1" s="1"/>
  <c r="CL178" i="1"/>
  <c r="CL186" i="1"/>
  <c r="CL103" i="1" s="1"/>
  <c r="CL102" i="1" s="1"/>
  <c r="CL162" i="1"/>
  <c r="CM162" i="1" s="1"/>
  <c r="CM217" i="1" s="1"/>
  <c r="CL166" i="1"/>
  <c r="CM166" i="1" s="1"/>
  <c r="CL171" i="1"/>
  <c r="CM171" i="1" s="1"/>
  <c r="CL179" i="1"/>
  <c r="CM179" i="1" s="1"/>
  <c r="CL187" i="1"/>
  <c r="CM187" i="1" s="1"/>
  <c r="CK217" i="1"/>
  <c r="CK106" i="1"/>
  <c r="CK218" i="1"/>
  <c r="CK103" i="1"/>
  <c r="CK102" i="1" s="1"/>
  <c r="CK231" i="1"/>
  <c r="BK134" i="67"/>
  <c r="BK127" i="67"/>
  <c r="BK113" i="67"/>
  <c r="BK106" i="67"/>
  <c r="BK80" i="67"/>
  <c r="BK73" i="67"/>
  <c r="BK19" i="67"/>
  <c r="CM178" i="1" l="1"/>
  <c r="CL218" i="1"/>
  <c r="CL217" i="1"/>
  <c r="CM185" i="1"/>
  <c r="CM106" i="1" s="1"/>
  <c r="CM163" i="1"/>
  <c r="CR163" i="1" s="1"/>
  <c r="CM186" i="1"/>
  <c r="CM103" i="1" s="1"/>
  <c r="CM102" i="1" s="1"/>
  <c r="CR75" i="1" l="1"/>
  <c r="CJ99" i="1" l="1"/>
  <c r="CJ96" i="1"/>
  <c r="CJ106" i="1"/>
  <c r="CJ103" i="1"/>
  <c r="CJ102" i="1" s="1"/>
  <c r="CJ227" i="1"/>
  <c r="CJ221" i="1"/>
  <c r="CJ220" i="1"/>
  <c r="CJ218" i="1"/>
  <c r="CJ212" i="1"/>
  <c r="CJ211" i="1"/>
  <c r="CJ184" i="1"/>
  <c r="CJ176" i="1"/>
  <c r="CJ137" i="1"/>
  <c r="CJ127" i="1"/>
  <c r="CJ120" i="1"/>
  <c r="BJ198" i="67"/>
  <c r="BO211" i="67" s="1"/>
  <c r="BJ196" i="67"/>
  <c r="BO209" i="67" s="1"/>
  <c r="BJ195" i="67"/>
  <c r="BJ193" i="67"/>
  <c r="BO206" i="67" s="1"/>
  <c r="BJ190" i="67"/>
  <c r="BO203" i="67" s="1"/>
  <c r="BJ134" i="67"/>
  <c r="BJ113" i="67"/>
  <c r="BJ102" i="67"/>
  <c r="BJ80" i="67"/>
  <c r="BJ137" i="67"/>
  <c r="BJ127" i="67"/>
  <c r="BJ106" i="67"/>
  <c r="BJ73" i="67"/>
  <c r="BJ19" i="67"/>
  <c r="BO208" i="67" l="1"/>
  <c r="CT211" i="1"/>
  <c r="CY211" i="1" s="1"/>
  <c r="DD211" i="1" s="1"/>
  <c r="DI211" i="1" s="1"/>
  <c r="CK184" i="1"/>
  <c r="CL184" i="1" s="1"/>
  <c r="CK176" i="1"/>
  <c r="CL176" i="1" s="1"/>
  <c r="CM176" i="1" s="1"/>
  <c r="CM184" i="1" l="1"/>
  <c r="CI36" i="1" l="1"/>
  <c r="BJ391" i="67" l="1"/>
  <c r="BI391" i="67"/>
  <c r="BI390" i="67"/>
  <c r="BI389" i="67"/>
  <c r="BI388" i="67"/>
  <c r="BI387" i="67"/>
  <c r="BI386" i="67"/>
  <c r="CE106" i="1" l="1"/>
  <c r="CH96" i="1"/>
  <c r="CG96" i="1"/>
  <c r="CF101" i="1"/>
  <c r="CF96" i="1"/>
  <c r="CH99" i="1"/>
  <c r="CH230" i="1"/>
  <c r="CH229" i="1"/>
  <c r="CH225" i="1"/>
  <c r="CH224" i="1"/>
  <c r="CH223" i="1"/>
  <c r="CH221" i="1"/>
  <c r="CH220" i="1"/>
  <c r="CH214" i="1"/>
  <c r="CH212" i="1"/>
  <c r="CH211" i="1"/>
  <c r="CH210" i="1"/>
  <c r="CH209" i="1"/>
  <c r="CH208" i="1"/>
  <c r="CH206" i="1"/>
  <c r="CH205" i="1"/>
  <c r="CI184" i="1"/>
  <c r="CI176" i="1"/>
  <c r="CH137" i="1"/>
  <c r="CH222" i="1" s="1"/>
  <c r="CH127" i="1"/>
  <c r="CH120" i="1"/>
  <c r="CH213" i="1" s="1"/>
  <c r="CH231" i="1" l="1"/>
  <c r="CG101" i="1"/>
  <c r="CH101" i="1" s="1"/>
  <c r="BH134" i="67"/>
  <c r="BH113" i="67"/>
  <c r="BH102" i="67"/>
  <c r="BH80" i="67"/>
  <c r="BH190" i="67"/>
  <c r="BM203" i="67" s="1"/>
  <c r="BH198" i="67"/>
  <c r="BM211" i="67" s="1"/>
  <c r="BH196" i="67"/>
  <c r="BM209" i="67" s="1"/>
  <c r="BH195" i="67"/>
  <c r="BM208" i="67" s="1"/>
  <c r="BH193" i="67"/>
  <c r="BM206" i="67" s="1"/>
  <c r="BH137" i="67"/>
  <c r="BH127" i="67"/>
  <c r="BH106" i="67"/>
  <c r="BH95" i="67"/>
  <c r="BH73" i="67"/>
  <c r="BH19" i="67"/>
  <c r="CI70" i="1"/>
  <c r="CI66" i="1"/>
  <c r="CI17" i="1"/>
  <c r="CH19" i="1"/>
  <c r="CH18" i="1"/>
  <c r="CI9" i="1"/>
  <c r="CH10" i="1"/>
  <c r="CM25" i="67" l="1"/>
  <c r="CH25" i="67"/>
  <c r="CC25" i="67"/>
  <c r="BX25" i="67"/>
  <c r="BS25" i="67"/>
  <c r="CG209" i="1" l="1"/>
  <c r="BG73" i="67"/>
  <c r="BG15" i="67"/>
  <c r="BF15" i="67"/>
  <c r="BE15" i="67"/>
  <c r="CF95" i="1"/>
  <c r="CE95" i="1"/>
  <c r="CF186" i="1"/>
  <c r="CG99" i="1"/>
  <c r="CE103" i="1"/>
  <c r="CF99" i="1"/>
  <c r="CG210" i="1"/>
  <c r="CG211" i="1"/>
  <c r="CG212" i="1"/>
  <c r="CG214" i="1"/>
  <c r="CG220" i="1"/>
  <c r="CG221" i="1"/>
  <c r="CG223" i="1"/>
  <c r="CG224" i="1"/>
  <c r="CG225" i="1"/>
  <c r="CG229" i="1"/>
  <c r="CG230" i="1"/>
  <c r="CH233" i="1" s="1"/>
  <c r="CG175" i="1"/>
  <c r="CH175" i="1" s="1"/>
  <c r="CG190" i="1"/>
  <c r="CH190" i="1" s="1"/>
  <c r="CG180" i="1"/>
  <c r="CH180" i="1" s="1"/>
  <c r="CG179" i="1"/>
  <c r="CH179" i="1" s="1"/>
  <c r="CG178" i="1"/>
  <c r="CG171" i="1"/>
  <c r="CH171" i="1" s="1"/>
  <c r="CG170" i="1"/>
  <c r="CH170" i="1" s="1"/>
  <c r="CG169" i="1"/>
  <c r="CH169" i="1" s="1"/>
  <c r="CG167" i="1"/>
  <c r="CH167" i="1" s="1"/>
  <c r="CG166" i="1"/>
  <c r="CH166" i="1" s="1"/>
  <c r="CG165" i="1"/>
  <c r="CH165" i="1" s="1"/>
  <c r="CG164" i="1"/>
  <c r="CH164" i="1" s="1"/>
  <c r="CG163" i="1"/>
  <c r="CH163" i="1" s="1"/>
  <c r="CG162" i="1"/>
  <c r="CG161" i="1"/>
  <c r="CG127" i="1"/>
  <c r="CG152" i="1"/>
  <c r="CG137" i="1"/>
  <c r="CG222" i="1" s="1"/>
  <c r="CG120" i="1"/>
  <c r="CG213" i="1" s="1"/>
  <c r="BG19" i="67"/>
  <c r="BG5" i="67"/>
  <c r="BG127" i="67"/>
  <c r="BG106" i="67"/>
  <c r="BG190" i="67"/>
  <c r="BL203" i="67" s="1"/>
  <c r="BG193" i="67"/>
  <c r="BL206" i="67" s="1"/>
  <c r="BG195" i="67"/>
  <c r="BL208" i="67" s="1"/>
  <c r="BG196" i="67"/>
  <c r="BL209" i="67" s="1"/>
  <c r="BG198" i="67"/>
  <c r="BG137" i="67"/>
  <c r="BG134" i="67"/>
  <c r="BG113" i="67"/>
  <c r="BG102" i="67"/>
  <c r="BG80" i="67"/>
  <c r="CG10" i="1"/>
  <c r="CG217" i="1" l="1"/>
  <c r="CH162" i="1"/>
  <c r="CG231" i="1"/>
  <c r="CH232" i="1"/>
  <c r="CF103" i="1"/>
  <c r="CG186" i="1"/>
  <c r="CG103" i="1" s="1"/>
  <c r="CG172" i="1"/>
  <c r="CH161" i="1"/>
  <c r="BL211" i="67"/>
  <c r="CG216" i="1"/>
  <c r="CH178" i="1"/>
  <c r="CG215" i="1"/>
  <c r="CG218" i="1"/>
  <c r="CH172" i="1" l="1"/>
  <c r="CH186" i="1"/>
  <c r="CH103" i="1" s="1"/>
  <c r="CH102" i="1" s="1"/>
  <c r="CH218" i="1"/>
  <c r="CH217" i="1"/>
  <c r="CH216" i="1"/>
  <c r="CH215" i="1"/>
  <c r="BF17" i="67"/>
  <c r="BK26" i="67" s="1"/>
  <c r="CI103" i="1" l="1"/>
  <c r="BB15" i="67"/>
  <c r="BE17" i="67"/>
  <c r="BJ26" i="67" s="1"/>
  <c r="AZ217" i="67"/>
  <c r="BE18" i="67" l="1"/>
  <c r="BE5" i="67" s="1"/>
  <c r="BF18" i="67"/>
  <c r="BF5" i="67" s="1"/>
  <c r="BC17" i="67"/>
  <c r="BH26" i="67" s="1"/>
  <c r="BB17" i="67"/>
  <c r="BG26" i="67" s="1"/>
  <c r="BA17" i="67"/>
  <c r="AZ17" i="67"/>
  <c r="AZ4" i="67" s="1"/>
  <c r="BC18" i="67"/>
  <c r="BC5" i="67" s="1"/>
  <c r="BB18" i="67"/>
  <c r="BB5" i="67" s="1"/>
  <c r="BA18" i="67"/>
  <c r="BA5" i="67" s="1"/>
  <c r="CK23" i="67"/>
  <c r="CJ23" i="67"/>
  <c r="CI23" i="67"/>
  <c r="CK22" i="67"/>
  <c r="CK21" i="67" s="1"/>
  <c r="CJ22" i="67"/>
  <c r="CJ21" i="67" s="1"/>
  <c r="CI22" i="67"/>
  <c r="CF23" i="67"/>
  <c r="CE23" i="67"/>
  <c r="CD23" i="67"/>
  <c r="CF22" i="67"/>
  <c r="CF21" i="67" s="1"/>
  <c r="CE22" i="67"/>
  <c r="CE21" i="67" s="1"/>
  <c r="CD22" i="67"/>
  <c r="CD21" i="67" s="1"/>
  <c r="CA23" i="67"/>
  <c r="BZ23" i="67"/>
  <c r="BY23" i="67"/>
  <c r="CA22" i="67"/>
  <c r="BZ22" i="67"/>
  <c r="BZ21" i="67" s="1"/>
  <c r="BY22" i="67"/>
  <c r="BY21" i="67" s="1"/>
  <c r="BV23" i="67"/>
  <c r="BU23" i="67"/>
  <c r="BT23" i="67"/>
  <c r="BV22" i="67"/>
  <c r="BU22" i="67"/>
  <c r="BU21" i="67" s="1"/>
  <c r="BT22" i="67"/>
  <c r="BT21" i="67" s="1"/>
  <c r="BW19" i="67"/>
  <c r="CB19" i="67" s="1"/>
  <c r="CG19" i="67" s="1"/>
  <c r="CL19" i="67" s="1"/>
  <c r="BQ19" i="67"/>
  <c r="BV19" i="67" s="1"/>
  <c r="CA19" i="67" s="1"/>
  <c r="CF19" i="67" s="1"/>
  <c r="CK19" i="67" s="1"/>
  <c r="BP19" i="67"/>
  <c r="BU19" i="67" s="1"/>
  <c r="BZ19" i="67" s="1"/>
  <c r="CE19" i="67" s="1"/>
  <c r="CJ19" i="67" s="1"/>
  <c r="BT19" i="67"/>
  <c r="BY19" i="67" s="1"/>
  <c r="CD19" i="67" s="1"/>
  <c r="CI19" i="67" s="1"/>
  <c r="BL33" i="67"/>
  <c r="BK33" i="67"/>
  <c r="BK32" i="67" s="1"/>
  <c r="BJ33" i="67"/>
  <c r="BH67" i="67"/>
  <c r="BG33" i="67"/>
  <c r="BC159" i="67"/>
  <c r="BB159" i="67"/>
  <c r="BA159" i="67"/>
  <c r="AZ159" i="67"/>
  <c r="AX159" i="67"/>
  <c r="AX169" i="67" s="1"/>
  <c r="AW159" i="67"/>
  <c r="AW169" i="67" s="1"/>
  <c r="AV159" i="67"/>
  <c r="AU159" i="67"/>
  <c r="AU169" i="67" s="1"/>
  <c r="AV17" i="67"/>
  <c r="AX17" i="67"/>
  <c r="AX4" i="67" s="1"/>
  <c r="AW17" i="67"/>
  <c r="AW4" i="67" s="1"/>
  <c r="AU17" i="67"/>
  <c r="AU4" i="67" s="1"/>
  <c r="BF159" i="67"/>
  <c r="BF169" i="67" s="1"/>
  <c r="BF187" i="67" s="1"/>
  <c r="CI203" i="67"/>
  <c r="CJ203" i="67" s="1"/>
  <c r="CK203" i="67" s="1"/>
  <c r="CL203" i="67" s="1"/>
  <c r="CD203" i="67"/>
  <c r="CE203" i="67" s="1"/>
  <c r="CF203" i="67" s="1"/>
  <c r="CG203" i="67" s="1"/>
  <c r="BY203" i="67"/>
  <c r="BZ203" i="67" s="1"/>
  <c r="CA203" i="67" s="1"/>
  <c r="CB203" i="67" s="1"/>
  <c r="BT203" i="67"/>
  <c r="BU203" i="67" s="1"/>
  <c r="BV203" i="67" s="1"/>
  <c r="BW203" i="67" s="1"/>
  <c r="BJ32" i="67" l="1"/>
  <c r="BA216" i="67"/>
  <c r="AW190" i="67"/>
  <c r="BG37" i="67"/>
  <c r="BB4" i="67"/>
  <c r="BB7" i="67" s="1"/>
  <c r="BA4" i="67"/>
  <c r="BA7" i="67" s="1"/>
  <c r="BF26" i="67"/>
  <c r="AW181" i="67"/>
  <c r="AW187" i="67"/>
  <c r="AW186" i="67"/>
  <c r="AW185" i="67"/>
  <c r="AW184" i="67"/>
  <c r="AW183" i="67"/>
  <c r="AW182" i="67"/>
  <c r="AU181" i="67"/>
  <c r="AU187" i="67"/>
  <c r="AU186" i="67"/>
  <c r="AU183" i="67"/>
  <c r="AU185" i="67"/>
  <c r="AU182" i="67"/>
  <c r="AU184" i="67"/>
  <c r="AX187" i="67"/>
  <c r="AX186" i="67"/>
  <c r="AX185" i="67"/>
  <c r="AX184" i="67"/>
  <c r="AX183" i="67"/>
  <c r="AX182" i="67"/>
  <c r="BB216" i="67"/>
  <c r="BB169" i="67"/>
  <c r="BA169" i="67"/>
  <c r="BA186" i="67" s="1"/>
  <c r="BF216" i="67"/>
  <c r="AV190" i="67"/>
  <c r="BC216" i="67"/>
  <c r="BC169" i="67"/>
  <c r="BC187" i="67" s="1"/>
  <c r="AV169" i="67"/>
  <c r="BF182" i="67"/>
  <c r="BF183" i="67"/>
  <c r="BF184" i="67"/>
  <c r="BF185" i="67"/>
  <c r="BF186" i="67"/>
  <c r="AZ216" i="67"/>
  <c r="AZ169" i="67"/>
  <c r="AU190" i="67"/>
  <c r="BC4" i="67"/>
  <c r="BB26" i="67"/>
  <c r="AV4" i="67"/>
  <c r="AY4" i="67" s="1"/>
  <c r="CI21" i="67"/>
  <c r="CA21" i="67"/>
  <c r="BV21" i="67"/>
  <c r="AX373" i="67"/>
  <c r="BF37" i="67"/>
  <c r="BF31" i="67"/>
  <c r="BE159" i="67"/>
  <c r="A159" i="67"/>
  <c r="AW377" i="67"/>
  <c r="AV377" i="67"/>
  <c r="AU377" i="67"/>
  <c r="AX377" i="67"/>
  <c r="AX369" i="67"/>
  <c r="AW369" i="67"/>
  <c r="AV369" i="67"/>
  <c r="AU369" i="67"/>
  <c r="BA20" i="67"/>
  <c r="BC183" i="67" l="1"/>
  <c r="BA182" i="67"/>
  <c r="BA185" i="67"/>
  <c r="BC184" i="67"/>
  <c r="BA6" i="67"/>
  <c r="BC7" i="67"/>
  <c r="BB6" i="67"/>
  <c r="A181" i="67"/>
  <c r="A190" i="67" s="1"/>
  <c r="A203" i="67" s="1"/>
  <c r="A216" i="67" s="1"/>
  <c r="A149" i="67"/>
  <c r="BC185" i="67"/>
  <c r="BA187" i="67"/>
  <c r="BA183" i="67"/>
  <c r="BG28" i="67"/>
  <c r="BA184" i="67"/>
  <c r="BC186" i="67"/>
  <c r="BC182" i="67"/>
  <c r="AZ184" i="67"/>
  <c r="AZ182" i="67"/>
  <c r="AZ187" i="67"/>
  <c r="AZ186" i="67"/>
  <c r="AZ183" i="67"/>
  <c r="AZ185" i="67"/>
  <c r="AV187" i="67"/>
  <c r="AV186" i="67"/>
  <c r="AV185" i="67"/>
  <c r="AV184" i="67"/>
  <c r="AV183" i="67"/>
  <c r="AV182" i="67"/>
  <c r="AV181" i="67"/>
  <c r="BE216" i="67"/>
  <c r="BE169" i="67"/>
  <c r="BE181" i="67" s="1"/>
  <c r="BB187" i="67"/>
  <c r="BB186" i="67"/>
  <c r="BB185" i="67"/>
  <c r="BB184" i="67"/>
  <c r="BB183" i="67"/>
  <c r="BB182" i="67"/>
  <c r="BC6" i="67"/>
  <c r="BD4" i="67"/>
  <c r="BE4" i="67"/>
  <c r="BE19" i="67"/>
  <c r="BA149" i="67"/>
  <c r="BC181" i="67"/>
  <c r="BC190" i="67"/>
  <c r="BH203" i="67" s="1"/>
  <c r="BB181" i="67"/>
  <c r="BB190" i="67"/>
  <c r="BF181" i="67"/>
  <c r="BF190" i="67"/>
  <c r="BA181" i="67"/>
  <c r="BA190" i="67"/>
  <c r="BA203" i="67" s="1"/>
  <c r="AX181" i="67"/>
  <c r="AX190" i="67"/>
  <c r="BE190" i="67"/>
  <c r="BJ203" i="67" s="1"/>
  <c r="AZ181" i="67"/>
  <c r="AZ190" i="67"/>
  <c r="AZ203" i="67" s="1"/>
  <c r="BE26" i="67"/>
  <c r="BE20" i="67"/>
  <c r="BB20" i="67"/>
  <c r="BC20" i="67"/>
  <c r="BC26" i="67"/>
  <c r="BF20" i="67"/>
  <c r="BF19" i="67"/>
  <c r="AZ26" i="67"/>
  <c r="BA26" i="67"/>
  <c r="BB19" i="67"/>
  <c r="BC19" i="67"/>
  <c r="BA19" i="67"/>
  <c r="A320" i="1"/>
  <c r="A319" i="1"/>
  <c r="A318" i="1"/>
  <c r="CF318" i="1"/>
  <c r="CF319" i="1"/>
  <c r="CF320" i="1"/>
  <c r="CE319" i="1"/>
  <c r="CE318" i="1"/>
  <c r="BC149" i="67" l="1"/>
  <c r="BG203" i="67"/>
  <c r="CF321" i="1"/>
  <c r="BB149" i="67"/>
  <c r="BE187" i="67"/>
  <c r="BE186" i="67"/>
  <c r="BE185" i="67"/>
  <c r="BE184" i="67"/>
  <c r="BE183" i="67"/>
  <c r="BE182" i="67"/>
  <c r="BC203" i="67"/>
  <c r="BT190" i="67"/>
  <c r="BY190" i="67" s="1"/>
  <c r="CD190" i="67" s="1"/>
  <c r="CI190" i="67" s="1"/>
  <c r="BE203" i="67"/>
  <c r="BQ190" i="67"/>
  <c r="BV190" i="67" s="1"/>
  <c r="CA190" i="67" s="1"/>
  <c r="CF190" i="67" s="1"/>
  <c r="CK190" i="67" s="1"/>
  <c r="BB203" i="67"/>
  <c r="BF203" i="67"/>
  <c r="BE7" i="67"/>
  <c r="BE149" i="67" s="1"/>
  <c r="BE6" i="67"/>
  <c r="BR190" i="67" l="1"/>
  <c r="BW190" i="67" s="1"/>
  <c r="CB190" i="67" s="1"/>
  <c r="CG190" i="67" s="1"/>
  <c r="CL190" i="67" s="1"/>
  <c r="BC15" i="67"/>
  <c r="CE96" i="1"/>
  <c r="CF187" i="1"/>
  <c r="CF185" i="1"/>
  <c r="CF181" i="1"/>
  <c r="CF172" i="1"/>
  <c r="CG185" i="1" l="1"/>
  <c r="CG106" i="1" s="1"/>
  <c r="CF106" i="1"/>
  <c r="CG187" i="1"/>
  <c r="CH187" i="1" s="1"/>
  <c r="CK111" i="1"/>
  <c r="CK158" i="1" s="1"/>
  <c r="CK204" i="1"/>
  <c r="CK238" i="1"/>
  <c r="CK244" i="1" s="1"/>
  <c r="CK250" i="1" s="1"/>
  <c r="CU75" i="1"/>
  <c r="CZ75" i="1" s="1"/>
  <c r="DE75" i="1" s="1"/>
  <c r="DJ75" i="1" s="1"/>
  <c r="CT11" i="1"/>
  <c r="CU11" i="1" s="1"/>
  <c r="CV11" i="1" s="1"/>
  <c r="CY11" i="1"/>
  <c r="CZ11" i="1" s="1"/>
  <c r="DA11" i="1" s="1"/>
  <c r="DD11" i="1"/>
  <c r="DE11" i="1" s="1"/>
  <c r="DF11" i="1" s="1"/>
  <c r="DI11" i="1"/>
  <c r="DJ11" i="1" s="1"/>
  <c r="DK11" i="1" s="1"/>
  <c r="CN67" i="1"/>
  <c r="CU67" i="1"/>
  <c r="CZ67" i="1" s="1"/>
  <c r="DE67" i="1" s="1"/>
  <c r="DJ67" i="1" s="1"/>
  <c r="CV67" i="1"/>
  <c r="DA67" i="1" s="1"/>
  <c r="DF67" i="1" s="1"/>
  <c r="DK67" i="1" s="1"/>
  <c r="CW67" i="1"/>
  <c r="DB67" i="1" s="1"/>
  <c r="DG67" i="1" s="1"/>
  <c r="DL67" i="1" s="1"/>
  <c r="CT67" i="1"/>
  <c r="CY67" i="1" s="1"/>
  <c r="DD67" i="1" s="1"/>
  <c r="CN83" i="1"/>
  <c r="CS83" i="1"/>
  <c r="CX83" i="1"/>
  <c r="DC83" i="1"/>
  <c r="DH83" i="1"/>
  <c r="DM83" i="1"/>
  <c r="CN84" i="1"/>
  <c r="CS84" i="1"/>
  <c r="CX84" i="1"/>
  <c r="DC84" i="1"/>
  <c r="DH84" i="1"/>
  <c r="DM84" i="1"/>
  <c r="CO101" i="1"/>
  <c r="CO95" i="1" s="1"/>
  <c r="CT101" i="1"/>
  <c r="CT95" i="1" s="1"/>
  <c r="CY101" i="1"/>
  <c r="CZ101" i="1" s="1"/>
  <c r="DD101" i="1"/>
  <c r="DE101" i="1" s="1"/>
  <c r="DF101" i="1" s="1"/>
  <c r="DI101" i="1"/>
  <c r="DI95" i="1" s="1"/>
  <c r="CP102" i="1"/>
  <c r="CQ102" i="1" s="1"/>
  <c r="CR102" i="1" s="1"/>
  <c r="CT102" i="1" s="1"/>
  <c r="CL111" i="1"/>
  <c r="CL158" i="1" s="1"/>
  <c r="CM111" i="1"/>
  <c r="CM158" i="1" s="1"/>
  <c r="CN111" i="1"/>
  <c r="CN158" i="1" s="1"/>
  <c r="CO111" i="1"/>
  <c r="CO158" i="1" s="1"/>
  <c r="CP111" i="1"/>
  <c r="CP158" i="1" s="1"/>
  <c r="CQ111" i="1"/>
  <c r="CQ158" i="1" s="1"/>
  <c r="CR111" i="1"/>
  <c r="CR158" i="1" s="1"/>
  <c r="CS111" i="1"/>
  <c r="CS158" i="1" s="1"/>
  <c r="CT111" i="1"/>
  <c r="CT158" i="1" s="1"/>
  <c r="CU111" i="1"/>
  <c r="CU158" i="1" s="1"/>
  <c r="CV111" i="1"/>
  <c r="CV158" i="1" s="1"/>
  <c r="CW111" i="1"/>
  <c r="CW158" i="1" s="1"/>
  <c r="CX111" i="1"/>
  <c r="CX158" i="1" s="1"/>
  <c r="CY111" i="1"/>
  <c r="CY158" i="1" s="1"/>
  <c r="CZ111" i="1"/>
  <c r="CZ158" i="1" s="1"/>
  <c r="DA111" i="1"/>
  <c r="DA158" i="1" s="1"/>
  <c r="DB111" i="1"/>
  <c r="DB158" i="1" s="1"/>
  <c r="DC111" i="1"/>
  <c r="DC158" i="1" s="1"/>
  <c r="DD111" i="1"/>
  <c r="DD158" i="1" s="1"/>
  <c r="DE111" i="1"/>
  <c r="DE158" i="1" s="1"/>
  <c r="DF111" i="1"/>
  <c r="DF158" i="1" s="1"/>
  <c r="DG111" i="1"/>
  <c r="DG158" i="1" s="1"/>
  <c r="DH111" i="1"/>
  <c r="DH158" i="1" s="1"/>
  <c r="DI111" i="1"/>
  <c r="DI158" i="1" s="1"/>
  <c r="DJ111" i="1"/>
  <c r="DJ158" i="1" s="1"/>
  <c r="DK111" i="1"/>
  <c r="DK158" i="1" s="1"/>
  <c r="DL111" i="1"/>
  <c r="DL158" i="1" s="1"/>
  <c r="DM111" i="1"/>
  <c r="DM158" i="1" s="1"/>
  <c r="CS166" i="1"/>
  <c r="CX166" i="1"/>
  <c r="DC166" i="1"/>
  <c r="DH166" i="1"/>
  <c r="DM166" i="1"/>
  <c r="CS167" i="1"/>
  <c r="CX167" i="1"/>
  <c r="DC167" i="1"/>
  <c r="DH167" i="1"/>
  <c r="DM167" i="1"/>
  <c r="CS168" i="1"/>
  <c r="CX168" i="1"/>
  <c r="DC168" i="1"/>
  <c r="DH168" i="1"/>
  <c r="DM168" i="1"/>
  <c r="CS169" i="1"/>
  <c r="CX169" i="1"/>
  <c r="DC169" i="1"/>
  <c r="DH169" i="1"/>
  <c r="DM169" i="1"/>
  <c r="CS177" i="1"/>
  <c r="CX177" i="1"/>
  <c r="DC177" i="1"/>
  <c r="DH177" i="1"/>
  <c r="DM177" i="1"/>
  <c r="CS179" i="1"/>
  <c r="CX179" i="1"/>
  <c r="DC179" i="1"/>
  <c r="DH179" i="1"/>
  <c r="DM179" i="1"/>
  <c r="CS190" i="1"/>
  <c r="CX190" i="1"/>
  <c r="DC190" i="1"/>
  <c r="DH190" i="1"/>
  <c r="DM190" i="1"/>
  <c r="CL204" i="1"/>
  <c r="CM204" i="1"/>
  <c r="CN204" i="1"/>
  <c r="CO204" i="1"/>
  <c r="CP204" i="1"/>
  <c r="CQ204" i="1"/>
  <c r="CR204" i="1"/>
  <c r="CS204" i="1"/>
  <c r="CT204" i="1"/>
  <c r="CU204" i="1"/>
  <c r="CV204" i="1"/>
  <c r="CW204" i="1"/>
  <c r="CX204" i="1"/>
  <c r="CY204" i="1"/>
  <c r="CZ204" i="1"/>
  <c r="DA204" i="1"/>
  <c r="DB204" i="1"/>
  <c r="DC204" i="1"/>
  <c r="DD204" i="1"/>
  <c r="DE204" i="1"/>
  <c r="DF204" i="1"/>
  <c r="DG204" i="1"/>
  <c r="DH204" i="1"/>
  <c r="DI204" i="1"/>
  <c r="DJ204" i="1"/>
  <c r="DK204" i="1"/>
  <c r="DL204" i="1"/>
  <c r="DM204" i="1"/>
  <c r="CL238" i="1"/>
  <c r="CL244" i="1" s="1"/>
  <c r="CL250" i="1" s="1"/>
  <c r="CM238" i="1"/>
  <c r="CM244" i="1" s="1"/>
  <c r="CM250" i="1" s="1"/>
  <c r="CN238" i="1"/>
  <c r="CN244" i="1" s="1"/>
  <c r="CN250" i="1" s="1"/>
  <c r="CO238" i="1"/>
  <c r="CO244" i="1" s="1"/>
  <c r="CO250" i="1" s="1"/>
  <c r="CP238" i="1"/>
  <c r="CP244" i="1" s="1"/>
  <c r="CP250" i="1" s="1"/>
  <c r="CQ238" i="1"/>
  <c r="CQ244" i="1" s="1"/>
  <c r="CQ250" i="1" s="1"/>
  <c r="CR238" i="1"/>
  <c r="CR244" i="1" s="1"/>
  <c r="CR250" i="1" s="1"/>
  <c r="CS238" i="1"/>
  <c r="CT238" i="1"/>
  <c r="CT244" i="1" s="1"/>
  <c r="CT250" i="1" s="1"/>
  <c r="CU238" i="1"/>
  <c r="CU244" i="1" s="1"/>
  <c r="CU250" i="1" s="1"/>
  <c r="CV238" i="1"/>
  <c r="CV244" i="1" s="1"/>
  <c r="CV250" i="1" s="1"/>
  <c r="CW238" i="1"/>
  <c r="CW244" i="1" s="1"/>
  <c r="CW250" i="1" s="1"/>
  <c r="CX238" i="1"/>
  <c r="CX244" i="1" s="1"/>
  <c r="CX250" i="1" s="1"/>
  <c r="CY238" i="1"/>
  <c r="CY244" i="1" s="1"/>
  <c r="CY250" i="1" s="1"/>
  <c r="CZ238" i="1"/>
  <c r="CZ244" i="1" s="1"/>
  <c r="CZ250" i="1" s="1"/>
  <c r="DA238" i="1"/>
  <c r="DB238" i="1"/>
  <c r="DB244" i="1" s="1"/>
  <c r="DB250" i="1" s="1"/>
  <c r="DC238" i="1"/>
  <c r="DC244" i="1" s="1"/>
  <c r="DC250" i="1" s="1"/>
  <c r="DD238" i="1"/>
  <c r="DD244" i="1" s="1"/>
  <c r="DD250" i="1" s="1"/>
  <c r="DE238" i="1"/>
  <c r="DE244" i="1" s="1"/>
  <c r="DE250" i="1" s="1"/>
  <c r="DF238" i="1"/>
  <c r="DF244" i="1" s="1"/>
  <c r="DF250" i="1" s="1"/>
  <c r="DG238" i="1"/>
  <c r="DG244" i="1" s="1"/>
  <c r="DG250" i="1" s="1"/>
  <c r="DH238" i="1"/>
  <c r="DH244" i="1" s="1"/>
  <c r="DH250" i="1" s="1"/>
  <c r="DI238" i="1"/>
  <c r="DJ238" i="1"/>
  <c r="DJ244" i="1" s="1"/>
  <c r="DJ250" i="1" s="1"/>
  <c r="DK238" i="1"/>
  <c r="DK244" i="1" s="1"/>
  <c r="DK250" i="1" s="1"/>
  <c r="DL238" i="1"/>
  <c r="DL244" i="1" s="1"/>
  <c r="DL250" i="1" s="1"/>
  <c r="DM238" i="1"/>
  <c r="DM244" i="1" s="1"/>
  <c r="DM250" i="1" s="1"/>
  <c r="CS244" i="1"/>
  <c r="CS250" i="1" s="1"/>
  <c r="DA244" i="1"/>
  <c r="DA250" i="1" s="1"/>
  <c r="DI244" i="1"/>
  <c r="DI250" i="1" s="1"/>
  <c r="CT75" i="1"/>
  <c r="CY75" i="1" s="1"/>
  <c r="CJ111" i="1"/>
  <c r="CJ158" i="1" s="1"/>
  <c r="CT163" i="1"/>
  <c r="CY163" i="1" s="1"/>
  <c r="CJ204" i="1"/>
  <c r="CJ238" i="1"/>
  <c r="CJ244" i="1" s="1"/>
  <c r="CJ250" i="1" s="1"/>
  <c r="CF205" i="1"/>
  <c r="CF206" i="1"/>
  <c r="CF208" i="1"/>
  <c r="CF209" i="1"/>
  <c r="CF210" i="1"/>
  <c r="CF211" i="1"/>
  <c r="CF212" i="1"/>
  <c r="CF213" i="1"/>
  <c r="CF214" i="1"/>
  <c r="CF215" i="1"/>
  <c r="CF216" i="1"/>
  <c r="CF217" i="1"/>
  <c r="CF218" i="1"/>
  <c r="CF220" i="1"/>
  <c r="CU220" i="1" s="1"/>
  <c r="CZ220" i="1" s="1"/>
  <c r="CF221" i="1"/>
  <c r="CF222" i="1"/>
  <c r="CF223" i="1"/>
  <c r="CF224" i="1"/>
  <c r="CF225" i="1"/>
  <c r="CF196" i="1"/>
  <c r="CF197" i="1" s="1"/>
  <c r="CF201" i="1"/>
  <c r="CH185" i="1" l="1"/>
  <c r="CH106" i="1" s="1"/>
  <c r="CK300" i="1"/>
  <c r="DD95" i="1"/>
  <c r="CY95" i="1"/>
  <c r="CK95" i="1"/>
  <c r="CZ216" i="1"/>
  <c r="CP66" i="1"/>
  <c r="CU66" i="1" s="1"/>
  <c r="CU163" i="1"/>
  <c r="CP217" i="1"/>
  <c r="CU217" i="1" s="1"/>
  <c r="DC67" i="1"/>
  <c r="DD163" i="1"/>
  <c r="CJ95" i="1"/>
  <c r="DE220" i="1"/>
  <c r="DF95" i="1"/>
  <c r="DG101" i="1"/>
  <c r="DE95" i="1"/>
  <c r="DI67" i="1"/>
  <c r="DM67" i="1" s="1"/>
  <c r="DH67" i="1"/>
  <c r="CU102" i="1"/>
  <c r="CV102" i="1" s="1"/>
  <c r="CW102" i="1" s="1"/>
  <c r="CY102" i="1" s="1"/>
  <c r="CT103" i="1"/>
  <c r="DA101" i="1"/>
  <c r="CZ95" i="1"/>
  <c r="DD75" i="1"/>
  <c r="CS67" i="1"/>
  <c r="DJ101" i="1"/>
  <c r="CU101" i="1"/>
  <c r="CX67" i="1"/>
  <c r="CP71" i="1"/>
  <c r="CX71" i="1"/>
  <c r="CQ71" i="1"/>
  <c r="CF202" i="1"/>
  <c r="BF136" i="67"/>
  <c r="BK137" i="67" s="1"/>
  <c r="BF93" i="67"/>
  <c r="BK102" i="67" s="1"/>
  <c r="BF191" i="67"/>
  <c r="BF192" i="67"/>
  <c r="BF193" i="67"/>
  <c r="BF196" i="67"/>
  <c r="BF198" i="67"/>
  <c r="BF127" i="67"/>
  <c r="BF106" i="67"/>
  <c r="BF73" i="67"/>
  <c r="BF30" i="67"/>
  <c r="BF61" i="67"/>
  <c r="CF10" i="1"/>
  <c r="BF137" i="67"/>
  <c r="BF134" i="67"/>
  <c r="BF113" i="67"/>
  <c r="BF80" i="67"/>
  <c r="BF68" i="67"/>
  <c r="CE19" i="1"/>
  <c r="CE18" i="1"/>
  <c r="CE13" i="1"/>
  <c r="CE14" i="1" s="1"/>
  <c r="CS207" i="1" l="1"/>
  <c r="CS240" i="1"/>
  <c r="BF195" i="67"/>
  <c r="BF102" i="67"/>
  <c r="BF4" i="67"/>
  <c r="CZ66" i="1"/>
  <c r="CP207" i="1"/>
  <c r="CP240" i="1"/>
  <c r="CT186" i="1"/>
  <c r="DE216" i="1"/>
  <c r="CZ102" i="1"/>
  <c r="CY103" i="1"/>
  <c r="CT66" i="1"/>
  <c r="CT71" i="1"/>
  <c r="CU71" i="1"/>
  <c r="DC71" i="1"/>
  <c r="CV71" i="1"/>
  <c r="CX207" i="1"/>
  <c r="CX240" i="1"/>
  <c r="DJ95" i="1"/>
  <c r="DK101" i="1"/>
  <c r="DA95" i="1"/>
  <c r="DB101" i="1"/>
  <c r="DG95" i="1"/>
  <c r="DH95" i="1" s="1"/>
  <c r="CZ217" i="1"/>
  <c r="DI75" i="1"/>
  <c r="CZ163" i="1"/>
  <c r="CP95" i="1"/>
  <c r="CP103" i="1"/>
  <c r="CQ101" i="1"/>
  <c r="CR101" i="1" s="1"/>
  <c r="DJ220" i="1"/>
  <c r="CQ240" i="1"/>
  <c r="CQ207" i="1"/>
  <c r="CV101" i="1"/>
  <c r="CU103" i="1"/>
  <c r="CU95" i="1"/>
  <c r="DI163" i="1"/>
  <c r="BF6" i="67" l="1"/>
  <c r="BF7" i="67"/>
  <c r="BF149" i="67" s="1"/>
  <c r="DE66" i="1"/>
  <c r="CP186" i="1"/>
  <c r="DE163" i="1"/>
  <c r="CY186" i="1"/>
  <c r="CU240" i="1"/>
  <c r="CU207" i="1"/>
  <c r="DA102" i="1"/>
  <c r="CZ103" i="1"/>
  <c r="CU186" i="1"/>
  <c r="CV240" i="1"/>
  <c r="CV207" i="1"/>
  <c r="CT207" i="1"/>
  <c r="CT240" i="1"/>
  <c r="CL95" i="1"/>
  <c r="DJ216" i="1"/>
  <c r="DB95" i="1"/>
  <c r="DC95" i="1" s="1"/>
  <c r="CY71" i="1"/>
  <c r="DA71" i="1"/>
  <c r="DH71" i="1"/>
  <c r="CZ71" i="1"/>
  <c r="DC240" i="1"/>
  <c r="DC207" i="1"/>
  <c r="DE217" i="1"/>
  <c r="CY66" i="1"/>
  <c r="CV95" i="1"/>
  <c r="CV103" i="1"/>
  <c r="CW101" i="1"/>
  <c r="CQ95" i="1"/>
  <c r="CQ103" i="1"/>
  <c r="DK95" i="1"/>
  <c r="DL101" i="1"/>
  <c r="DJ66" i="1" l="1"/>
  <c r="CW95" i="1"/>
  <c r="CX95" i="1" s="1"/>
  <c r="CW103" i="1"/>
  <c r="CX103" i="1" s="1"/>
  <c r="CV186" i="1"/>
  <c r="DL95" i="1"/>
  <c r="DM95" i="1" s="1"/>
  <c r="CR103" i="1"/>
  <c r="CR95" i="1"/>
  <c r="CS95" i="1" s="1"/>
  <c r="CY240" i="1"/>
  <c r="CY207" i="1"/>
  <c r="DB102" i="1"/>
  <c r="DA103" i="1"/>
  <c r="CQ186" i="1"/>
  <c r="CZ240" i="1"/>
  <c r="CZ207" i="1"/>
  <c r="DJ217" i="1"/>
  <c r="DF71" i="1"/>
  <c r="DD71" i="1"/>
  <c r="DE71" i="1"/>
  <c r="DM71" i="1"/>
  <c r="DH240" i="1"/>
  <c r="DH207" i="1"/>
  <c r="DD66" i="1"/>
  <c r="DA207" i="1"/>
  <c r="DA240" i="1"/>
  <c r="CM95" i="1"/>
  <c r="CZ186" i="1"/>
  <c r="DJ163" i="1"/>
  <c r="CN95" i="1" l="1"/>
  <c r="DJ71" i="1"/>
  <c r="DK71" i="1"/>
  <c r="DI71" i="1"/>
  <c r="DM207" i="1"/>
  <c r="DM240" i="1"/>
  <c r="CX102" i="1"/>
  <c r="DD102" i="1"/>
  <c r="DB103" i="1"/>
  <c r="DF207" i="1"/>
  <c r="DF240" i="1"/>
  <c r="DI66" i="1"/>
  <c r="DE207" i="1"/>
  <c r="DE240" i="1"/>
  <c r="CR186" i="1"/>
  <c r="CS186" i="1" s="1"/>
  <c r="CS103" i="1"/>
  <c r="CN103" i="1"/>
  <c r="CN102" i="1" s="1"/>
  <c r="DD240" i="1"/>
  <c r="DD207" i="1"/>
  <c r="DA186" i="1"/>
  <c r="CW186" i="1"/>
  <c r="CX186" i="1" s="1"/>
  <c r="AY195" i="67"/>
  <c r="DB186" i="1" l="1"/>
  <c r="DC186" i="1" s="1"/>
  <c r="DK240" i="1"/>
  <c r="DK207" i="1"/>
  <c r="DC103" i="1"/>
  <c r="DE102" i="1"/>
  <c r="DD103" i="1"/>
  <c r="DJ207" i="1"/>
  <c r="DJ240" i="1"/>
  <c r="CS102" i="1"/>
  <c r="DI207" i="1"/>
  <c r="DI240" i="1"/>
  <c r="DD186" i="1" l="1"/>
  <c r="DF102" i="1"/>
  <c r="DE103" i="1"/>
  <c r="DC102" i="1"/>
  <c r="CI130" i="67"/>
  <c r="CJ130" i="67" s="1"/>
  <c r="CK130" i="67" s="1"/>
  <c r="CD130" i="67"/>
  <c r="BY130" i="67"/>
  <c r="BZ130" i="67" s="1"/>
  <c r="CA130" i="67" s="1"/>
  <c r="BT130" i="67"/>
  <c r="BU130" i="67" s="1"/>
  <c r="BW95" i="67"/>
  <c r="CB95" i="67" s="1"/>
  <c r="CG95" i="67" s="1"/>
  <c r="CL95" i="67" s="1"/>
  <c r="BV95" i="67"/>
  <c r="CA95" i="67" s="1"/>
  <c r="CF95" i="67" s="1"/>
  <c r="CK95" i="67" s="1"/>
  <c r="BU95" i="67"/>
  <c r="BZ95" i="67" s="1"/>
  <c r="CE95" i="67" s="1"/>
  <c r="CJ95" i="67" s="1"/>
  <c r="BT95" i="67"/>
  <c r="BY95" i="67" s="1"/>
  <c r="CD95" i="67" s="1"/>
  <c r="CI95" i="67" s="1"/>
  <c r="BC198" i="67"/>
  <c r="BH211" i="67" s="1"/>
  <c r="BB198" i="67"/>
  <c r="BG211" i="67" s="1"/>
  <c r="BA198" i="67"/>
  <c r="AZ198" i="67"/>
  <c r="AX198" i="67"/>
  <c r="AW198" i="67"/>
  <c r="AV198" i="67"/>
  <c r="AU198" i="67"/>
  <c r="AT198" i="67"/>
  <c r="BE198" i="67"/>
  <c r="BJ211" i="67" s="1"/>
  <c r="BC193" i="67"/>
  <c r="BH206" i="67" s="1"/>
  <c r="BB193" i="67"/>
  <c r="BG206" i="67" s="1"/>
  <c r="BA193" i="67"/>
  <c r="AZ193" i="67"/>
  <c r="AX193" i="67"/>
  <c r="AW193" i="67"/>
  <c r="AV193" i="67"/>
  <c r="AU193" i="67"/>
  <c r="AS193" i="67"/>
  <c r="AR193" i="67"/>
  <c r="AQ193" i="67"/>
  <c r="AP193" i="67"/>
  <c r="BE193" i="67"/>
  <c r="BJ206" i="67" s="1"/>
  <c r="BC191" i="67"/>
  <c r="BB191" i="67"/>
  <c r="BA191" i="67"/>
  <c r="AZ191" i="67"/>
  <c r="AX191" i="67"/>
  <c r="AW191" i="67"/>
  <c r="AV191" i="67"/>
  <c r="AU191" i="67"/>
  <c r="AS191" i="67"/>
  <c r="AR191" i="67"/>
  <c r="AQ191" i="67"/>
  <c r="AP191" i="67"/>
  <c r="BE191" i="67"/>
  <c r="BE196" i="67"/>
  <c r="BJ209" i="67" s="1"/>
  <c r="BC196" i="67"/>
  <c r="BH209" i="67" s="1"/>
  <c r="BB196" i="67"/>
  <c r="BG209" i="67" s="1"/>
  <c r="BA196" i="67"/>
  <c r="AZ196" i="67"/>
  <c r="AX196" i="67"/>
  <c r="AW196" i="67"/>
  <c r="AV196" i="67"/>
  <c r="AU196" i="67"/>
  <c r="AS196" i="67"/>
  <c r="AR196" i="67"/>
  <c r="AQ196" i="67"/>
  <c r="AP196" i="67"/>
  <c r="BE192" i="67"/>
  <c r="BC192" i="67"/>
  <c r="BB192" i="67"/>
  <c r="BA192" i="67"/>
  <c r="AZ192" i="67"/>
  <c r="AX192" i="67"/>
  <c r="AW192" i="67"/>
  <c r="AV192" i="67"/>
  <c r="AU192" i="67"/>
  <c r="AS192" i="67"/>
  <c r="AR192" i="67"/>
  <c r="AQ192" i="67"/>
  <c r="AP192" i="67"/>
  <c r="CE108" i="1"/>
  <c r="CE99" i="1"/>
  <c r="CE225" i="1"/>
  <c r="CE224" i="1"/>
  <c r="CE223" i="1"/>
  <c r="CE218" i="1"/>
  <c r="CE216" i="1"/>
  <c r="CY216" i="1" s="1"/>
  <c r="DD216" i="1" s="1"/>
  <c r="DI216" i="1" s="1"/>
  <c r="CE215" i="1"/>
  <c r="CE214" i="1"/>
  <c r="CE212" i="1"/>
  <c r="CE245" i="1" s="1"/>
  <c r="CE211" i="1"/>
  <c r="CE210" i="1"/>
  <c r="CE246" i="1" s="1"/>
  <c r="CE209" i="1"/>
  <c r="CE206" i="1"/>
  <c r="CE205" i="1"/>
  <c r="CE184" i="1"/>
  <c r="BZ184" i="1"/>
  <c r="BZ187" i="1"/>
  <c r="CA187" i="1" s="1"/>
  <c r="CE177" i="1"/>
  <c r="BZ176" i="1"/>
  <c r="CE176" i="1"/>
  <c r="CE134" i="1"/>
  <c r="CE221" i="1" s="1"/>
  <c r="CE137" i="1"/>
  <c r="CE222" i="1" s="1"/>
  <c r="BW134" i="1"/>
  <c r="BW137" i="1"/>
  <c r="BZ134" i="1"/>
  <c r="BZ138" i="1" s="1"/>
  <c r="BZ137" i="1"/>
  <c r="BX134" i="1"/>
  <c r="BX137" i="1"/>
  <c r="CA134" i="1"/>
  <c r="CA221" i="1" s="1"/>
  <c r="CA247" i="1" s="1"/>
  <c r="CA137" i="1"/>
  <c r="CB134" i="1"/>
  <c r="CB137" i="1"/>
  <c r="CC134" i="1"/>
  <c r="CD134" i="1" s="1"/>
  <c r="CC137" i="1"/>
  <c r="CE129" i="1"/>
  <c r="CE320" i="1" s="1"/>
  <c r="CE321" i="1" s="1"/>
  <c r="CE120" i="1"/>
  <c r="CE213" i="1" s="1"/>
  <c r="AZ134" i="67"/>
  <c r="BA134" i="67"/>
  <c r="BB134" i="67"/>
  <c r="BC134" i="67"/>
  <c r="CE10" i="1"/>
  <c r="BE195" i="67"/>
  <c r="BJ208" i="67" s="1"/>
  <c r="BE137" i="67"/>
  <c r="BE134" i="67"/>
  <c r="BE127" i="67"/>
  <c r="BE113" i="67"/>
  <c r="BE106" i="67"/>
  <c r="BT106" i="67" s="1"/>
  <c r="BY106" i="67" s="1"/>
  <c r="BE102" i="67"/>
  <c r="BE95" i="67"/>
  <c r="BE80" i="67"/>
  <c r="BE73" i="67"/>
  <c r="BE68" i="67"/>
  <c r="BE61" i="67"/>
  <c r="BE37" i="67"/>
  <c r="BE30" i="67"/>
  <c r="BJ30" i="67" s="1"/>
  <c r="CB96" i="1"/>
  <c r="CC93" i="1" s="1"/>
  <c r="CC97" i="1" s="1"/>
  <c r="CA96" i="1"/>
  <c r="BZ96" i="1"/>
  <c r="BX96" i="1"/>
  <c r="BW96" i="1"/>
  <c r="BV96" i="1"/>
  <c r="BU96" i="1"/>
  <c r="CC96" i="1"/>
  <c r="BV101" i="1"/>
  <c r="BW101" i="1" s="1"/>
  <c r="CA101" i="1"/>
  <c r="CB101" i="1" s="1"/>
  <c r="CB95" i="1" s="1"/>
  <c r="M173" i="67"/>
  <c r="V173" i="67"/>
  <c r="AK173" i="67"/>
  <c r="AL173" i="67"/>
  <c r="AM173" i="67"/>
  <c r="AP173" i="67"/>
  <c r="AQ173" i="67"/>
  <c r="AR173" i="67"/>
  <c r="AS173" i="67"/>
  <c r="M174" i="67"/>
  <c r="V174" i="67"/>
  <c r="AK174" i="67"/>
  <c r="AL174" i="67"/>
  <c r="AM174" i="67"/>
  <c r="AP174" i="67"/>
  <c r="AQ174" i="67"/>
  <c r="AR174" i="67"/>
  <c r="AS174" i="67"/>
  <c r="M175" i="67"/>
  <c r="V175" i="67"/>
  <c r="AK175" i="67"/>
  <c r="AL175" i="67"/>
  <c r="AM175" i="67"/>
  <c r="AP175" i="67"/>
  <c r="AQ175" i="67"/>
  <c r="AR175" i="67"/>
  <c r="AS175" i="67"/>
  <c r="M176" i="67"/>
  <c r="V176" i="67"/>
  <c r="AK176" i="67"/>
  <c r="AL176" i="67"/>
  <c r="AM176" i="67"/>
  <c r="AP176" i="67"/>
  <c r="AQ176" i="67"/>
  <c r="AR176" i="67"/>
  <c r="AS176" i="67"/>
  <c r="M177" i="67"/>
  <c r="V177" i="67"/>
  <c r="AK177" i="67"/>
  <c r="AL177" i="67"/>
  <c r="AM177" i="67"/>
  <c r="AP177" i="67"/>
  <c r="AQ177" i="67"/>
  <c r="AR177" i="67"/>
  <c r="AS177" i="67"/>
  <c r="M178" i="67"/>
  <c r="V178" i="67"/>
  <c r="AK178" i="67"/>
  <c r="AL178" i="67"/>
  <c r="AM178" i="67"/>
  <c r="AP178" i="67"/>
  <c r="AQ178" i="67"/>
  <c r="AR178" i="67"/>
  <c r="AS178" i="67"/>
  <c r="CI212" i="67"/>
  <c r="CJ212" i="67" s="1"/>
  <c r="CK212" i="67" s="1"/>
  <c r="CL212" i="67" s="1"/>
  <c r="CI211" i="67"/>
  <c r="CJ211" i="67" s="1"/>
  <c r="CK211" i="67" s="1"/>
  <c r="CL211" i="67" s="1"/>
  <c r="CI209" i="67"/>
  <c r="CJ209" i="67" s="1"/>
  <c r="CK209" i="67" s="1"/>
  <c r="CL209" i="67" s="1"/>
  <c r="CI208" i="67"/>
  <c r="CJ208" i="67" s="1"/>
  <c r="CK208" i="67" s="1"/>
  <c r="CL208" i="67" s="1"/>
  <c r="CI206" i="67"/>
  <c r="CJ206" i="67" s="1"/>
  <c r="CK206" i="67" s="1"/>
  <c r="CL206" i="67" s="1"/>
  <c r="CI205" i="67"/>
  <c r="CJ205" i="67" s="1"/>
  <c r="CK205" i="67" s="1"/>
  <c r="CL205" i="67" s="1"/>
  <c r="CI204" i="67"/>
  <c r="CJ204" i="67" s="1"/>
  <c r="CK204" i="67" s="1"/>
  <c r="CL204" i="67" s="1"/>
  <c r="CD212" i="67"/>
  <c r="CE212" i="67" s="1"/>
  <c r="CF212" i="67" s="1"/>
  <c r="CG212" i="67" s="1"/>
  <c r="CD211" i="67"/>
  <c r="CE211" i="67" s="1"/>
  <c r="CF211" i="67" s="1"/>
  <c r="CG211" i="67" s="1"/>
  <c r="CD209" i="67"/>
  <c r="CE209" i="67" s="1"/>
  <c r="CF209" i="67" s="1"/>
  <c r="CG209" i="67" s="1"/>
  <c r="CD208" i="67"/>
  <c r="CE208" i="67" s="1"/>
  <c r="CF208" i="67" s="1"/>
  <c r="CG208" i="67" s="1"/>
  <c r="CD206" i="67"/>
  <c r="CE206" i="67" s="1"/>
  <c r="CF206" i="67" s="1"/>
  <c r="CG206" i="67" s="1"/>
  <c r="CD205" i="67"/>
  <c r="CE205" i="67" s="1"/>
  <c r="CF205" i="67" s="1"/>
  <c r="CG205" i="67" s="1"/>
  <c r="CD204" i="67"/>
  <c r="CE204" i="67" s="1"/>
  <c r="CF204" i="67" s="1"/>
  <c r="CG204" i="67" s="1"/>
  <c r="BY212" i="67"/>
  <c r="BZ212" i="67" s="1"/>
  <c r="CA212" i="67" s="1"/>
  <c r="CB212" i="67" s="1"/>
  <c r="BY211" i="67"/>
  <c r="BZ211" i="67" s="1"/>
  <c r="CA211" i="67" s="1"/>
  <c r="CB211" i="67" s="1"/>
  <c r="BY209" i="67"/>
  <c r="BZ209" i="67" s="1"/>
  <c r="CA209" i="67" s="1"/>
  <c r="CB209" i="67" s="1"/>
  <c r="BY208" i="67"/>
  <c r="BZ208" i="67" s="1"/>
  <c r="CA208" i="67" s="1"/>
  <c r="CB208" i="67" s="1"/>
  <c r="BY206" i="67"/>
  <c r="BZ206" i="67" s="1"/>
  <c r="CA206" i="67" s="1"/>
  <c r="CB206" i="67" s="1"/>
  <c r="BY205" i="67"/>
  <c r="BZ205" i="67" s="1"/>
  <c r="CA205" i="67" s="1"/>
  <c r="CB205" i="67" s="1"/>
  <c r="BY204" i="67"/>
  <c r="BZ204" i="67" s="1"/>
  <c r="CA204" i="67" s="1"/>
  <c r="CB204" i="67" s="1"/>
  <c r="BT211" i="67"/>
  <c r="BU211" i="67" s="1"/>
  <c r="BV211" i="67" s="1"/>
  <c r="BW211" i="67" s="1"/>
  <c r="BT208" i="67"/>
  <c r="BU208" i="67" s="1"/>
  <c r="BV208" i="67" s="1"/>
  <c r="BW208" i="67" s="1"/>
  <c r="BA338" i="67"/>
  <c r="AT195" i="67"/>
  <c r="AY208" i="67" s="1"/>
  <c r="AU195" i="67"/>
  <c r="AV195" i="67"/>
  <c r="AW195" i="67"/>
  <c r="AX195" i="67"/>
  <c r="AZ195" i="67"/>
  <c r="BA195" i="67"/>
  <c r="BB195" i="67"/>
  <c r="BG208" i="67" s="1"/>
  <c r="BC195" i="67"/>
  <c r="BH208" i="67" s="1"/>
  <c r="BD195" i="67"/>
  <c r="BL65" i="67"/>
  <c r="BK65" i="67"/>
  <c r="BJ65" i="67"/>
  <c r="BL64" i="67"/>
  <c r="BK64" i="67"/>
  <c r="BK63" i="67" s="1"/>
  <c r="BJ64" i="67"/>
  <c r="BL34" i="67"/>
  <c r="BK34" i="67"/>
  <c r="BJ34" i="67"/>
  <c r="K367" i="67"/>
  <c r="L367" i="67"/>
  <c r="O372" i="67"/>
  <c r="O375" i="67"/>
  <c r="O380" i="67"/>
  <c r="AS4" i="67"/>
  <c r="AS5" i="67"/>
  <c r="AU373" i="67"/>
  <c r="AV373" i="67"/>
  <c r="AW373" i="67"/>
  <c r="CK131" i="67"/>
  <c r="CJ131" i="67"/>
  <c r="CI131" i="67"/>
  <c r="CF131" i="67"/>
  <c r="CE131" i="67"/>
  <c r="CD131" i="67"/>
  <c r="CA131" i="67"/>
  <c r="BZ131" i="67"/>
  <c r="BY131" i="67"/>
  <c r="BY134" i="67" s="1"/>
  <c r="BV131" i="67"/>
  <c r="BU131" i="67"/>
  <c r="BT131" i="67"/>
  <c r="BL61" i="67"/>
  <c r="BM61" i="67"/>
  <c r="BD338" i="67"/>
  <c r="AZ338" i="67"/>
  <c r="AK1" i="67"/>
  <c r="AL1" i="67"/>
  <c r="AM1" i="67"/>
  <c r="AN1" i="67"/>
  <c r="AR3" i="67"/>
  <c r="AS3" i="67"/>
  <c r="AT3" i="67"/>
  <c r="AU3" i="67"/>
  <c r="AV3" i="67"/>
  <c r="AW3" i="67"/>
  <c r="AX3" i="67"/>
  <c r="AY3" i="67"/>
  <c r="AZ3" i="67"/>
  <c r="BA3" i="67"/>
  <c r="BB3" i="67"/>
  <c r="BC3" i="67"/>
  <c r="BD3" i="67"/>
  <c r="BE3" i="67"/>
  <c r="BF3" i="67"/>
  <c r="BG3" i="67"/>
  <c r="BH3" i="67"/>
  <c r="BI3" i="67"/>
  <c r="BJ3" i="67"/>
  <c r="BK3" i="67"/>
  <c r="BL3" i="67"/>
  <c r="BM3" i="67"/>
  <c r="BN3" i="67"/>
  <c r="BO3" i="67"/>
  <c r="BP3" i="67"/>
  <c r="BQ3" i="67"/>
  <c r="BR3" i="67"/>
  <c r="BS3" i="67"/>
  <c r="BT3" i="67"/>
  <c r="BU3" i="67"/>
  <c r="BV3" i="67"/>
  <c r="BW3" i="67"/>
  <c r="BX3" i="67"/>
  <c r="BY3" i="67"/>
  <c r="BZ3" i="67"/>
  <c r="CA3" i="67"/>
  <c r="CB3" i="67"/>
  <c r="CC3" i="67"/>
  <c r="CD3" i="67"/>
  <c r="CE3" i="67"/>
  <c r="CF3" i="67"/>
  <c r="CG3" i="67"/>
  <c r="CH3" i="67"/>
  <c r="CI3" i="67"/>
  <c r="CJ3" i="67"/>
  <c r="CK3" i="67"/>
  <c r="CL3" i="67"/>
  <c r="CM3" i="67"/>
  <c r="B4" i="67"/>
  <c r="D4" i="67"/>
  <c r="D6" i="67" s="1"/>
  <c r="E4" i="67"/>
  <c r="E7" i="67" s="1"/>
  <c r="E146" i="67" s="1"/>
  <c r="G4" i="67"/>
  <c r="H4" i="67"/>
  <c r="I4" i="67"/>
  <c r="J4" i="67"/>
  <c r="J6" i="67" s="1"/>
  <c r="L4" i="67"/>
  <c r="M4" i="67"/>
  <c r="N4" i="67"/>
  <c r="O4" i="67"/>
  <c r="Q4" i="67"/>
  <c r="R4" i="67"/>
  <c r="S4" i="67"/>
  <c r="T4" i="67"/>
  <c r="V4" i="67"/>
  <c r="W4" i="67"/>
  <c r="X4" i="67"/>
  <c r="Y4" i="67"/>
  <c r="AA4" i="67"/>
  <c r="AB4" i="67"/>
  <c r="AC4" i="67"/>
  <c r="AD4" i="67"/>
  <c r="AG4" i="67"/>
  <c r="AI4" i="67"/>
  <c r="AK4" i="67"/>
  <c r="AL4" i="67"/>
  <c r="AN4" i="67"/>
  <c r="AP4" i="67"/>
  <c r="AQ4" i="67"/>
  <c r="AR4" i="67"/>
  <c r="F5" i="67"/>
  <c r="G5" i="67"/>
  <c r="H5" i="67"/>
  <c r="I5" i="67"/>
  <c r="Q5" i="67"/>
  <c r="R5" i="67"/>
  <c r="S5" i="67"/>
  <c r="T5" i="67"/>
  <c r="V5" i="67"/>
  <c r="W5" i="67"/>
  <c r="X5" i="67"/>
  <c r="Y5" i="67"/>
  <c r="AA5" i="67"/>
  <c r="AB5" i="67"/>
  <c r="AC5" i="67"/>
  <c r="AD5" i="67"/>
  <c r="AF5" i="67"/>
  <c r="AG5" i="67"/>
  <c r="AH5" i="67"/>
  <c r="AI5" i="67"/>
  <c r="AK5" i="67"/>
  <c r="AL5" i="67"/>
  <c r="AM5" i="67"/>
  <c r="AN5" i="67"/>
  <c r="AP5" i="67"/>
  <c r="B9" i="67"/>
  <c r="B15" i="67" s="1"/>
  <c r="AB7" i="1" s="1"/>
  <c r="AB270" i="1" s="1"/>
  <c r="C9" i="67"/>
  <c r="C15" i="67" s="1"/>
  <c r="AC7" i="1" s="1"/>
  <c r="AC270" i="1" s="1"/>
  <c r="D9" i="67"/>
  <c r="D15" i="67" s="1"/>
  <c r="AD7" i="1" s="1"/>
  <c r="AD270" i="1" s="1"/>
  <c r="E9" i="67"/>
  <c r="E15" i="67" s="1"/>
  <c r="AE7" i="1" s="1"/>
  <c r="AE270" i="1" s="1"/>
  <c r="F9" i="67"/>
  <c r="F15" i="67" s="1"/>
  <c r="AF7" i="1" s="1"/>
  <c r="AF270" i="1" s="1"/>
  <c r="G9" i="67"/>
  <c r="G15" i="67" s="1"/>
  <c r="AG7" i="1" s="1"/>
  <c r="AG270" i="1" s="1"/>
  <c r="H9" i="67"/>
  <c r="H15" i="67" s="1"/>
  <c r="AH7" i="1" s="1"/>
  <c r="AH270" i="1" s="1"/>
  <c r="I9" i="67"/>
  <c r="I15" i="67" s="1"/>
  <c r="AI7" i="1" s="1"/>
  <c r="AI270" i="1" s="1"/>
  <c r="J9" i="67"/>
  <c r="J15" i="67" s="1"/>
  <c r="AJ7" i="1" s="1"/>
  <c r="AJ270" i="1" s="1"/>
  <c r="K9" i="67"/>
  <c r="K15" i="67" s="1"/>
  <c r="AK7" i="1" s="1"/>
  <c r="AK270" i="1" s="1"/>
  <c r="L15" i="67"/>
  <c r="AL7" i="1" s="1"/>
  <c r="AL270" i="1" s="1"/>
  <c r="M15" i="67"/>
  <c r="AM7" i="1" s="1"/>
  <c r="AM270" i="1" s="1"/>
  <c r="N15" i="67"/>
  <c r="AN7" i="1" s="1"/>
  <c r="AN270" i="1" s="1"/>
  <c r="O15" i="67"/>
  <c r="AO7" i="1" s="1"/>
  <c r="AO270" i="1" s="1"/>
  <c r="P15" i="67"/>
  <c r="AP7" i="1" s="1"/>
  <c r="Q15" i="67"/>
  <c r="AQ7" i="1" s="1"/>
  <c r="AQ270" i="1" s="1"/>
  <c r="R15" i="67"/>
  <c r="AR7" i="1" s="1"/>
  <c r="AR270" i="1" s="1"/>
  <c r="S15" i="67"/>
  <c r="AS7" i="1" s="1"/>
  <c r="AS270" i="1" s="1"/>
  <c r="T15" i="67"/>
  <c r="AT7" i="1" s="1"/>
  <c r="AT270" i="1" s="1"/>
  <c r="U15" i="67"/>
  <c r="AU7" i="1" s="1"/>
  <c r="V15" i="67"/>
  <c r="AV7" i="1" s="1"/>
  <c r="AV270" i="1" s="1"/>
  <c r="W15" i="67"/>
  <c r="AW7" i="1" s="1"/>
  <c r="AW270" i="1" s="1"/>
  <c r="X15" i="67"/>
  <c r="AX7" i="1" s="1"/>
  <c r="AX270" i="1" s="1"/>
  <c r="Y15" i="67"/>
  <c r="AY7" i="1" s="1"/>
  <c r="AY270" i="1" s="1"/>
  <c r="Z15" i="67"/>
  <c r="AZ7" i="1" s="1"/>
  <c r="AA15" i="67"/>
  <c r="BA7" i="1" s="1"/>
  <c r="BA270" i="1" s="1"/>
  <c r="AB15" i="67"/>
  <c r="BB7" i="1" s="1"/>
  <c r="BB270" i="1" s="1"/>
  <c r="AC15" i="67"/>
  <c r="BC7" i="1" s="1"/>
  <c r="BC270" i="1" s="1"/>
  <c r="AD15" i="67"/>
  <c r="BD7" i="1" s="1"/>
  <c r="BD270" i="1" s="1"/>
  <c r="AF15" i="67"/>
  <c r="BF7" i="1" s="1"/>
  <c r="AG15" i="67"/>
  <c r="BG7" i="1" s="1"/>
  <c r="BG270" i="1" s="1"/>
  <c r="AH15" i="67"/>
  <c r="BH7" i="1" s="1"/>
  <c r="BH270" i="1" s="1"/>
  <c r="AI15" i="67"/>
  <c r="AJ15" i="67"/>
  <c r="BJ7" i="1" s="1"/>
  <c r="BJ270" i="1" s="1"/>
  <c r="AK15" i="67"/>
  <c r="BK7" i="1" s="1"/>
  <c r="BK270" i="1" s="1"/>
  <c r="AL15" i="67"/>
  <c r="BL7" i="1" s="1"/>
  <c r="BL270" i="1" s="1"/>
  <c r="AM15" i="67"/>
  <c r="BM7" i="1" s="1"/>
  <c r="BM270" i="1" s="1"/>
  <c r="AN15" i="67"/>
  <c r="BN7" i="1" s="1"/>
  <c r="BN270" i="1" s="1"/>
  <c r="AP15" i="67"/>
  <c r="BP7" i="1" s="1"/>
  <c r="BP270" i="1" s="1"/>
  <c r="AQ15" i="67"/>
  <c r="BQ7" i="1" s="1"/>
  <c r="BQ270" i="1" s="1"/>
  <c r="AR15" i="67"/>
  <c r="BR7" i="1" s="1"/>
  <c r="BR270" i="1" s="1"/>
  <c r="AS15" i="67"/>
  <c r="BS7" i="1" s="1"/>
  <c r="BS270" i="1" s="1"/>
  <c r="AU15" i="67"/>
  <c r="BU7" i="1" s="1"/>
  <c r="BU270" i="1" s="1"/>
  <c r="AV15" i="67"/>
  <c r="BV7" i="1" s="1"/>
  <c r="BV270" i="1" s="1"/>
  <c r="AW15" i="67"/>
  <c r="BW7" i="1" s="1"/>
  <c r="BW270" i="1" s="1"/>
  <c r="AX15" i="67"/>
  <c r="BX7" i="1" s="1"/>
  <c r="BX270" i="1" s="1"/>
  <c r="AZ15" i="67"/>
  <c r="BA15" i="67"/>
  <c r="AL2" i="67"/>
  <c r="AM2" i="67"/>
  <c r="AN2" i="67"/>
  <c r="F28" i="67"/>
  <c r="F31" i="67" s="1"/>
  <c r="K28" i="67"/>
  <c r="K31" i="67" s="1"/>
  <c r="P28" i="67"/>
  <c r="U28" i="67"/>
  <c r="Z28" i="67"/>
  <c r="AE28" i="67"/>
  <c r="AJ28" i="67"/>
  <c r="AO28" i="67"/>
  <c r="AT28" i="67"/>
  <c r="AY28" i="67"/>
  <c r="BD28" i="67"/>
  <c r="L29" i="67"/>
  <c r="M29" i="67"/>
  <c r="N29" i="67"/>
  <c r="N30" i="67" s="1"/>
  <c r="O29" i="67"/>
  <c r="O30" i="67" s="1"/>
  <c r="P29" i="67"/>
  <c r="U29" i="67"/>
  <c r="Z29" i="67"/>
  <c r="AE29" i="67"/>
  <c r="AJ29" i="67"/>
  <c r="AO29" i="67"/>
  <c r="AU29" i="67"/>
  <c r="AV29" i="67"/>
  <c r="AW29" i="67"/>
  <c r="AX29" i="67"/>
  <c r="AX31" i="67" s="1"/>
  <c r="AZ29" i="67"/>
  <c r="AZ18" i="67" s="1"/>
  <c r="Q30" i="67"/>
  <c r="R30" i="67"/>
  <c r="S30" i="67"/>
  <c r="T30" i="67"/>
  <c r="V30" i="67"/>
  <c r="W30" i="67"/>
  <c r="X30" i="67"/>
  <c r="Y30" i="67"/>
  <c r="AA30" i="67"/>
  <c r="AB30" i="67"/>
  <c r="AC30" i="67"/>
  <c r="AD30" i="67"/>
  <c r="AF30" i="67"/>
  <c r="AG30" i="67"/>
  <c r="AH30" i="67"/>
  <c r="AI30" i="67"/>
  <c r="AK30" i="67"/>
  <c r="AL30" i="67"/>
  <c r="AM30" i="67"/>
  <c r="AN30" i="67"/>
  <c r="AP30" i="67"/>
  <c r="AS30" i="67"/>
  <c r="BA30" i="67"/>
  <c r="BB30" i="67"/>
  <c r="BC30" i="67"/>
  <c r="B31" i="67"/>
  <c r="C31" i="67"/>
  <c r="D31" i="67"/>
  <c r="E31" i="67"/>
  <c r="G31" i="67"/>
  <c r="G191" i="67" s="1"/>
  <c r="H31" i="67"/>
  <c r="I31" i="67"/>
  <c r="J31" i="67"/>
  <c r="Q31" i="67"/>
  <c r="Q191" i="67" s="1"/>
  <c r="R31" i="67"/>
  <c r="R191" i="67" s="1"/>
  <c r="S31" i="67"/>
  <c r="S191" i="67" s="1"/>
  <c r="T31" i="67"/>
  <c r="V31" i="67"/>
  <c r="V191" i="67" s="1"/>
  <c r="W31" i="67"/>
  <c r="X31" i="67"/>
  <c r="Y31" i="67"/>
  <c r="AA31" i="67"/>
  <c r="AB31" i="67"/>
  <c r="AC31" i="67"/>
  <c r="AD31" i="67"/>
  <c r="AF31" i="67"/>
  <c r="AG31" i="67"/>
  <c r="AH31" i="67"/>
  <c r="AI31" i="67"/>
  <c r="AK31" i="67"/>
  <c r="AK191" i="67" s="1"/>
  <c r="AP204" i="67" s="1"/>
  <c r="AL31" i="67"/>
  <c r="AM31" i="67"/>
  <c r="AM191" i="67" s="1"/>
  <c r="AN31" i="67"/>
  <c r="AP31" i="67"/>
  <c r="AS31" i="67"/>
  <c r="BA31" i="67"/>
  <c r="BB31" i="67"/>
  <c r="BC31" i="67"/>
  <c r="B32" i="67"/>
  <c r="C32" i="67"/>
  <c r="D32" i="67"/>
  <c r="E32" i="67"/>
  <c r="F32" i="67"/>
  <c r="G32" i="67"/>
  <c r="H32" i="67"/>
  <c r="I32" i="67"/>
  <c r="J32" i="67"/>
  <c r="K32" i="67"/>
  <c r="L32" i="67"/>
  <c r="M32" i="67"/>
  <c r="N32" i="67"/>
  <c r="O32" i="67"/>
  <c r="P32" i="67"/>
  <c r="BO33" i="67"/>
  <c r="BP33" i="67"/>
  <c r="BP32" i="67" s="1"/>
  <c r="BQ33" i="67"/>
  <c r="BT33" i="67"/>
  <c r="BU33" i="67"/>
  <c r="BV33" i="67"/>
  <c r="BY33" i="67"/>
  <c r="BZ33" i="67"/>
  <c r="CA33" i="67"/>
  <c r="CD33" i="67"/>
  <c r="CD32" i="67" s="1"/>
  <c r="CE33" i="67"/>
  <c r="CF33" i="67"/>
  <c r="CI33" i="67"/>
  <c r="CJ33" i="67"/>
  <c r="CJ32" i="67" s="1"/>
  <c r="CK33" i="67"/>
  <c r="BO34" i="67"/>
  <c r="BP34" i="67"/>
  <c r="BQ34" i="67"/>
  <c r="BT34" i="67"/>
  <c r="BU34" i="67"/>
  <c r="BV34" i="67"/>
  <c r="BY34" i="67"/>
  <c r="BZ34" i="67"/>
  <c r="CA34" i="67"/>
  <c r="CD34" i="67"/>
  <c r="CE34" i="67"/>
  <c r="CF34" i="67"/>
  <c r="CI34" i="67"/>
  <c r="CJ34" i="67"/>
  <c r="CK34" i="67"/>
  <c r="L36" i="67"/>
  <c r="N36" i="67"/>
  <c r="P36" i="67"/>
  <c r="Q36" i="67"/>
  <c r="R36" i="67"/>
  <c r="AP36" i="67"/>
  <c r="BJ36" i="67"/>
  <c r="BK36" i="67"/>
  <c r="BL36" i="67"/>
  <c r="BM36" i="67"/>
  <c r="BO36" i="67"/>
  <c r="BP36" i="67"/>
  <c r="BQ36" i="67"/>
  <c r="BR36" i="67"/>
  <c r="BT36" i="67"/>
  <c r="BU36" i="67"/>
  <c r="BV36" i="67"/>
  <c r="BW36" i="67"/>
  <c r="BY36" i="67"/>
  <c r="BZ36" i="67"/>
  <c r="CA36" i="67"/>
  <c r="CB36" i="67"/>
  <c r="CD36" i="67"/>
  <c r="CE36" i="67"/>
  <c r="CF36" i="67"/>
  <c r="CG36" i="67"/>
  <c r="CI36" i="67"/>
  <c r="CJ36" i="67"/>
  <c r="CK36" i="67"/>
  <c r="CL36" i="67"/>
  <c r="L37" i="67"/>
  <c r="M37" i="67"/>
  <c r="N37" i="67"/>
  <c r="O37" i="67"/>
  <c r="Q37" i="67"/>
  <c r="R37" i="67"/>
  <c r="S37" i="67"/>
  <c r="T37" i="67"/>
  <c r="V37" i="67"/>
  <c r="W37" i="67"/>
  <c r="X37" i="67"/>
  <c r="Y37" i="67"/>
  <c r="AA37" i="67"/>
  <c r="AB37" i="67"/>
  <c r="AC37" i="67"/>
  <c r="AD37" i="67"/>
  <c r="AF37" i="67"/>
  <c r="AG37" i="67"/>
  <c r="AH37" i="67"/>
  <c r="AI37" i="67"/>
  <c r="AK37" i="67"/>
  <c r="AL37" i="67"/>
  <c r="AM37" i="67"/>
  <c r="AN37" i="67"/>
  <c r="AP37" i="67"/>
  <c r="AQ37" i="67"/>
  <c r="AR37" i="67"/>
  <c r="AS37" i="67"/>
  <c r="AU37" i="67"/>
  <c r="AV37" i="67"/>
  <c r="AW37" i="67"/>
  <c r="AX37" i="67"/>
  <c r="AZ37" i="67"/>
  <c r="BA37" i="67"/>
  <c r="BB37" i="67"/>
  <c r="BC37" i="67"/>
  <c r="L44" i="67"/>
  <c r="M44" i="67"/>
  <c r="P44" i="67"/>
  <c r="Q44" i="67"/>
  <c r="R44" i="67"/>
  <c r="N45" i="67"/>
  <c r="L54" i="67"/>
  <c r="Q54" i="67"/>
  <c r="R54" i="67"/>
  <c r="M55" i="67"/>
  <c r="N55" i="67"/>
  <c r="P55" i="67"/>
  <c r="AA58" i="67"/>
  <c r="AB58" i="67"/>
  <c r="AC58" i="67"/>
  <c r="AD58" i="67"/>
  <c r="F59" i="67"/>
  <c r="F62" i="67" s="1"/>
  <c r="AF274" i="1" s="1"/>
  <c r="K59" i="67"/>
  <c r="K62" i="67" s="1"/>
  <c r="AK274" i="1" s="1"/>
  <c r="P59" i="67"/>
  <c r="P61" i="67" s="1"/>
  <c r="U59" i="67"/>
  <c r="Z59" i="67"/>
  <c r="AE59" i="67"/>
  <c r="AJ66" i="67" s="1"/>
  <c r="AJ59" i="67"/>
  <c r="AO59" i="67"/>
  <c r="AT59" i="67"/>
  <c r="AY59" i="67"/>
  <c r="BD59" i="67"/>
  <c r="L60" i="67"/>
  <c r="L62" i="67" s="1"/>
  <c r="L192" i="67" s="1"/>
  <c r="M60" i="67"/>
  <c r="N60" i="67"/>
  <c r="U60" i="67"/>
  <c r="Z60" i="67"/>
  <c r="AE60" i="67"/>
  <c r="AJ60" i="67"/>
  <c r="AO60" i="67"/>
  <c r="AT60" i="67"/>
  <c r="AY60" i="67"/>
  <c r="BD60" i="67"/>
  <c r="O61" i="67"/>
  <c r="Q61" i="67"/>
  <c r="R61" i="67"/>
  <c r="S61" i="67"/>
  <c r="T61" i="67"/>
  <c r="V61" i="67"/>
  <c r="W61" i="67"/>
  <c r="X61" i="67"/>
  <c r="Y61" i="67"/>
  <c r="AA61" i="67"/>
  <c r="AB61" i="67"/>
  <c r="AC61" i="67"/>
  <c r="AD61" i="67"/>
  <c r="AF61" i="67"/>
  <c r="AG61" i="67"/>
  <c r="AH61" i="67"/>
  <c r="AI61" i="67"/>
  <c r="AK61" i="67"/>
  <c r="AL61" i="67"/>
  <c r="AM61" i="67"/>
  <c r="AN61" i="67"/>
  <c r="AP61" i="67"/>
  <c r="AQ61" i="67"/>
  <c r="AR61" i="67"/>
  <c r="AS61" i="67"/>
  <c r="AU61" i="67"/>
  <c r="AV61" i="67"/>
  <c r="AW61" i="67"/>
  <c r="AX61" i="67"/>
  <c r="AZ61" i="67"/>
  <c r="BA61" i="67"/>
  <c r="BB61" i="67"/>
  <c r="BC61" i="67"/>
  <c r="B62" i="67"/>
  <c r="AB274" i="1" s="1"/>
  <c r="C62" i="67"/>
  <c r="AC274" i="1" s="1"/>
  <c r="D62" i="67"/>
  <c r="AD274" i="1" s="1"/>
  <c r="E62" i="67"/>
  <c r="AE274" i="1" s="1"/>
  <c r="G62" i="67"/>
  <c r="G192" i="67" s="1"/>
  <c r="H62" i="67"/>
  <c r="AH274" i="1" s="1"/>
  <c r="I62" i="67"/>
  <c r="J62" i="67"/>
  <c r="AJ274" i="1" s="1"/>
  <c r="O62" i="67"/>
  <c r="AO274" i="1" s="1"/>
  <c r="Q62" i="67"/>
  <c r="R62" i="67"/>
  <c r="R192" i="67" s="1"/>
  <c r="S62" i="67"/>
  <c r="T62" i="67"/>
  <c r="AT274" i="1" s="1"/>
  <c r="V62" i="67"/>
  <c r="AV274" i="1" s="1"/>
  <c r="W62" i="67"/>
  <c r="AW274" i="1" s="1"/>
  <c r="X62" i="67"/>
  <c r="AX274" i="1" s="1"/>
  <c r="Y62" i="67"/>
  <c r="AY274" i="1" s="1"/>
  <c r="AA62" i="67"/>
  <c r="AB62" i="67"/>
  <c r="AC62" i="67"/>
  <c r="AD62" i="67"/>
  <c r="BD274" i="1" s="1"/>
  <c r="AF62" i="67"/>
  <c r="BF274" i="1" s="1"/>
  <c r="AG62" i="67"/>
  <c r="BG274" i="1" s="1"/>
  <c r="AH62" i="67"/>
  <c r="AH192" i="67" s="1"/>
  <c r="AI62" i="67"/>
  <c r="AI192" i="67" s="1"/>
  <c r="AK62" i="67"/>
  <c r="AL62" i="67"/>
  <c r="AL192" i="67" s="1"/>
  <c r="AM62" i="67"/>
  <c r="AN62" i="67"/>
  <c r="AN192" i="67" s="1"/>
  <c r="AP62" i="67"/>
  <c r="AQ62" i="67"/>
  <c r="BQ274" i="1" s="1"/>
  <c r="AR62" i="67"/>
  <c r="BR274" i="1" s="1"/>
  <c r="AS62" i="67"/>
  <c r="BS274" i="1" s="1"/>
  <c r="AU62" i="67"/>
  <c r="BU274" i="1" s="1"/>
  <c r="AV62" i="67"/>
  <c r="AW62" i="67"/>
  <c r="BW274" i="1" s="1"/>
  <c r="AX62" i="67"/>
  <c r="BX274" i="1" s="1"/>
  <c r="AZ62" i="67"/>
  <c r="BA62" i="67"/>
  <c r="BB62" i="67"/>
  <c r="BC62" i="67"/>
  <c r="BG64" i="67"/>
  <c r="BO64" i="67"/>
  <c r="BP64" i="67"/>
  <c r="BP63" i="67" s="1"/>
  <c r="BQ64" i="67"/>
  <c r="BQ63" i="67" s="1"/>
  <c r="BT64" i="67"/>
  <c r="BU64" i="67"/>
  <c r="BU63" i="67" s="1"/>
  <c r="BV64" i="67"/>
  <c r="BV63" i="67" s="1"/>
  <c r="BY64" i="67"/>
  <c r="BZ64" i="67"/>
  <c r="BZ63" i="67" s="1"/>
  <c r="CA64" i="67"/>
  <c r="CA63" i="67" s="1"/>
  <c r="CD64" i="67"/>
  <c r="CD63" i="67" s="1"/>
  <c r="CE64" i="67"/>
  <c r="CE63" i="67" s="1"/>
  <c r="CF64" i="67"/>
  <c r="CF63" i="67" s="1"/>
  <c r="CI64" i="67"/>
  <c r="CI63" i="67" s="1"/>
  <c r="CJ64" i="67"/>
  <c r="CJ63" i="67" s="1"/>
  <c r="CK64" i="67"/>
  <c r="BO65" i="67"/>
  <c r="BP65" i="67"/>
  <c r="BQ65" i="67"/>
  <c r="BT65" i="67"/>
  <c r="BU65" i="67"/>
  <c r="BV65" i="67"/>
  <c r="BY65" i="67"/>
  <c r="BZ65" i="67"/>
  <c r="CA65" i="67"/>
  <c r="CD65" i="67"/>
  <c r="CE65" i="67"/>
  <c r="CF65" i="67"/>
  <c r="CI65" i="67"/>
  <c r="CJ65" i="67"/>
  <c r="CK65" i="67"/>
  <c r="Q68" i="67"/>
  <c r="R68" i="67"/>
  <c r="S68" i="67"/>
  <c r="T68" i="67"/>
  <c r="V68" i="67"/>
  <c r="W68" i="67"/>
  <c r="X68" i="67"/>
  <c r="Y68" i="67"/>
  <c r="AA68" i="67"/>
  <c r="AB68" i="67"/>
  <c r="AC68" i="67"/>
  <c r="AD68" i="67"/>
  <c r="AF68" i="67"/>
  <c r="AF65" i="67" s="1"/>
  <c r="AG68" i="67"/>
  <c r="AG65" i="67" s="1"/>
  <c r="AH68" i="67"/>
  <c r="AI68" i="67"/>
  <c r="AK68" i="67"/>
  <c r="AL68" i="67"/>
  <c r="AM68" i="67"/>
  <c r="AN68" i="67"/>
  <c r="AP68" i="67"/>
  <c r="AQ68" i="67"/>
  <c r="AR68" i="67"/>
  <c r="AS68" i="67"/>
  <c r="AU68" i="67"/>
  <c r="AV68" i="67"/>
  <c r="AW68" i="67"/>
  <c r="AX68" i="67"/>
  <c r="AZ68" i="67"/>
  <c r="BA68" i="67"/>
  <c r="BB68" i="67"/>
  <c r="BC68" i="67"/>
  <c r="AA69" i="67"/>
  <c r="AB69" i="67"/>
  <c r="AC69" i="67"/>
  <c r="AD69" i="67"/>
  <c r="F71" i="67"/>
  <c r="F74" i="67" s="1"/>
  <c r="K71" i="67"/>
  <c r="K74" i="67" s="1"/>
  <c r="P71" i="67"/>
  <c r="U71" i="67"/>
  <c r="Z71" i="67"/>
  <c r="AE71" i="67"/>
  <c r="AJ75" i="67" s="1"/>
  <c r="AJ71" i="67"/>
  <c r="AO71" i="67"/>
  <c r="AT71" i="67"/>
  <c r="AY71" i="67"/>
  <c r="BD71" i="67"/>
  <c r="U72" i="67"/>
  <c r="Z72" i="67"/>
  <c r="AE72" i="67"/>
  <c r="AE73" i="67" s="1"/>
  <c r="AJ72" i="67"/>
  <c r="AJ73" i="67" s="1"/>
  <c r="AO72" i="67"/>
  <c r="AO73" i="67" s="1"/>
  <c r="AT72" i="67"/>
  <c r="AT73" i="67" s="1"/>
  <c r="AY72" i="67"/>
  <c r="AY73" i="67" s="1"/>
  <c r="BD72" i="67"/>
  <c r="BD73" i="67" s="1"/>
  <c r="L73" i="67"/>
  <c r="M73" i="67"/>
  <c r="N73" i="67"/>
  <c r="O73" i="67"/>
  <c r="Q73" i="67"/>
  <c r="R73" i="67"/>
  <c r="S73" i="67"/>
  <c r="T73" i="67"/>
  <c r="V73" i="67"/>
  <c r="W73" i="67"/>
  <c r="X73" i="67"/>
  <c r="Y73" i="67"/>
  <c r="AA73" i="67"/>
  <c r="AB73" i="67"/>
  <c r="AC73" i="67"/>
  <c r="AD73" i="67"/>
  <c r="AF73" i="67"/>
  <c r="AG73" i="67"/>
  <c r="AH73" i="67"/>
  <c r="AI73" i="67"/>
  <c r="AK73" i="67"/>
  <c r="AL73" i="67"/>
  <c r="AM73" i="67"/>
  <c r="AN73" i="67"/>
  <c r="AP73" i="67"/>
  <c r="AQ73" i="67"/>
  <c r="AR73" i="67"/>
  <c r="AS73" i="67"/>
  <c r="AU73" i="67"/>
  <c r="AV73" i="67"/>
  <c r="AW73" i="67"/>
  <c r="AX73" i="67"/>
  <c r="AZ73" i="67"/>
  <c r="BA73" i="67"/>
  <c r="BB73" i="67"/>
  <c r="BC73" i="67"/>
  <c r="B74" i="67"/>
  <c r="C74" i="67"/>
  <c r="C193" i="67" s="1"/>
  <c r="D74" i="67"/>
  <c r="D193" i="67" s="1"/>
  <c r="E74" i="67"/>
  <c r="E193" i="67" s="1"/>
  <c r="G74" i="67"/>
  <c r="G193" i="67" s="1"/>
  <c r="H74" i="67"/>
  <c r="H193" i="67" s="1"/>
  <c r="I74" i="67"/>
  <c r="I193" i="67" s="1"/>
  <c r="J74" i="67"/>
  <c r="J193" i="67" s="1"/>
  <c r="L74" i="67"/>
  <c r="L193" i="67" s="1"/>
  <c r="M74" i="67"/>
  <c r="M193" i="67" s="1"/>
  <c r="N74" i="67"/>
  <c r="O74" i="67"/>
  <c r="Q74" i="67"/>
  <c r="Q193" i="67" s="1"/>
  <c r="Q206" i="67" s="1"/>
  <c r="R74" i="67"/>
  <c r="R193" i="67" s="1"/>
  <c r="S74" i="67"/>
  <c r="T74" i="67"/>
  <c r="V74" i="67"/>
  <c r="V193" i="67" s="1"/>
  <c r="V206" i="67" s="1"/>
  <c r="W74" i="67"/>
  <c r="W193" i="67" s="1"/>
  <c r="X74" i="67"/>
  <c r="X193" i="67" s="1"/>
  <c r="Y74" i="67"/>
  <c r="Y193" i="67" s="1"/>
  <c r="AA74" i="67"/>
  <c r="AB74" i="67"/>
  <c r="AB193" i="67" s="1"/>
  <c r="AC74" i="67"/>
  <c r="AC193" i="67" s="1"/>
  <c r="AD74" i="67"/>
  <c r="AD193" i="67" s="1"/>
  <c r="AF74" i="67"/>
  <c r="AF193" i="67" s="1"/>
  <c r="AG74" i="67"/>
  <c r="AG193" i="67" s="1"/>
  <c r="AH74" i="67"/>
  <c r="AH193" i="67" s="1"/>
  <c r="AI74" i="67"/>
  <c r="AI193" i="67" s="1"/>
  <c r="AK74" i="67"/>
  <c r="AK193" i="67" s="1"/>
  <c r="AL74" i="67"/>
  <c r="AL193" i="67" s="1"/>
  <c r="AM74" i="67"/>
  <c r="AM193" i="67" s="1"/>
  <c r="AN74" i="67"/>
  <c r="AN193" i="67" s="1"/>
  <c r="AP74" i="67"/>
  <c r="AQ74" i="67"/>
  <c r="AR74" i="67"/>
  <c r="AS74" i="67"/>
  <c r="AU74" i="67"/>
  <c r="AV74" i="67"/>
  <c r="AW74" i="67"/>
  <c r="AX74" i="67"/>
  <c r="AZ74" i="67"/>
  <c r="BA74" i="67"/>
  <c r="BB74" i="67"/>
  <c r="BC74" i="67"/>
  <c r="BT76" i="67"/>
  <c r="BT75" i="67" s="1"/>
  <c r="BU76" i="67"/>
  <c r="BU75" i="67" s="1"/>
  <c r="BV76" i="67"/>
  <c r="BV75" i="67" s="1"/>
  <c r="BY76" i="67"/>
  <c r="BY75" i="67" s="1"/>
  <c r="BZ76" i="67"/>
  <c r="CA76" i="67"/>
  <c r="CA75" i="67" s="1"/>
  <c r="CD76" i="67"/>
  <c r="CD75" i="67" s="1"/>
  <c r="CE76" i="67"/>
  <c r="CE75" i="67" s="1"/>
  <c r="CF76" i="67"/>
  <c r="CF75" i="67" s="1"/>
  <c r="CI76" i="67"/>
  <c r="CI75" i="67" s="1"/>
  <c r="CJ76" i="67"/>
  <c r="CJ75" i="67" s="1"/>
  <c r="CK76" i="67"/>
  <c r="CK75" i="67" s="1"/>
  <c r="BT77" i="67"/>
  <c r="BU77" i="67"/>
  <c r="BV77" i="67"/>
  <c r="BY77" i="67"/>
  <c r="BZ77" i="67"/>
  <c r="CA77" i="67"/>
  <c r="CD77" i="67"/>
  <c r="CE77" i="67"/>
  <c r="CF77" i="67"/>
  <c r="CI77" i="67"/>
  <c r="CJ77" i="67"/>
  <c r="CK77" i="67"/>
  <c r="AK79" i="67"/>
  <c r="BF79" i="67"/>
  <c r="BT79" i="67"/>
  <c r="BU79" i="67"/>
  <c r="BV79" i="67"/>
  <c r="BW79" i="67"/>
  <c r="BY79" i="67"/>
  <c r="BZ79" i="67"/>
  <c r="CA79" i="67"/>
  <c r="CB79" i="67"/>
  <c r="CD79" i="67"/>
  <c r="CE79" i="67"/>
  <c r="CF79" i="67"/>
  <c r="CG79" i="67"/>
  <c r="CI79" i="67"/>
  <c r="CJ79" i="67"/>
  <c r="CK79" i="67"/>
  <c r="CL79" i="67"/>
  <c r="L80" i="67"/>
  <c r="M80" i="67"/>
  <c r="N80" i="67"/>
  <c r="O80" i="67"/>
  <c r="Q80" i="67"/>
  <c r="R80" i="67"/>
  <c r="S80" i="67"/>
  <c r="T80" i="67"/>
  <c r="V80" i="67"/>
  <c r="W80" i="67"/>
  <c r="X80" i="67"/>
  <c r="Y80" i="67"/>
  <c r="AA80" i="67"/>
  <c r="AB80" i="67"/>
  <c r="AC80" i="67"/>
  <c r="AD80" i="67"/>
  <c r="AF80" i="67"/>
  <c r="AF79" i="67" s="1"/>
  <c r="AG80" i="67"/>
  <c r="AG79" i="67" s="1"/>
  <c r="AH80" i="67"/>
  <c r="AI80" i="67"/>
  <c r="AK80" i="67"/>
  <c r="AL80" i="67"/>
  <c r="AM80" i="67"/>
  <c r="AN80" i="67"/>
  <c r="AP80" i="67"/>
  <c r="AQ80" i="67"/>
  <c r="AR80" i="67"/>
  <c r="AS80" i="67"/>
  <c r="AU80" i="67"/>
  <c r="AV80" i="67"/>
  <c r="AW80" i="67"/>
  <c r="AX80" i="67"/>
  <c r="AZ80" i="67"/>
  <c r="BA80" i="67"/>
  <c r="BB80" i="67"/>
  <c r="BC80" i="67"/>
  <c r="F82" i="67"/>
  <c r="F85" i="67" s="1"/>
  <c r="AF273" i="1" s="1"/>
  <c r="K82" i="67"/>
  <c r="K85" i="67" s="1"/>
  <c r="AK273" i="1" s="1"/>
  <c r="P82" i="67"/>
  <c r="P84" i="67" s="1"/>
  <c r="U82" i="67"/>
  <c r="Z82" i="67"/>
  <c r="AE82" i="67"/>
  <c r="AJ82" i="67"/>
  <c r="AO82" i="67"/>
  <c r="AT82" i="67"/>
  <c r="AY82" i="67"/>
  <c r="BD82" i="67"/>
  <c r="U83" i="67"/>
  <c r="U84" i="67" s="1"/>
  <c r="Z83" i="67"/>
  <c r="Z84" i="67" s="1"/>
  <c r="AE83" i="67"/>
  <c r="AE84" i="67" s="1"/>
  <c r="AJ83" i="67"/>
  <c r="AJ84" i="67" s="1"/>
  <c r="AO83" i="67"/>
  <c r="AO84" i="67" s="1"/>
  <c r="AT83" i="67"/>
  <c r="AT84" i="67" s="1"/>
  <c r="AY83" i="67"/>
  <c r="AY84" i="67" s="1"/>
  <c r="BD83" i="67"/>
  <c r="BI90" i="67" s="1"/>
  <c r="L84" i="67"/>
  <c r="M84" i="67"/>
  <c r="N84" i="67"/>
  <c r="O84" i="67"/>
  <c r="Q84" i="67"/>
  <c r="R84" i="67"/>
  <c r="S84" i="67"/>
  <c r="T84" i="67"/>
  <c r="V84" i="67"/>
  <c r="W84" i="67"/>
  <c r="X84" i="67"/>
  <c r="Y84" i="67"/>
  <c r="AA84" i="67"/>
  <c r="AB84" i="67"/>
  <c r="AC84" i="67"/>
  <c r="AD84" i="67"/>
  <c r="AF84" i="67"/>
  <c r="AG84" i="67"/>
  <c r="AH84" i="67"/>
  <c r="AI84" i="67"/>
  <c r="AK84" i="67"/>
  <c r="AL84" i="67"/>
  <c r="AM84" i="67"/>
  <c r="AN84" i="67"/>
  <c r="AP84" i="67"/>
  <c r="AQ84" i="67"/>
  <c r="AR84" i="67"/>
  <c r="AS84" i="67"/>
  <c r="AU84" i="67"/>
  <c r="AV84" i="67"/>
  <c r="AW84" i="67"/>
  <c r="AX84" i="67"/>
  <c r="AZ84" i="67"/>
  <c r="BE84" i="67" s="1"/>
  <c r="BJ84" i="67" s="1"/>
  <c r="BO84" i="67" s="1"/>
  <c r="BT84" i="67" s="1"/>
  <c r="BY84" i="67" s="1"/>
  <c r="CD84" i="67" s="1"/>
  <c r="CI84" i="67" s="1"/>
  <c r="BA84" i="67"/>
  <c r="BF84" i="67" s="1"/>
  <c r="BK84" i="67" s="1"/>
  <c r="BP84" i="67" s="1"/>
  <c r="BU84" i="67" s="1"/>
  <c r="BZ84" i="67" s="1"/>
  <c r="BB84" i="67"/>
  <c r="BG84" i="67" s="1"/>
  <c r="BL84" i="67" s="1"/>
  <c r="BQ84" i="67" s="1"/>
  <c r="BV84" i="67" s="1"/>
  <c r="CA84" i="67" s="1"/>
  <c r="CF84" i="67" s="1"/>
  <c r="CK84" i="67" s="1"/>
  <c r="BC84" i="67"/>
  <c r="BH84" i="67" s="1"/>
  <c r="B85" i="67"/>
  <c r="AB273" i="1" s="1"/>
  <c r="C85" i="67"/>
  <c r="C194" i="67" s="1"/>
  <c r="D85" i="67"/>
  <c r="E85" i="67"/>
  <c r="E194" i="67" s="1"/>
  <c r="G85" i="67"/>
  <c r="G194" i="67" s="1"/>
  <c r="H85" i="67"/>
  <c r="AH273" i="1" s="1"/>
  <c r="I85" i="67"/>
  <c r="J85" i="67"/>
  <c r="J194" i="67" s="1"/>
  <c r="L85" i="67"/>
  <c r="M85" i="67"/>
  <c r="N85" i="67"/>
  <c r="N194" i="67" s="1"/>
  <c r="O85" i="67"/>
  <c r="AO273" i="1" s="1"/>
  <c r="Q85" i="67"/>
  <c r="AQ273" i="1" s="1"/>
  <c r="R85" i="67"/>
  <c r="AR273" i="1" s="1"/>
  <c r="S85" i="67"/>
  <c r="T85" i="67"/>
  <c r="T194" i="67" s="1"/>
  <c r="V85" i="67"/>
  <c r="AV273" i="1" s="1"/>
  <c r="W85" i="67"/>
  <c r="W194" i="67" s="1"/>
  <c r="X85" i="67"/>
  <c r="Y85" i="67"/>
  <c r="AY273" i="1" s="1"/>
  <c r="AA85" i="67"/>
  <c r="AB85" i="67"/>
  <c r="AC85" i="67"/>
  <c r="AD85" i="67"/>
  <c r="AD194" i="67" s="1"/>
  <c r="AF85" i="67"/>
  <c r="AG85" i="67"/>
  <c r="AG194" i="67" s="1"/>
  <c r="AH85" i="67"/>
  <c r="AI85" i="67"/>
  <c r="AI194" i="67" s="1"/>
  <c r="AK85" i="67"/>
  <c r="AK194" i="67" s="1"/>
  <c r="AL85" i="67"/>
  <c r="AL194" i="67" s="1"/>
  <c r="AM85" i="67"/>
  <c r="AM194" i="67" s="1"/>
  <c r="AN85" i="67"/>
  <c r="AP85" i="67"/>
  <c r="AQ85" i="67"/>
  <c r="AQ194" i="67" s="1"/>
  <c r="AR85" i="67"/>
  <c r="AR194" i="67" s="1"/>
  <c r="AS85" i="67"/>
  <c r="AU85" i="67"/>
  <c r="AU194" i="67" s="1"/>
  <c r="AV85" i="67"/>
  <c r="AV194" i="67" s="1"/>
  <c r="AV207" i="67" s="1"/>
  <c r="AW85" i="67"/>
  <c r="AX85" i="67"/>
  <c r="AZ85" i="67"/>
  <c r="BZ273" i="1" s="1"/>
  <c r="BA85" i="67"/>
  <c r="CA273" i="1" s="1"/>
  <c r="BB85" i="67"/>
  <c r="BC85" i="67"/>
  <c r="AC86" i="67"/>
  <c r="BE87" i="67"/>
  <c r="BF87" i="67"/>
  <c r="BG87" i="67"/>
  <c r="BI87" i="67"/>
  <c r="BJ87" i="67"/>
  <c r="BJ86" i="67" s="1"/>
  <c r="BK87" i="67"/>
  <c r="BK86" i="67" s="1"/>
  <c r="BL87" i="67"/>
  <c r="BO87" i="67"/>
  <c r="BO86" i="67" s="1"/>
  <c r="BP87" i="67"/>
  <c r="BP86" i="67" s="1"/>
  <c r="BQ87" i="67"/>
  <c r="BT87" i="67"/>
  <c r="BT86" i="67" s="1"/>
  <c r="BU87" i="67"/>
  <c r="BU86" i="67" s="1"/>
  <c r="BV87" i="67"/>
  <c r="BV86" i="67" s="1"/>
  <c r="BY87" i="67"/>
  <c r="BY86" i="67" s="1"/>
  <c r="BZ87" i="67"/>
  <c r="BZ86" i="67" s="1"/>
  <c r="CA87" i="67"/>
  <c r="CA86" i="67" s="1"/>
  <c r="CD87" i="67"/>
  <c r="CD86" i="67" s="1"/>
  <c r="CE87" i="67"/>
  <c r="CE86" i="67" s="1"/>
  <c r="CF87" i="67"/>
  <c r="CI87" i="67"/>
  <c r="CI86" i="67" s="1"/>
  <c r="CJ87" i="67"/>
  <c r="CK87" i="67"/>
  <c r="BE88" i="67"/>
  <c r="BF88" i="67"/>
  <c r="BG88" i="67"/>
  <c r="BJ88" i="67"/>
  <c r="BK88" i="67"/>
  <c r="BL88" i="67"/>
  <c r="BO88" i="67"/>
  <c r="BP88" i="67"/>
  <c r="BQ88" i="67"/>
  <c r="BT88" i="67"/>
  <c r="BU88" i="67"/>
  <c r="BV88" i="67"/>
  <c r="BY88" i="67"/>
  <c r="BZ88" i="67"/>
  <c r="CA88" i="67"/>
  <c r="CD88" i="67"/>
  <c r="CE88" i="67"/>
  <c r="CF88" i="67"/>
  <c r="CI88" i="67"/>
  <c r="CJ88" i="67"/>
  <c r="CK88" i="67"/>
  <c r="BO89" i="67"/>
  <c r="BP89" i="67"/>
  <c r="BQ89" i="67"/>
  <c r="BR89" i="67"/>
  <c r="BT89" i="67"/>
  <c r="BU89" i="67"/>
  <c r="BV89" i="67"/>
  <c r="BW89" i="67"/>
  <c r="BY89" i="67"/>
  <c r="BZ89" i="67"/>
  <c r="CA89" i="67"/>
  <c r="CB89" i="67"/>
  <c r="CD89" i="67"/>
  <c r="CE89" i="67"/>
  <c r="CF89" i="67"/>
  <c r="CG89" i="67"/>
  <c r="CI89" i="67"/>
  <c r="CJ89" i="67"/>
  <c r="CK89" i="67"/>
  <c r="CL89" i="67"/>
  <c r="AU90" i="67"/>
  <c r="BJ90" i="67"/>
  <c r="BK90" i="67"/>
  <c r="BL90" i="67"/>
  <c r="BM90" i="67"/>
  <c r="BO90" i="67"/>
  <c r="BP90" i="67"/>
  <c r="BQ90" i="67"/>
  <c r="BR90" i="67"/>
  <c r="BT90" i="67"/>
  <c r="BU90" i="67"/>
  <c r="BV90" i="67"/>
  <c r="BW90" i="67"/>
  <c r="BY90" i="67"/>
  <c r="BZ90" i="67"/>
  <c r="CA90" i="67"/>
  <c r="CB90" i="67"/>
  <c r="CD90" i="67"/>
  <c r="CE90" i="67"/>
  <c r="CF90" i="67"/>
  <c r="CG90" i="67"/>
  <c r="CI90" i="67"/>
  <c r="CJ90" i="67"/>
  <c r="CK90" i="67"/>
  <c r="CL90" i="67"/>
  <c r="L91" i="67"/>
  <c r="M91" i="67"/>
  <c r="N91" i="67"/>
  <c r="O91" i="67"/>
  <c r="Q91" i="67"/>
  <c r="R91" i="67"/>
  <c r="S91" i="67"/>
  <c r="S90" i="67" s="1"/>
  <c r="T91" i="67"/>
  <c r="V91" i="67"/>
  <c r="W91" i="67"/>
  <c r="W88" i="67" s="1"/>
  <c r="X91" i="67"/>
  <c r="Y91" i="67"/>
  <c r="AA91" i="67"/>
  <c r="AB91" i="67"/>
  <c r="AC91" i="67"/>
  <c r="AD91" i="67"/>
  <c r="AF91" i="67"/>
  <c r="AF90" i="67" s="1"/>
  <c r="AG91" i="67"/>
  <c r="AG90" i="67" s="1"/>
  <c r="AH91" i="67"/>
  <c r="AH90" i="67" s="1"/>
  <c r="AI91" i="67"/>
  <c r="AK91" i="67"/>
  <c r="AL91" i="67"/>
  <c r="AM91" i="67"/>
  <c r="AN91" i="67"/>
  <c r="AP91" i="67"/>
  <c r="AQ91" i="67"/>
  <c r="AR91" i="67"/>
  <c r="AS91" i="67"/>
  <c r="AU91" i="67"/>
  <c r="AV91" i="67"/>
  <c r="AW91" i="67"/>
  <c r="AX91" i="67"/>
  <c r="AZ91" i="67"/>
  <c r="BA91" i="67"/>
  <c r="BB91" i="67"/>
  <c r="BC91" i="67"/>
  <c r="AT95" i="67"/>
  <c r="AU95" i="67"/>
  <c r="AV95" i="67"/>
  <c r="AW95" i="67"/>
  <c r="AX95" i="67"/>
  <c r="AY95" i="67"/>
  <c r="AZ95" i="67"/>
  <c r="BA95" i="67"/>
  <c r="BB95" i="67"/>
  <c r="BC95" i="67"/>
  <c r="BD95" i="67"/>
  <c r="AT96" i="67"/>
  <c r="AU96" i="67"/>
  <c r="AV96" i="67"/>
  <c r="AW96" i="67"/>
  <c r="AX96" i="67"/>
  <c r="AY96" i="67"/>
  <c r="AZ96" i="67"/>
  <c r="BA96" i="67"/>
  <c r="BB96" i="67"/>
  <c r="BC96" i="67"/>
  <c r="BD96" i="67"/>
  <c r="AZ98" i="67"/>
  <c r="BA98" i="67"/>
  <c r="BB98" i="67"/>
  <c r="BC98" i="67"/>
  <c r="BT98" i="67"/>
  <c r="BU98" i="67"/>
  <c r="BU97" i="67" s="1"/>
  <c r="BV98" i="67"/>
  <c r="BV97" i="67" s="1"/>
  <c r="BY98" i="67"/>
  <c r="BY97" i="67" s="1"/>
  <c r="BZ98" i="67"/>
  <c r="BZ97" i="67" s="1"/>
  <c r="CA98" i="67"/>
  <c r="CD98" i="67"/>
  <c r="CD97" i="67" s="1"/>
  <c r="CE98" i="67"/>
  <c r="CE97" i="67" s="1"/>
  <c r="CF98" i="67"/>
  <c r="CI98" i="67"/>
  <c r="CJ98" i="67"/>
  <c r="CJ97" i="67" s="1"/>
  <c r="CK98" i="67"/>
  <c r="CK97" i="67" s="1"/>
  <c r="BT99" i="67"/>
  <c r="BU99" i="67"/>
  <c r="BV99" i="67"/>
  <c r="BY99" i="67"/>
  <c r="BZ99" i="67"/>
  <c r="CA99" i="67"/>
  <c r="CD99" i="67"/>
  <c r="CE99" i="67"/>
  <c r="CF99" i="67"/>
  <c r="CI99" i="67"/>
  <c r="CJ99" i="67"/>
  <c r="CK99" i="67"/>
  <c r="AZ100" i="67"/>
  <c r="BA100" i="67"/>
  <c r="BB100" i="67"/>
  <c r="BC100" i="67"/>
  <c r="AY102" i="67"/>
  <c r="AZ102" i="67"/>
  <c r="BA102" i="67"/>
  <c r="BB102" i="67"/>
  <c r="BC102" i="67"/>
  <c r="BD102" i="67"/>
  <c r="AA103" i="67"/>
  <c r="AB103" i="67"/>
  <c r="AC103" i="67"/>
  <c r="AD103" i="67"/>
  <c r="F104" i="67"/>
  <c r="F107" i="67" s="1"/>
  <c r="K104" i="67"/>
  <c r="K107" i="67" s="1"/>
  <c r="P104" i="67"/>
  <c r="U104" i="67"/>
  <c r="Z104" i="67"/>
  <c r="AE104" i="67"/>
  <c r="AJ104" i="67"/>
  <c r="AO104" i="67"/>
  <c r="AT104" i="67"/>
  <c r="AY104" i="67"/>
  <c r="BD104" i="67"/>
  <c r="L105" i="67"/>
  <c r="M105" i="67"/>
  <c r="N105" i="67"/>
  <c r="U105" i="67"/>
  <c r="Z105" i="67"/>
  <c r="AE105" i="67"/>
  <c r="AJ105" i="67"/>
  <c r="AO105" i="67"/>
  <c r="AT105" i="67"/>
  <c r="AY105" i="67"/>
  <c r="BD105" i="67"/>
  <c r="O106" i="67"/>
  <c r="Q106" i="67"/>
  <c r="R106" i="67"/>
  <c r="S106" i="67"/>
  <c r="T106" i="67"/>
  <c r="V106" i="67"/>
  <c r="W106" i="67"/>
  <c r="X106" i="67"/>
  <c r="Y106" i="67"/>
  <c r="AA106" i="67"/>
  <c r="AB106" i="67"/>
  <c r="AC106" i="67"/>
  <c r="AD106" i="67"/>
  <c r="AF106" i="67"/>
  <c r="AG106" i="67"/>
  <c r="AH106" i="67"/>
  <c r="AI106" i="67"/>
  <c r="AK106" i="67"/>
  <c r="AL106" i="67"/>
  <c r="AM106" i="67"/>
  <c r="AN106" i="67"/>
  <c r="AP106" i="67"/>
  <c r="AQ106" i="67"/>
  <c r="AR106" i="67"/>
  <c r="AS106" i="67"/>
  <c r="AU106" i="67"/>
  <c r="AV106" i="67"/>
  <c r="AW106" i="67"/>
  <c r="AX106" i="67"/>
  <c r="AZ106" i="67"/>
  <c r="BA106" i="67"/>
  <c r="BB106" i="67"/>
  <c r="BC106" i="67"/>
  <c r="B107" i="67"/>
  <c r="C107" i="67"/>
  <c r="C196" i="67" s="1"/>
  <c r="D107" i="67"/>
  <c r="E107" i="67"/>
  <c r="E196" i="67" s="1"/>
  <c r="G107" i="67"/>
  <c r="H107" i="67"/>
  <c r="I107" i="67"/>
  <c r="J107" i="67"/>
  <c r="O107" i="67"/>
  <c r="Q107" i="67"/>
  <c r="Q196" i="67" s="1"/>
  <c r="R107" i="67"/>
  <c r="R196" i="67" s="1"/>
  <c r="S107" i="67"/>
  <c r="S196" i="67" s="1"/>
  <c r="T107" i="67"/>
  <c r="T196" i="67" s="1"/>
  <c r="V107" i="67"/>
  <c r="V196" i="67" s="1"/>
  <c r="W107" i="67"/>
  <c r="W196" i="67" s="1"/>
  <c r="X107" i="67"/>
  <c r="Y107" i="67"/>
  <c r="Y196" i="67" s="1"/>
  <c r="Y209" i="67" s="1"/>
  <c r="AA107" i="67"/>
  <c r="AA196" i="67" s="1"/>
  <c r="AA209" i="67" s="1"/>
  <c r="AB107" i="67"/>
  <c r="AC107" i="67"/>
  <c r="AD107" i="67"/>
  <c r="AF107" i="67"/>
  <c r="AG107" i="67"/>
  <c r="AH107" i="67"/>
  <c r="AI107" i="67"/>
  <c r="AK107" i="67"/>
  <c r="AK196" i="67" s="1"/>
  <c r="AL107" i="67"/>
  <c r="AL196" i="67" s="1"/>
  <c r="AM107" i="67"/>
  <c r="AM196" i="67" s="1"/>
  <c r="AR209" i="67" s="1"/>
  <c r="AN107" i="67"/>
  <c r="AP107" i="67"/>
  <c r="AQ107" i="67"/>
  <c r="AR107" i="67"/>
  <c r="AS107" i="67"/>
  <c r="AU107" i="67"/>
  <c r="AV107" i="67"/>
  <c r="AW107" i="67"/>
  <c r="AX107" i="67"/>
  <c r="AZ107" i="67"/>
  <c r="BA107" i="67"/>
  <c r="BB107" i="67"/>
  <c r="BC107" i="67"/>
  <c r="BT109" i="67"/>
  <c r="BT108" i="67" s="1"/>
  <c r="BU109" i="67"/>
  <c r="BV109" i="67"/>
  <c r="BV108" i="67" s="1"/>
  <c r="BY109" i="67"/>
  <c r="BY108" i="67" s="1"/>
  <c r="BZ109" i="67"/>
  <c r="BZ108" i="67" s="1"/>
  <c r="CA109" i="67"/>
  <c r="CA108" i="67" s="1"/>
  <c r="CD109" i="67"/>
  <c r="CD108" i="67" s="1"/>
  <c r="CE109" i="67"/>
  <c r="CE108" i="67" s="1"/>
  <c r="CF109" i="67"/>
  <c r="CF108" i="67" s="1"/>
  <c r="CI109" i="67"/>
  <c r="CI108" i="67" s="1"/>
  <c r="CJ109" i="67"/>
  <c r="CJ108" i="67" s="1"/>
  <c r="CK109" i="67"/>
  <c r="CK108" i="67" s="1"/>
  <c r="BT110" i="67"/>
  <c r="BU110" i="67"/>
  <c r="BV110" i="67"/>
  <c r="BY110" i="67"/>
  <c r="BZ110" i="67"/>
  <c r="CA110" i="67"/>
  <c r="CD110" i="67"/>
  <c r="CE110" i="67"/>
  <c r="CF110" i="67"/>
  <c r="CI110" i="67"/>
  <c r="CJ110" i="67"/>
  <c r="CK110" i="67"/>
  <c r="AU112" i="67"/>
  <c r="L113" i="67"/>
  <c r="M113" i="67"/>
  <c r="N113" i="67"/>
  <c r="O113" i="67"/>
  <c r="Q113" i="67"/>
  <c r="R113" i="67"/>
  <c r="S113" i="67"/>
  <c r="T113" i="67"/>
  <c r="V113" i="67"/>
  <c r="W113" i="67"/>
  <c r="X113" i="67"/>
  <c r="Y113" i="67"/>
  <c r="AA113" i="67"/>
  <c r="AB113" i="67"/>
  <c r="AC113" i="67"/>
  <c r="AD113" i="67"/>
  <c r="AF113" i="67"/>
  <c r="AF112" i="67" s="1"/>
  <c r="AG113" i="67"/>
  <c r="AG112" i="67" s="1"/>
  <c r="AH113" i="67"/>
  <c r="AI113" i="67"/>
  <c r="AK113" i="67"/>
  <c r="AK112" i="67" s="1"/>
  <c r="AL113" i="67"/>
  <c r="AM113" i="67"/>
  <c r="AN113" i="67"/>
  <c r="AP113" i="67"/>
  <c r="AQ113" i="67"/>
  <c r="AR113" i="67"/>
  <c r="AS113" i="67"/>
  <c r="AU113" i="67"/>
  <c r="AV113" i="67"/>
  <c r="AW113" i="67"/>
  <c r="AX113" i="67"/>
  <c r="AZ113" i="67"/>
  <c r="BA113" i="67"/>
  <c r="BB113" i="67"/>
  <c r="BC113" i="67"/>
  <c r="AA114" i="67"/>
  <c r="AB114" i="67"/>
  <c r="AC114" i="67"/>
  <c r="AD114" i="67"/>
  <c r="F115" i="67"/>
  <c r="F118" i="67" s="1"/>
  <c r="K115" i="67"/>
  <c r="K118" i="67" s="1"/>
  <c r="P115" i="67"/>
  <c r="U115" i="67"/>
  <c r="Z115" i="67"/>
  <c r="AE115" i="67"/>
  <c r="AJ115" i="67"/>
  <c r="AO115" i="67"/>
  <c r="AT115" i="67"/>
  <c r="AY115" i="67"/>
  <c r="BD115" i="67"/>
  <c r="BH119" i="67" s="1"/>
  <c r="U116" i="67"/>
  <c r="U117" i="67" s="1"/>
  <c r="Z116" i="67"/>
  <c r="Z117" i="67" s="1"/>
  <c r="AE116" i="67"/>
  <c r="AE117" i="67" s="1"/>
  <c r="AJ116" i="67"/>
  <c r="AJ117" i="67" s="1"/>
  <c r="AO116" i="67"/>
  <c r="AO117" i="67" s="1"/>
  <c r="AT116" i="67"/>
  <c r="AT117" i="67" s="1"/>
  <c r="AY116" i="67"/>
  <c r="AY117" i="67" s="1"/>
  <c r="BD116" i="67"/>
  <c r="BD117" i="67" s="1"/>
  <c r="L117" i="67"/>
  <c r="M117" i="67"/>
  <c r="N117" i="67"/>
  <c r="O117" i="67"/>
  <c r="Q117" i="67"/>
  <c r="R117" i="67"/>
  <c r="S117" i="67"/>
  <c r="T117" i="67"/>
  <c r="V117" i="67"/>
  <c r="W117" i="67"/>
  <c r="X117" i="67"/>
  <c r="Y117" i="67"/>
  <c r="AA117" i="67"/>
  <c r="AB117" i="67"/>
  <c r="AC117" i="67"/>
  <c r="AD117" i="67"/>
  <c r="AF117" i="67"/>
  <c r="AG117" i="67"/>
  <c r="AH117" i="67"/>
  <c r="AI117" i="67"/>
  <c r="AK117" i="67"/>
  <c r="AL117" i="67"/>
  <c r="AM117" i="67"/>
  <c r="AN117" i="67"/>
  <c r="AP117" i="67"/>
  <c r="AQ117" i="67"/>
  <c r="AR117" i="67"/>
  <c r="AS117" i="67"/>
  <c r="AU117" i="67"/>
  <c r="AV117" i="67"/>
  <c r="AW117" i="67"/>
  <c r="AX117" i="67"/>
  <c r="AZ117" i="67"/>
  <c r="BE117" i="67" s="1"/>
  <c r="BJ117" i="67" s="1"/>
  <c r="BO117" i="67" s="1"/>
  <c r="BT117" i="67" s="1"/>
  <c r="BY117" i="67" s="1"/>
  <c r="CD117" i="67" s="1"/>
  <c r="CI117" i="67" s="1"/>
  <c r="BA117" i="67"/>
  <c r="BF117" i="67" s="1"/>
  <c r="BK117" i="67" s="1"/>
  <c r="BP117" i="67" s="1"/>
  <c r="BU117" i="67" s="1"/>
  <c r="BZ117" i="67" s="1"/>
  <c r="CE117" i="67" s="1"/>
  <c r="CJ117" i="67" s="1"/>
  <c r="BB117" i="67"/>
  <c r="BG117" i="67" s="1"/>
  <c r="BL117" i="67" s="1"/>
  <c r="BQ117" i="67" s="1"/>
  <c r="BC117" i="67"/>
  <c r="BH117" i="67" s="1"/>
  <c r="B118" i="67"/>
  <c r="C118" i="67"/>
  <c r="C197" i="67" s="1"/>
  <c r="D118" i="67"/>
  <c r="D197" i="67" s="1"/>
  <c r="E118" i="67"/>
  <c r="G118" i="67"/>
  <c r="H118" i="67"/>
  <c r="I118" i="67"/>
  <c r="J118" i="67"/>
  <c r="L118" i="67"/>
  <c r="M118" i="67"/>
  <c r="M197" i="67" s="1"/>
  <c r="N118" i="67"/>
  <c r="O118" i="67"/>
  <c r="Q118" i="67"/>
  <c r="Q197" i="67" s="1"/>
  <c r="R118" i="67"/>
  <c r="R197" i="67" s="1"/>
  <c r="S118" i="67"/>
  <c r="T118" i="67"/>
  <c r="V118" i="67"/>
  <c r="V197" i="67" s="1"/>
  <c r="V210" i="67" s="1"/>
  <c r="W118" i="67"/>
  <c r="W197" i="67" s="1"/>
  <c r="X118" i="67"/>
  <c r="Y118" i="67"/>
  <c r="AA118" i="67"/>
  <c r="AB118" i="67"/>
  <c r="AC118" i="67"/>
  <c r="AD118" i="67"/>
  <c r="AF118" i="67"/>
  <c r="AG118" i="67"/>
  <c r="AG197" i="67" s="1"/>
  <c r="AH118" i="67"/>
  <c r="AH197" i="67" s="1"/>
  <c r="AI118" i="67"/>
  <c r="AI197" i="67" s="1"/>
  <c r="AK118" i="67"/>
  <c r="AK197" i="67" s="1"/>
  <c r="AL118" i="67"/>
  <c r="AL197" i="67" s="1"/>
  <c r="AM118" i="67"/>
  <c r="AN118" i="67"/>
  <c r="AN197" i="67" s="1"/>
  <c r="AP118" i="67"/>
  <c r="AP197" i="67" s="1"/>
  <c r="AQ118" i="67"/>
  <c r="AQ197" i="67" s="1"/>
  <c r="AQ210" i="67" s="1"/>
  <c r="AR118" i="67"/>
  <c r="AR197" i="67" s="1"/>
  <c r="AS118" i="67"/>
  <c r="AS197" i="67" s="1"/>
  <c r="AU118" i="67"/>
  <c r="AU197" i="67" s="1"/>
  <c r="AU210" i="67" s="1"/>
  <c r="AV118" i="67"/>
  <c r="AV197" i="67" s="1"/>
  <c r="AW118" i="67"/>
  <c r="AX118" i="67"/>
  <c r="AX197" i="67" s="1"/>
  <c r="AZ118" i="67"/>
  <c r="AZ197" i="67" s="1"/>
  <c r="BA118" i="67"/>
  <c r="BB118" i="67"/>
  <c r="BB197" i="67" s="1"/>
  <c r="BC118" i="67"/>
  <c r="BC197" i="67" s="1"/>
  <c r="BH223" i="67"/>
  <c r="BJ119" i="67"/>
  <c r="BK119" i="67"/>
  <c r="BL119" i="67"/>
  <c r="BO119" i="67"/>
  <c r="BP119" i="67"/>
  <c r="BQ119" i="67"/>
  <c r="BT119" i="67"/>
  <c r="BU119" i="67"/>
  <c r="BV119" i="67"/>
  <c r="BY119" i="67"/>
  <c r="BZ119" i="67"/>
  <c r="CA119" i="67"/>
  <c r="CD119" i="67"/>
  <c r="CE119" i="67"/>
  <c r="CF119" i="67"/>
  <c r="CI119" i="67"/>
  <c r="CJ119" i="67"/>
  <c r="CK119" i="67"/>
  <c r="BE120" i="67"/>
  <c r="BF120" i="67"/>
  <c r="BG120" i="67"/>
  <c r="BJ120" i="67"/>
  <c r="BK120" i="67"/>
  <c r="BL120" i="67"/>
  <c r="BO120" i="67"/>
  <c r="BP120" i="67"/>
  <c r="BQ120" i="67"/>
  <c r="BT120" i="67"/>
  <c r="BU120" i="67"/>
  <c r="BV120" i="67"/>
  <c r="BY120" i="67"/>
  <c r="BZ120" i="67"/>
  <c r="CA120" i="67"/>
  <c r="CD120" i="67"/>
  <c r="CE120" i="67"/>
  <c r="CF120" i="67"/>
  <c r="CI120" i="67"/>
  <c r="CJ120" i="67"/>
  <c r="CK120" i="67"/>
  <c r="BK121" i="67"/>
  <c r="BL121" i="67"/>
  <c r="BM121" i="67"/>
  <c r="BO121" i="67"/>
  <c r="BP121" i="67"/>
  <c r="BQ121" i="67"/>
  <c r="BR121" i="67"/>
  <c r="BT121" i="67"/>
  <c r="BU121" i="67"/>
  <c r="BV121" i="67"/>
  <c r="BW121" i="67"/>
  <c r="BY121" i="67"/>
  <c r="BZ121" i="67"/>
  <c r="CA121" i="67"/>
  <c r="CB121" i="67"/>
  <c r="CD121" i="67"/>
  <c r="CE121" i="67"/>
  <c r="CF121" i="67"/>
  <c r="CG121" i="67"/>
  <c r="CI121" i="67"/>
  <c r="CJ121" i="67"/>
  <c r="CK121" i="67"/>
  <c r="CL121" i="67"/>
  <c r="BH122" i="67"/>
  <c r="BJ122" i="67"/>
  <c r="BK122" i="67"/>
  <c r="BL122" i="67"/>
  <c r="BM122" i="67"/>
  <c r="BO122" i="67"/>
  <c r="BP122" i="67"/>
  <c r="BQ122" i="67"/>
  <c r="BR122" i="67"/>
  <c r="BT122" i="67"/>
  <c r="BU122" i="67"/>
  <c r="BV122" i="67"/>
  <c r="BW122" i="67"/>
  <c r="BY122" i="67"/>
  <c r="BZ122" i="67"/>
  <c r="CA122" i="67"/>
  <c r="CB122" i="67"/>
  <c r="CD122" i="67"/>
  <c r="CE122" i="67"/>
  <c r="CF122" i="67"/>
  <c r="CG122" i="67"/>
  <c r="CI122" i="67"/>
  <c r="CJ122" i="67"/>
  <c r="CK122" i="67"/>
  <c r="CL122" i="67"/>
  <c r="L123" i="67"/>
  <c r="M123" i="67"/>
  <c r="N123" i="67"/>
  <c r="O123" i="67"/>
  <c r="Q123" i="67"/>
  <c r="R123" i="67"/>
  <c r="S123" i="67"/>
  <c r="T123" i="67"/>
  <c r="V123" i="67"/>
  <c r="W123" i="67"/>
  <c r="X123" i="67"/>
  <c r="Y123" i="67"/>
  <c r="AA123" i="67"/>
  <c r="AB123" i="67"/>
  <c r="AC123" i="67"/>
  <c r="AD123" i="67"/>
  <c r="AF123" i="67"/>
  <c r="AF122" i="67" s="1"/>
  <c r="AG123" i="67"/>
  <c r="AG122" i="67" s="1"/>
  <c r="AH123" i="67"/>
  <c r="AI123" i="67"/>
  <c r="AK123" i="67"/>
  <c r="AL123" i="67"/>
  <c r="AM123" i="67"/>
  <c r="AN123" i="67"/>
  <c r="AP123" i="67"/>
  <c r="AQ123" i="67"/>
  <c r="AR123" i="67"/>
  <c r="AS123" i="67"/>
  <c r="AU123" i="67"/>
  <c r="AV123" i="67"/>
  <c r="AW123" i="67"/>
  <c r="AX123" i="67"/>
  <c r="AZ123" i="67"/>
  <c r="BA123" i="67"/>
  <c r="BB123" i="67"/>
  <c r="BC123" i="67"/>
  <c r="AY125" i="67"/>
  <c r="AY198" i="67" s="1"/>
  <c r="BD125" i="67"/>
  <c r="AY126" i="67"/>
  <c r="AT127" i="67"/>
  <c r="AU127" i="67"/>
  <c r="AV127" i="67"/>
  <c r="AW127" i="67"/>
  <c r="AX127" i="67"/>
  <c r="AZ127" i="67"/>
  <c r="BA127" i="67"/>
  <c r="BP127" i="67"/>
  <c r="BU127" i="67" s="1"/>
  <c r="BZ127" i="67" s="1"/>
  <c r="CE127" i="67" s="1"/>
  <c r="CJ127" i="67" s="1"/>
  <c r="BB127" i="67"/>
  <c r="BC127" i="67"/>
  <c r="AT128" i="67"/>
  <c r="AU128" i="67"/>
  <c r="AV128" i="67"/>
  <c r="AW128" i="67"/>
  <c r="AX128" i="67"/>
  <c r="AZ128" i="67"/>
  <c r="BA128" i="67"/>
  <c r="BB128" i="67"/>
  <c r="BC128" i="67"/>
  <c r="C136" i="67"/>
  <c r="K136" i="67"/>
  <c r="P136" i="67"/>
  <c r="U136" i="67"/>
  <c r="Z136" i="67"/>
  <c r="AE136" i="67"/>
  <c r="AF136" i="67"/>
  <c r="AH136" i="67"/>
  <c r="AM136" i="67"/>
  <c r="AM4" i="67" s="1"/>
  <c r="AT136" i="67"/>
  <c r="AY136" i="67"/>
  <c r="BD136" i="67"/>
  <c r="V137" i="67"/>
  <c r="W137" i="67"/>
  <c r="X137" i="67"/>
  <c r="Y137" i="67"/>
  <c r="AA137" i="67"/>
  <c r="AB137" i="67"/>
  <c r="AC137" i="67"/>
  <c r="AD137" i="67"/>
  <c r="AG137" i="67"/>
  <c r="AI137" i="67"/>
  <c r="AL137" i="67"/>
  <c r="AN137" i="67"/>
  <c r="AP137" i="67"/>
  <c r="AQ137" i="67"/>
  <c r="AS137" i="67"/>
  <c r="AU137" i="67"/>
  <c r="AV137" i="67"/>
  <c r="AW137" i="67"/>
  <c r="AX137" i="67"/>
  <c r="AZ137" i="67"/>
  <c r="BA137" i="67"/>
  <c r="BB137" i="67"/>
  <c r="BC137" i="67"/>
  <c r="F157" i="67"/>
  <c r="I160" i="67"/>
  <c r="J160" i="67"/>
  <c r="L160" i="67"/>
  <c r="N160" i="67"/>
  <c r="S217" i="67" s="1"/>
  <c r="O160" i="67"/>
  <c r="T160" i="67"/>
  <c r="W160" i="67"/>
  <c r="X160" i="67"/>
  <c r="X217" i="67" s="1"/>
  <c r="Y160" i="67"/>
  <c r="AA160" i="67"/>
  <c r="AB160" i="67"/>
  <c r="AC160" i="67"/>
  <c r="AC217" i="67" s="1"/>
  <c r="AD160" i="67"/>
  <c r="AF160" i="67"/>
  <c r="AF217" i="67" s="1"/>
  <c r="AG160" i="67"/>
  <c r="AH160" i="67"/>
  <c r="AH217" i="67" s="1"/>
  <c r="AI160" i="67"/>
  <c r="AI217" i="67" s="1"/>
  <c r="AO160" i="67"/>
  <c r="AT160" i="67"/>
  <c r="AY160" i="67"/>
  <c r="BD160" i="67"/>
  <c r="H161" i="67"/>
  <c r="I161" i="67"/>
  <c r="J161" i="67"/>
  <c r="N161" i="67"/>
  <c r="O161" i="67"/>
  <c r="U161" i="67"/>
  <c r="W161" i="67"/>
  <c r="X161" i="67"/>
  <c r="Y161" i="67"/>
  <c r="AA161" i="67"/>
  <c r="AA218" i="67" s="1"/>
  <c r="AB161" i="67"/>
  <c r="AJ161" i="67"/>
  <c r="AO161" i="67"/>
  <c r="AT161" i="67"/>
  <c r="AY161" i="67"/>
  <c r="BD161" i="67"/>
  <c r="B162" i="67"/>
  <c r="K162" i="67"/>
  <c r="N162" i="67"/>
  <c r="O162" i="67"/>
  <c r="S162" i="67"/>
  <c r="T162" i="67"/>
  <c r="Z162" i="67"/>
  <c r="AE162" i="67"/>
  <c r="AJ162" i="67"/>
  <c r="AO162" i="67"/>
  <c r="AT162" i="67"/>
  <c r="AY162" i="67"/>
  <c r="BD162" i="67"/>
  <c r="B163" i="67"/>
  <c r="G220" i="67" s="1"/>
  <c r="K163" i="67"/>
  <c r="K147" i="67" s="1"/>
  <c r="O163" i="67"/>
  <c r="T220" i="67" s="1"/>
  <c r="Q163" i="67"/>
  <c r="R163" i="67"/>
  <c r="R220" i="67" s="1"/>
  <c r="S163" i="67"/>
  <c r="S220" i="67" s="1"/>
  <c r="X163" i="67"/>
  <c r="AC220" i="67" s="1"/>
  <c r="Y163" i="67"/>
  <c r="AA163" i="67"/>
  <c r="AF220" i="67" s="1"/>
  <c r="AB163" i="67"/>
  <c r="AJ163" i="67"/>
  <c r="L364" i="67" s="1"/>
  <c r="AO163" i="67"/>
  <c r="AT163" i="67"/>
  <c r="N364" i="67" s="1"/>
  <c r="AY163" i="67"/>
  <c r="BD163" i="67"/>
  <c r="B165" i="67"/>
  <c r="D165" i="67"/>
  <c r="G165" i="67"/>
  <c r="H165" i="67"/>
  <c r="I165" i="67"/>
  <c r="J165" i="67"/>
  <c r="O165" i="67"/>
  <c r="T222" i="67" s="1"/>
  <c r="U165" i="67"/>
  <c r="X165" i="67"/>
  <c r="Z165" i="67" s="1"/>
  <c r="AB165" i="67"/>
  <c r="AB222" i="67" s="1"/>
  <c r="AC165" i="67"/>
  <c r="AD165" i="67"/>
  <c r="AF165" i="67"/>
  <c r="AG165" i="67"/>
  <c r="AH165" i="67"/>
  <c r="AM222" i="67" s="1"/>
  <c r="AI165" i="67"/>
  <c r="AN165" i="67"/>
  <c r="AS222" i="67" s="1"/>
  <c r="AT165" i="67"/>
  <c r="AY165" i="67"/>
  <c r="BD165" i="67"/>
  <c r="B166" i="67"/>
  <c r="E166" i="67"/>
  <c r="G166" i="67"/>
  <c r="H166" i="67"/>
  <c r="I166" i="67"/>
  <c r="I223" i="67" s="1"/>
  <c r="J166" i="67"/>
  <c r="J223" i="67" s="1"/>
  <c r="L166" i="67"/>
  <c r="N166" i="67"/>
  <c r="O166" i="67"/>
  <c r="S166" i="67"/>
  <c r="T166" i="67"/>
  <c r="X166" i="67"/>
  <c r="Y166" i="67"/>
  <c r="AD223" i="67" s="1"/>
  <c r="AA166" i="67"/>
  <c r="AB166" i="67"/>
  <c r="AG223" i="67" s="1"/>
  <c r="AJ166" i="67"/>
  <c r="AO166" i="67"/>
  <c r="AT166" i="67"/>
  <c r="AY166" i="67"/>
  <c r="BD166" i="67"/>
  <c r="BI223" i="67" s="1"/>
  <c r="B168" i="67"/>
  <c r="C168" i="67"/>
  <c r="E168" i="67"/>
  <c r="J168" i="67"/>
  <c r="L168" i="67"/>
  <c r="N168" i="67"/>
  <c r="O168" i="67"/>
  <c r="Q168" i="67"/>
  <c r="S168" i="67"/>
  <c r="T168" i="67"/>
  <c r="X168" i="67"/>
  <c r="Y168" i="67"/>
  <c r="AD225" i="67" s="1"/>
  <c r="AA168" i="67"/>
  <c r="AB168" i="67"/>
  <c r="AJ168" i="67"/>
  <c r="AO168" i="67"/>
  <c r="AT168" i="67"/>
  <c r="AY168" i="67"/>
  <c r="BD168" i="67"/>
  <c r="F169" i="67"/>
  <c r="M169" i="67"/>
  <c r="V169" i="67"/>
  <c r="AK169" i="67"/>
  <c r="AK182" i="67" s="1"/>
  <c r="AL169" i="67"/>
  <c r="AL185" i="67" s="1"/>
  <c r="AM169" i="67"/>
  <c r="AP169" i="67"/>
  <c r="AQ169" i="67"/>
  <c r="AQ187" i="67" s="1"/>
  <c r="AR169" i="67"/>
  <c r="AR182" i="67" s="1"/>
  <c r="AS169" i="67"/>
  <c r="AU379" i="67"/>
  <c r="AV379" i="67"/>
  <c r="AW379" i="67"/>
  <c r="AX379" i="67"/>
  <c r="AZ174" i="67"/>
  <c r="BC177" i="67"/>
  <c r="BD208" i="67"/>
  <c r="AX209" i="67"/>
  <c r="AD197" i="67"/>
  <c r="BT204" i="67"/>
  <c r="BU204" i="67" s="1"/>
  <c r="BV204" i="67" s="1"/>
  <c r="BW204" i="67" s="1"/>
  <c r="BT205" i="67"/>
  <c r="BU205" i="67" s="1"/>
  <c r="BV205" i="67" s="1"/>
  <c r="BW205" i="67" s="1"/>
  <c r="BT206" i="67"/>
  <c r="BU206" i="67" s="1"/>
  <c r="BV206" i="67" s="1"/>
  <c r="BW206" i="67" s="1"/>
  <c r="AW209" i="67"/>
  <c r="BT209" i="67"/>
  <c r="BU209" i="67" s="1"/>
  <c r="BV209" i="67" s="1"/>
  <c r="BW209" i="67" s="1"/>
  <c r="BT212" i="67"/>
  <c r="BU212" i="67" s="1"/>
  <c r="BV212" i="67" s="1"/>
  <c r="BW212" i="67" s="1"/>
  <c r="M217" i="67"/>
  <c r="R217" i="67"/>
  <c r="V217" i="67"/>
  <c r="AP217" i="67"/>
  <c r="AQ217" i="67"/>
  <c r="AR217" i="67"/>
  <c r="AS217" i="67"/>
  <c r="AU217" i="67"/>
  <c r="AV217" i="67"/>
  <c r="AW217" i="67"/>
  <c r="AX217" i="67"/>
  <c r="BA217" i="67"/>
  <c r="BB217" i="67"/>
  <c r="BC217" i="67"/>
  <c r="L218" i="67"/>
  <c r="Q218" i="67"/>
  <c r="R218" i="67"/>
  <c r="V218" i="67"/>
  <c r="AH218" i="67"/>
  <c r="AI218" i="67"/>
  <c r="AK218" i="67"/>
  <c r="AL218" i="67"/>
  <c r="AM218" i="67"/>
  <c r="AN218" i="67"/>
  <c r="AP218" i="67"/>
  <c r="AQ218" i="67"/>
  <c r="AR218" i="67"/>
  <c r="AS218" i="67"/>
  <c r="AU218" i="67"/>
  <c r="AV218" i="67"/>
  <c r="AW218" i="67"/>
  <c r="AX218" i="67"/>
  <c r="AZ218" i="67"/>
  <c r="BA218" i="67"/>
  <c r="BB218" i="67"/>
  <c r="BC218" i="67"/>
  <c r="H219" i="67"/>
  <c r="I219" i="67"/>
  <c r="J219" i="67"/>
  <c r="L219" i="67"/>
  <c r="M219" i="67"/>
  <c r="Q219" i="67"/>
  <c r="R219" i="67"/>
  <c r="V219" i="67"/>
  <c r="W219" i="67"/>
  <c r="AA219" i="67"/>
  <c r="AB219" i="67"/>
  <c r="AC219" i="67"/>
  <c r="AD219" i="67"/>
  <c r="AF219" i="67"/>
  <c r="AG219" i="67"/>
  <c r="AH219" i="67"/>
  <c r="AI219" i="67"/>
  <c r="AK219" i="67"/>
  <c r="AL219" i="67"/>
  <c r="AM219" i="67"/>
  <c r="AN219" i="67"/>
  <c r="AP219" i="67"/>
  <c r="AQ219" i="67"/>
  <c r="AR219" i="67"/>
  <c r="AS219" i="67"/>
  <c r="AU219" i="67"/>
  <c r="AV219" i="67"/>
  <c r="AW219" i="67"/>
  <c r="AX219" i="67"/>
  <c r="AZ219" i="67"/>
  <c r="BA219" i="67"/>
  <c r="BB219" i="67"/>
  <c r="BC219" i="67"/>
  <c r="H220" i="67"/>
  <c r="I220" i="67"/>
  <c r="J220" i="67"/>
  <c r="L220" i="67"/>
  <c r="M220" i="67"/>
  <c r="N220" i="67"/>
  <c r="AH220" i="67"/>
  <c r="AI220" i="67"/>
  <c r="AK220" i="67"/>
  <c r="AL220" i="67"/>
  <c r="AM220" i="67"/>
  <c r="AN220" i="67"/>
  <c r="AP220" i="67"/>
  <c r="AQ220" i="67"/>
  <c r="AR220" i="67"/>
  <c r="AS220" i="67"/>
  <c r="AU220" i="67"/>
  <c r="AV220" i="67"/>
  <c r="AW220" i="67"/>
  <c r="AX220" i="67"/>
  <c r="AZ220" i="67"/>
  <c r="BA220" i="67"/>
  <c r="BB220" i="67"/>
  <c r="BC220" i="67"/>
  <c r="AY221" i="67"/>
  <c r="AZ221" i="67"/>
  <c r="BA221" i="67"/>
  <c r="BB221" i="67"/>
  <c r="BC221" i="67"/>
  <c r="BD221" i="67"/>
  <c r="Q222" i="67"/>
  <c r="R222" i="67"/>
  <c r="S222" i="67"/>
  <c r="V222" i="67"/>
  <c r="W222" i="67"/>
  <c r="Y222" i="67"/>
  <c r="AA222" i="67"/>
  <c r="AP222" i="67"/>
  <c r="AQ222" i="67"/>
  <c r="AR222" i="67"/>
  <c r="AU222" i="67"/>
  <c r="AV222" i="67"/>
  <c r="AW222" i="67"/>
  <c r="AX222" i="67"/>
  <c r="AZ222" i="67"/>
  <c r="BA222" i="67"/>
  <c r="BB222" i="67"/>
  <c r="BC222" i="67"/>
  <c r="R223" i="67"/>
  <c r="V223" i="67"/>
  <c r="W223" i="67"/>
  <c r="AH223" i="67"/>
  <c r="AI223" i="67"/>
  <c r="AK223" i="67"/>
  <c r="AL223" i="67"/>
  <c r="AM223" i="67"/>
  <c r="AN223" i="67"/>
  <c r="AP223" i="67"/>
  <c r="AQ223" i="67"/>
  <c r="AR223" i="67"/>
  <c r="AS223" i="67"/>
  <c r="AU223" i="67"/>
  <c r="AV223" i="67"/>
  <c r="AW223" i="67"/>
  <c r="AX223" i="67"/>
  <c r="AZ223" i="67"/>
  <c r="BA223" i="67"/>
  <c r="BB223" i="67"/>
  <c r="BC223" i="67"/>
  <c r="AY224" i="67"/>
  <c r="AZ224" i="67"/>
  <c r="BA224" i="67"/>
  <c r="BB224" i="67"/>
  <c r="BC224" i="67"/>
  <c r="BD224" i="67"/>
  <c r="AH225" i="67"/>
  <c r="AI225" i="67"/>
  <c r="AK225" i="67"/>
  <c r="AL225" i="67"/>
  <c r="AM225" i="67"/>
  <c r="AN225" i="67"/>
  <c r="AP225" i="67"/>
  <c r="AQ225" i="67"/>
  <c r="AR225" i="67"/>
  <c r="AS225" i="67"/>
  <c r="AU225" i="67"/>
  <c r="AV225" i="67"/>
  <c r="AW225" i="67"/>
  <c r="AX225" i="67"/>
  <c r="AZ225" i="67"/>
  <c r="BA225" i="67"/>
  <c r="BB225" i="67"/>
  <c r="BC225" i="67"/>
  <c r="AF247" i="67"/>
  <c r="AG247" i="67"/>
  <c r="AH247" i="67"/>
  <c r="AI247" i="67"/>
  <c r="V249" i="67"/>
  <c r="W249" i="67"/>
  <c r="X249" i="67"/>
  <c r="Y249" i="67"/>
  <c r="Z249" i="67"/>
  <c r="AA249" i="67"/>
  <c r="AB249" i="67"/>
  <c r="AC249" i="67"/>
  <c r="AD249" i="67"/>
  <c r="AE249" i="67"/>
  <c r="AF249" i="67"/>
  <c r="AG249" i="67"/>
  <c r="AH249" i="67"/>
  <c r="AI249" i="67"/>
  <c r="AJ249" i="67"/>
  <c r="AK249" i="67"/>
  <c r="AL249" i="67"/>
  <c r="AM249" i="67"/>
  <c r="AN249" i="67"/>
  <c r="AP249" i="67"/>
  <c r="AQ249" i="67"/>
  <c r="AR249" i="67"/>
  <c r="AT249" i="67"/>
  <c r="V250" i="67"/>
  <c r="W250" i="67"/>
  <c r="X250" i="67"/>
  <c r="Y250" i="67"/>
  <c r="Z250" i="67"/>
  <c r="AA250" i="67"/>
  <c r="AB250" i="67"/>
  <c r="AC250" i="67"/>
  <c r="AD250" i="67"/>
  <c r="AE250" i="67"/>
  <c r="AF250" i="67"/>
  <c r="AG250" i="67"/>
  <c r="AH250" i="67"/>
  <c r="AJ250" i="67"/>
  <c r="AK250" i="67"/>
  <c r="AL250" i="67"/>
  <c r="AM250" i="67"/>
  <c r="AN250" i="67"/>
  <c r="AO250" i="67"/>
  <c r="AP250" i="67"/>
  <c r="AQ250" i="67"/>
  <c r="AT250" i="67"/>
  <c r="V251" i="67"/>
  <c r="W251" i="67"/>
  <c r="X251" i="67"/>
  <c r="Y251" i="67"/>
  <c r="Z251" i="67"/>
  <c r="AA251" i="67"/>
  <c r="AB251" i="67"/>
  <c r="AC251" i="67"/>
  <c r="AD251" i="67"/>
  <c r="AE251" i="67"/>
  <c r="AF251" i="67"/>
  <c r="AG251" i="67"/>
  <c r="AI251" i="67"/>
  <c r="AJ251" i="67"/>
  <c r="AK251" i="67"/>
  <c r="AN251" i="67"/>
  <c r="AO251" i="67"/>
  <c r="AP251" i="67"/>
  <c r="AR251" i="67"/>
  <c r="V252" i="67"/>
  <c r="W252" i="67"/>
  <c r="X252" i="67"/>
  <c r="Y252" i="67"/>
  <c r="Z252" i="67"/>
  <c r="AA252" i="67"/>
  <c r="AB252" i="67"/>
  <c r="AC252" i="67"/>
  <c r="AD252" i="67"/>
  <c r="AE252" i="67"/>
  <c r="AF252" i="67"/>
  <c r="AG252" i="67"/>
  <c r="AH252" i="67"/>
  <c r="AI252" i="67"/>
  <c r="AK252" i="67"/>
  <c r="AN252" i="67"/>
  <c r="AP252" i="67"/>
  <c r="AR252" i="67"/>
  <c r="AS252" i="67"/>
  <c r="AT252" i="67"/>
  <c r="V253" i="67"/>
  <c r="W253" i="67"/>
  <c r="X253" i="67"/>
  <c r="Y253" i="67"/>
  <c r="Z253" i="67"/>
  <c r="AA253" i="67"/>
  <c r="AB253" i="67"/>
  <c r="AC253" i="67"/>
  <c r="AD253" i="67"/>
  <c r="AE253" i="67"/>
  <c r="AF253" i="67"/>
  <c r="AG253" i="67"/>
  <c r="AJ253" i="67"/>
  <c r="AK253" i="67"/>
  <c r="AL253" i="67"/>
  <c r="AO253" i="67"/>
  <c r="AS253" i="67"/>
  <c r="W254" i="67"/>
  <c r="X254" i="67"/>
  <c r="Y254" i="67"/>
  <c r="Z254" i="67"/>
  <c r="AB254" i="67"/>
  <c r="AC254" i="67"/>
  <c r="AD254" i="67"/>
  <c r="AE254" i="67"/>
  <c r="AF254" i="67"/>
  <c r="AG254" i="67"/>
  <c r="AH254" i="67"/>
  <c r="AI254" i="67"/>
  <c r="AJ254" i="67"/>
  <c r="AK254" i="67"/>
  <c r="AL254" i="67"/>
  <c r="AM254" i="67"/>
  <c r="AN254" i="67"/>
  <c r="AP254" i="67"/>
  <c r="AQ254" i="67"/>
  <c r="AR254" i="67"/>
  <c r="AS254" i="67"/>
  <c r="AT254" i="67"/>
  <c r="V255" i="67"/>
  <c r="W255" i="67"/>
  <c r="X255" i="67"/>
  <c r="Y255" i="67"/>
  <c r="Z255" i="67"/>
  <c r="AA255" i="67"/>
  <c r="AB255" i="67"/>
  <c r="AC255" i="67"/>
  <c r="AD255" i="67"/>
  <c r="AE255" i="67"/>
  <c r="AF255" i="67"/>
  <c r="AH255" i="67"/>
  <c r="AJ255" i="67"/>
  <c r="AK255" i="67"/>
  <c r="AL255" i="67"/>
  <c r="AN255" i="67"/>
  <c r="AO255" i="67"/>
  <c r="AP255" i="67"/>
  <c r="AQ255" i="67"/>
  <c r="AS255" i="67"/>
  <c r="V256" i="67"/>
  <c r="W256" i="67"/>
  <c r="X256" i="67"/>
  <c r="Y256" i="67"/>
  <c r="Z256" i="67"/>
  <c r="AA256" i="67"/>
  <c r="AB256" i="67"/>
  <c r="AC256" i="67"/>
  <c r="AD256" i="67"/>
  <c r="AE256" i="67"/>
  <c r="AF256" i="67"/>
  <c r="AG256" i="67"/>
  <c r="AH256" i="67"/>
  <c r="AI256" i="67"/>
  <c r="AJ256" i="67"/>
  <c r="AL256" i="67"/>
  <c r="AM256" i="67"/>
  <c r="AP256" i="67"/>
  <c r="AQ256" i="67"/>
  <c r="AR256" i="67"/>
  <c r="AT256" i="67"/>
  <c r="AE260" i="67"/>
  <c r="AB262" i="67"/>
  <c r="AC262" i="67"/>
  <c r="AD262" i="67"/>
  <c r="AF262" i="67"/>
  <c r="AG262" i="67"/>
  <c r="AH262" i="67"/>
  <c r="AI262" i="67"/>
  <c r="AJ262" i="67"/>
  <c r="AK262" i="67"/>
  <c r="AL262" i="67"/>
  <c r="AM262" i="67"/>
  <c r="AN262" i="67"/>
  <c r="AO262" i="67"/>
  <c r="AP262" i="67"/>
  <c r="AQ262" i="67"/>
  <c r="AR262" i="67"/>
  <c r="AS262" i="67"/>
  <c r="AT262" i="67"/>
  <c r="AU262" i="67"/>
  <c r="AV262" i="67"/>
  <c r="P268" i="67"/>
  <c r="U268" i="67"/>
  <c r="U271" i="67" s="1"/>
  <c r="Z268" i="67"/>
  <c r="AE268" i="67"/>
  <c r="Z287" i="67"/>
  <c r="AE287" i="67"/>
  <c r="AJ287" i="67"/>
  <c r="AJ293" i="67"/>
  <c r="AJ299" i="67"/>
  <c r="AJ312" i="67"/>
  <c r="AJ313" i="67"/>
  <c r="AJ314" i="67"/>
  <c r="AJ315" i="67"/>
  <c r="AJ316" i="67"/>
  <c r="AZ330" i="67"/>
  <c r="BA330" i="67"/>
  <c r="BB330" i="67"/>
  <c r="BC330" i="67"/>
  <c r="BD330" i="67"/>
  <c r="BE331" i="67"/>
  <c r="BF331" i="67"/>
  <c r="G5" i="1"/>
  <c r="L5" i="1"/>
  <c r="Q5" i="1"/>
  <c r="V5" i="1"/>
  <c r="V182" i="1" s="1"/>
  <c r="AA5" i="1"/>
  <c r="AF5" i="1"/>
  <c r="AK5" i="1"/>
  <c r="AP5" i="1"/>
  <c r="AP35" i="1" s="1"/>
  <c r="AU5" i="1"/>
  <c r="AZ5" i="1"/>
  <c r="BJ5" i="1"/>
  <c r="BO5" i="1"/>
  <c r="BT5" i="1"/>
  <c r="BY5" i="1"/>
  <c r="CD5" i="1"/>
  <c r="M6" i="1"/>
  <c r="N6" i="1"/>
  <c r="O6" i="1"/>
  <c r="P6" i="1"/>
  <c r="R6" i="1"/>
  <c r="S6" i="1"/>
  <c r="T6" i="1"/>
  <c r="U6" i="1"/>
  <c r="W6" i="1"/>
  <c r="X6" i="1"/>
  <c r="Y6" i="1"/>
  <c r="Z6" i="1"/>
  <c r="AB6" i="1"/>
  <c r="AC6" i="1"/>
  <c r="AD6" i="1"/>
  <c r="AE6" i="1"/>
  <c r="AG6" i="1"/>
  <c r="AH6" i="1"/>
  <c r="AI6" i="1"/>
  <c r="AJ6" i="1"/>
  <c r="AL6" i="1"/>
  <c r="AM6" i="1"/>
  <c r="AN6" i="1"/>
  <c r="AO6" i="1"/>
  <c r="AQ6" i="1"/>
  <c r="AR6" i="1"/>
  <c r="AS6" i="1"/>
  <c r="AT6" i="1"/>
  <c r="AV6" i="1"/>
  <c r="AW6" i="1"/>
  <c r="AX6" i="1"/>
  <c r="AY6" i="1"/>
  <c r="BD6" i="1"/>
  <c r="BI6" i="1"/>
  <c r="BK6" i="1"/>
  <c r="BL6" i="1"/>
  <c r="BM6" i="1"/>
  <c r="BN6" i="1"/>
  <c r="BP6" i="1"/>
  <c r="BQ6" i="1"/>
  <c r="BR6" i="1"/>
  <c r="BS6" i="1"/>
  <c r="BU6" i="1"/>
  <c r="BV6" i="1"/>
  <c r="BW6" i="1"/>
  <c r="BX6" i="1"/>
  <c r="BY6" i="1"/>
  <c r="BZ6" i="1"/>
  <c r="CA6" i="1"/>
  <c r="CB6" i="1"/>
  <c r="CC6" i="1"/>
  <c r="BE7" i="1"/>
  <c r="BE270" i="1" s="1"/>
  <c r="BI7" i="1"/>
  <c r="BI270" i="1" s="1"/>
  <c r="CB7" i="1"/>
  <c r="CC7" i="1"/>
  <c r="G9" i="1"/>
  <c r="G10" i="1" s="1"/>
  <c r="L9" i="1"/>
  <c r="L212" i="1" s="1"/>
  <c r="L245" i="1" s="1"/>
  <c r="Q9" i="1"/>
  <c r="Q13" i="1" s="1"/>
  <c r="V9" i="1"/>
  <c r="AA9" i="1"/>
  <c r="AF9" i="1"/>
  <c r="AK9" i="1"/>
  <c r="AP9" i="1"/>
  <c r="AU9" i="1"/>
  <c r="AU13" i="1" s="1"/>
  <c r="AZ9" i="1"/>
  <c r="BE9" i="1"/>
  <c r="BJ9" i="1"/>
  <c r="BO9" i="1"/>
  <c r="BO10" i="1" s="1"/>
  <c r="BT9" i="1"/>
  <c r="BY9" i="1"/>
  <c r="CD9" i="1"/>
  <c r="C10" i="1"/>
  <c r="D10" i="1"/>
  <c r="E10" i="1"/>
  <c r="F10" i="1"/>
  <c r="H10" i="1"/>
  <c r="I10" i="1"/>
  <c r="J10" i="1"/>
  <c r="K10" i="1"/>
  <c r="M10" i="1"/>
  <c r="M11" i="1" s="1"/>
  <c r="N10" i="1"/>
  <c r="O10" i="1"/>
  <c r="P10" i="1"/>
  <c r="R10" i="1"/>
  <c r="S10" i="1"/>
  <c r="S11" i="1" s="1"/>
  <c r="T10" i="1"/>
  <c r="U10" i="1"/>
  <c r="W10" i="1"/>
  <c r="X10" i="1"/>
  <c r="X11" i="1" s="1"/>
  <c r="Y10" i="1"/>
  <c r="Y11" i="1" s="1"/>
  <c r="Z10" i="1"/>
  <c r="Z11" i="1" s="1"/>
  <c r="AB10" i="1"/>
  <c r="AB11" i="1" s="1"/>
  <c r="AC10" i="1"/>
  <c r="AC11" i="1" s="1"/>
  <c r="AD10" i="1"/>
  <c r="AD11" i="1" s="1"/>
  <c r="AE10" i="1"/>
  <c r="AG10" i="1"/>
  <c r="AG11" i="1" s="1"/>
  <c r="AH10" i="1"/>
  <c r="AH11" i="1" s="1"/>
  <c r="AI10" i="1"/>
  <c r="AJ10" i="1"/>
  <c r="AL10" i="1"/>
  <c r="AL11" i="1" s="1"/>
  <c r="AM10" i="1"/>
  <c r="AM11" i="1" s="1"/>
  <c r="AN10" i="1"/>
  <c r="AO10" i="1"/>
  <c r="AO11" i="1" s="1"/>
  <c r="AQ10" i="1"/>
  <c r="AR10" i="1"/>
  <c r="AS10" i="1"/>
  <c r="AS11" i="1" s="1"/>
  <c r="AT10" i="1"/>
  <c r="AT11" i="1" s="1"/>
  <c r="AV10" i="1"/>
  <c r="AW10" i="1"/>
  <c r="AW11" i="1" s="1"/>
  <c r="AX10" i="1"/>
  <c r="AX11" i="1" s="1"/>
  <c r="AY10" i="1"/>
  <c r="BD10" i="1"/>
  <c r="BF10" i="1"/>
  <c r="BG10" i="1"/>
  <c r="BH10" i="1"/>
  <c r="BI10" i="1"/>
  <c r="BI11" i="1" s="1"/>
  <c r="BK10" i="1"/>
  <c r="BK11" i="1" s="1"/>
  <c r="BL10" i="1"/>
  <c r="BM10" i="1"/>
  <c r="BM11" i="1" s="1"/>
  <c r="BN10" i="1"/>
  <c r="BN11" i="1" s="1"/>
  <c r="BP10" i="1"/>
  <c r="BQ10" i="1"/>
  <c r="BQ11" i="1" s="1"/>
  <c r="BR10" i="1"/>
  <c r="BS10" i="1"/>
  <c r="BS11" i="1" s="1"/>
  <c r="BU10" i="1"/>
  <c r="BU11" i="1" s="1"/>
  <c r="BV10" i="1"/>
  <c r="BV11" i="1" s="1"/>
  <c r="BW10" i="1"/>
  <c r="BX10" i="1"/>
  <c r="BX11" i="1" s="1"/>
  <c r="BZ10" i="1"/>
  <c r="CA10" i="1"/>
  <c r="CF11" i="1" s="1"/>
  <c r="CB10" i="1"/>
  <c r="CB11" i="1" s="1"/>
  <c r="CC10" i="1"/>
  <c r="AJ11" i="1"/>
  <c r="C13" i="1"/>
  <c r="C14" i="1" s="1"/>
  <c r="D13" i="1"/>
  <c r="E13" i="1"/>
  <c r="F13" i="1"/>
  <c r="F55" i="1" s="1"/>
  <c r="H13" i="1"/>
  <c r="I13" i="1"/>
  <c r="I55" i="1" s="1"/>
  <c r="J13" i="1"/>
  <c r="J14" i="1" s="1"/>
  <c r="K13" i="1"/>
  <c r="M13" i="1"/>
  <c r="M55" i="1" s="1"/>
  <c r="N13" i="1"/>
  <c r="N14" i="1" s="1"/>
  <c r="O13" i="1"/>
  <c r="O14" i="1" s="1"/>
  <c r="P13" i="1"/>
  <c r="P14" i="1" s="1"/>
  <c r="R13" i="1"/>
  <c r="S13" i="1"/>
  <c r="S14" i="1" s="1"/>
  <c r="T13" i="1"/>
  <c r="U13" i="1"/>
  <c r="U14" i="1" s="1"/>
  <c r="U15" i="1" s="1"/>
  <c r="W13" i="1"/>
  <c r="W55" i="1" s="1"/>
  <c r="X13" i="1"/>
  <c r="X14" i="1" s="1"/>
  <c r="Y13" i="1"/>
  <c r="Y14" i="1" s="1"/>
  <c r="Z13" i="1"/>
  <c r="Z14" i="1" s="1"/>
  <c r="AB13" i="1"/>
  <c r="AC13" i="1"/>
  <c r="AD13" i="1"/>
  <c r="AD55" i="1" s="1"/>
  <c r="AE13" i="1"/>
  <c r="AG13" i="1"/>
  <c r="AH13" i="1"/>
  <c r="AH55" i="1" s="1"/>
  <c r="AI13" i="1"/>
  <c r="AI55" i="1" s="1"/>
  <c r="AI239" i="1" s="1"/>
  <c r="AJ13" i="1"/>
  <c r="AJ14" i="1" s="1"/>
  <c r="AL13" i="1"/>
  <c r="AM13" i="1"/>
  <c r="AM14" i="1" s="1"/>
  <c r="AN13" i="1"/>
  <c r="AO13" i="1"/>
  <c r="AO14" i="1" s="1"/>
  <c r="AQ13" i="1"/>
  <c r="AQ14" i="1" s="1"/>
  <c r="AR13" i="1"/>
  <c r="AR14" i="1" s="1"/>
  <c r="AS13" i="1"/>
  <c r="AT13" i="1"/>
  <c r="AT14" i="1" s="1"/>
  <c r="AV13" i="1"/>
  <c r="AW13" i="1"/>
  <c r="AW55" i="1" s="1"/>
  <c r="AX13" i="1"/>
  <c r="AY13" i="1"/>
  <c r="AY14" i="1" s="1"/>
  <c r="BD13" i="1"/>
  <c r="BD14" i="1" s="1"/>
  <c r="BF13" i="1"/>
  <c r="BF14" i="1" s="1"/>
  <c r="BG13" i="1"/>
  <c r="BH13" i="1"/>
  <c r="BH55" i="1" s="1"/>
  <c r="BI13" i="1"/>
  <c r="BI14" i="1" s="1"/>
  <c r="BI15" i="1" s="1"/>
  <c r="BK13" i="1"/>
  <c r="BK55" i="1" s="1"/>
  <c r="BK239" i="1" s="1"/>
  <c r="BL13" i="1"/>
  <c r="BM13" i="1"/>
  <c r="BM14" i="1" s="1"/>
  <c r="BN13" i="1"/>
  <c r="BP13" i="1"/>
  <c r="BQ13" i="1"/>
  <c r="BQ55" i="1" s="1"/>
  <c r="BQ239" i="1" s="1"/>
  <c r="BR13" i="1"/>
  <c r="BR14" i="1" s="1"/>
  <c r="BS13" i="1"/>
  <c r="BS55" i="1" s="1"/>
  <c r="BU13" i="1"/>
  <c r="BU55" i="1" s="1"/>
  <c r="BV13" i="1"/>
  <c r="BV14" i="1" s="1"/>
  <c r="BW13" i="1"/>
  <c r="BW55" i="1" s="1"/>
  <c r="BW239" i="1" s="1"/>
  <c r="BX13" i="1"/>
  <c r="BX55" i="1" s="1"/>
  <c r="BX239" i="1" s="1"/>
  <c r="BZ13" i="1"/>
  <c r="BZ14" i="1" s="1"/>
  <c r="CE15" i="1" s="1"/>
  <c r="CA13" i="1"/>
  <c r="CA55" i="1" s="1"/>
  <c r="CA239" i="1" s="1"/>
  <c r="CB13" i="1"/>
  <c r="CB55" i="1" s="1"/>
  <c r="CC13" i="1"/>
  <c r="CC55" i="1" s="1"/>
  <c r="AC14" i="1"/>
  <c r="G17" i="1"/>
  <c r="G18" i="1" s="1"/>
  <c r="L17" i="1"/>
  <c r="Q17" i="1"/>
  <c r="V17" i="1"/>
  <c r="AA17" i="1"/>
  <c r="AA206" i="1" s="1"/>
  <c r="AF17" i="1"/>
  <c r="AK17" i="1"/>
  <c r="AP17" i="1"/>
  <c r="AU17" i="1"/>
  <c r="AU50" i="1" s="1"/>
  <c r="AZ17" i="1"/>
  <c r="BE17" i="1"/>
  <c r="BJ17" i="1"/>
  <c r="BO17" i="1"/>
  <c r="BO50" i="1" s="1"/>
  <c r="BT17" i="1"/>
  <c r="BY17" i="1"/>
  <c r="CD17" i="1"/>
  <c r="C18" i="1"/>
  <c r="D18" i="1"/>
  <c r="E18" i="1"/>
  <c r="F18" i="1"/>
  <c r="H18" i="1"/>
  <c r="I18" i="1"/>
  <c r="J18" i="1"/>
  <c r="K18" i="1"/>
  <c r="M18" i="1"/>
  <c r="M20" i="1" s="1"/>
  <c r="N18" i="1"/>
  <c r="O18" i="1"/>
  <c r="O20" i="1" s="1"/>
  <c r="P18" i="1"/>
  <c r="P20" i="1" s="1"/>
  <c r="R18" i="1"/>
  <c r="S18" i="1"/>
  <c r="S20" i="1" s="1"/>
  <c r="T18" i="1"/>
  <c r="T20" i="1" s="1"/>
  <c r="U18" i="1"/>
  <c r="U20" i="1" s="1"/>
  <c r="W18" i="1"/>
  <c r="X18" i="1"/>
  <c r="X20" i="1" s="1"/>
  <c r="Y18" i="1"/>
  <c r="Y20" i="1" s="1"/>
  <c r="Z18" i="1"/>
  <c r="Z20" i="1" s="1"/>
  <c r="AB18" i="1"/>
  <c r="AC18" i="1"/>
  <c r="AC20" i="1" s="1"/>
  <c r="AD18" i="1"/>
  <c r="AE18" i="1"/>
  <c r="AE20" i="1" s="1"/>
  <c r="AG18" i="1"/>
  <c r="AG20" i="1" s="1"/>
  <c r="AH18" i="1"/>
  <c r="AI18" i="1"/>
  <c r="AI20" i="1" s="1"/>
  <c r="AJ18" i="1"/>
  <c r="AJ20" i="1" s="1"/>
  <c r="AL18" i="1"/>
  <c r="AM18" i="1"/>
  <c r="AM20" i="1" s="1"/>
  <c r="AN18" i="1"/>
  <c r="AO18" i="1"/>
  <c r="AO20" i="1" s="1"/>
  <c r="AQ18" i="1"/>
  <c r="AQ20" i="1" s="1"/>
  <c r="AR18" i="1"/>
  <c r="AS18" i="1"/>
  <c r="AS20" i="1" s="1"/>
  <c r="AT18" i="1"/>
  <c r="AT20" i="1" s="1"/>
  <c r="AV18" i="1"/>
  <c r="AV20" i="1" s="1"/>
  <c r="AW18" i="1"/>
  <c r="AX18" i="1"/>
  <c r="AX20" i="1" s="1"/>
  <c r="AY18" i="1"/>
  <c r="AY20" i="1" s="1"/>
  <c r="BD18" i="1"/>
  <c r="BF18" i="1"/>
  <c r="BG18" i="1"/>
  <c r="BH18" i="1"/>
  <c r="BI18" i="1"/>
  <c r="BI20" i="1" s="1"/>
  <c r="BK18" i="1"/>
  <c r="BK20" i="1" s="1"/>
  <c r="BL18" i="1"/>
  <c r="BL20" i="1" s="1"/>
  <c r="BM18" i="1"/>
  <c r="BM20" i="1" s="1"/>
  <c r="BN18" i="1"/>
  <c r="BP18" i="1"/>
  <c r="BQ18" i="1"/>
  <c r="BR18" i="1"/>
  <c r="BS18" i="1"/>
  <c r="BU18" i="1"/>
  <c r="BV18" i="1"/>
  <c r="BW18" i="1"/>
  <c r="BW20" i="1" s="1"/>
  <c r="BX18" i="1"/>
  <c r="BZ18" i="1"/>
  <c r="CE20" i="1" s="1"/>
  <c r="CA18" i="1"/>
  <c r="CB18" i="1"/>
  <c r="CC18" i="1"/>
  <c r="CH20" i="1" s="1"/>
  <c r="M19" i="1"/>
  <c r="N19" i="1"/>
  <c r="O19" i="1"/>
  <c r="P19" i="1"/>
  <c r="R19" i="1"/>
  <c r="S19" i="1"/>
  <c r="T19" i="1"/>
  <c r="U19" i="1"/>
  <c r="W19" i="1"/>
  <c r="X19" i="1"/>
  <c r="Y19" i="1"/>
  <c r="Z19" i="1"/>
  <c r="AB19" i="1"/>
  <c r="AC19" i="1"/>
  <c r="AD19" i="1"/>
  <c r="AE19" i="1"/>
  <c r="AG19" i="1"/>
  <c r="AH19" i="1"/>
  <c r="AI19" i="1"/>
  <c r="AJ19" i="1"/>
  <c r="AL19" i="1"/>
  <c r="AM19" i="1"/>
  <c r="AN19" i="1"/>
  <c r="AO19" i="1"/>
  <c r="AQ19" i="1"/>
  <c r="AR19" i="1"/>
  <c r="AS19" i="1"/>
  <c r="AT19" i="1"/>
  <c r="AV19" i="1"/>
  <c r="AW19" i="1"/>
  <c r="AX19" i="1"/>
  <c r="AY19" i="1"/>
  <c r="BA19" i="1"/>
  <c r="BB19" i="1"/>
  <c r="BC19" i="1"/>
  <c r="BD19" i="1"/>
  <c r="BF19" i="1"/>
  <c r="BG19" i="1"/>
  <c r="BH19" i="1"/>
  <c r="BI19" i="1"/>
  <c r="BK19" i="1"/>
  <c r="BL19" i="1"/>
  <c r="BM19" i="1"/>
  <c r="BN19" i="1"/>
  <c r="BP19" i="1"/>
  <c r="BQ19" i="1"/>
  <c r="BR19" i="1"/>
  <c r="BS19" i="1"/>
  <c r="BU19" i="1"/>
  <c r="BV19" i="1"/>
  <c r="BW19" i="1"/>
  <c r="BX19" i="1"/>
  <c r="BZ19" i="1"/>
  <c r="CA19" i="1"/>
  <c r="CB19" i="1"/>
  <c r="CC19" i="1"/>
  <c r="Z23" i="1"/>
  <c r="Z40" i="1" s="1"/>
  <c r="Z41" i="1" s="1"/>
  <c r="AE23" i="1"/>
  <c r="AE40" i="1" s="1"/>
  <c r="AG23" i="1"/>
  <c r="AG24" i="1" s="1"/>
  <c r="AO23" i="1"/>
  <c r="AO40" i="1" s="1"/>
  <c r="AO41" i="1" s="1"/>
  <c r="AT23" i="1"/>
  <c r="AV23" i="1"/>
  <c r="AV40" i="1" s="1"/>
  <c r="BA23" i="1"/>
  <c r="W24" i="1"/>
  <c r="X24" i="1"/>
  <c r="Y24" i="1"/>
  <c r="AB24" i="1"/>
  <c r="AC24" i="1"/>
  <c r="AD24" i="1"/>
  <c r="AH24" i="1"/>
  <c r="AI24" i="1"/>
  <c r="AL24" i="1"/>
  <c r="AM24" i="1"/>
  <c r="AN24" i="1"/>
  <c r="AQ24" i="1"/>
  <c r="AR24" i="1"/>
  <c r="AS24" i="1"/>
  <c r="AW24" i="1"/>
  <c r="AX24" i="1"/>
  <c r="AB25" i="1"/>
  <c r="AC25" i="1"/>
  <c r="AD25" i="1"/>
  <c r="AH25" i="1"/>
  <c r="AI25" i="1"/>
  <c r="AM25" i="1"/>
  <c r="AN25" i="1"/>
  <c r="AQ25" i="1"/>
  <c r="AR25" i="1"/>
  <c r="AS25" i="1"/>
  <c r="AW25" i="1"/>
  <c r="AX25" i="1"/>
  <c r="BB25" i="1"/>
  <c r="BC25" i="1"/>
  <c r="BS34" i="1"/>
  <c r="BX34" i="1"/>
  <c r="G35" i="1"/>
  <c r="Q35" i="1"/>
  <c r="AU35" i="1"/>
  <c r="BT35" i="1"/>
  <c r="L36" i="1"/>
  <c r="Q36" i="1"/>
  <c r="V36" i="1"/>
  <c r="AA36" i="1"/>
  <c r="AF36" i="1"/>
  <c r="AK36" i="1"/>
  <c r="AP36" i="1"/>
  <c r="AU36" i="1"/>
  <c r="AZ36" i="1"/>
  <c r="BE36" i="1"/>
  <c r="BJ36" i="1"/>
  <c r="BO36" i="1"/>
  <c r="BT36" i="1"/>
  <c r="BY36" i="1"/>
  <c r="CD36" i="1"/>
  <c r="W40" i="1"/>
  <c r="X40" i="1"/>
  <c r="X41" i="1" s="1"/>
  <c r="Y40" i="1"/>
  <c r="Y41" i="1" s="1"/>
  <c r="AB40" i="1"/>
  <c r="AC40" i="1"/>
  <c r="AC41" i="1" s="1"/>
  <c r="AD40" i="1"/>
  <c r="AD41" i="1" s="1"/>
  <c r="AH40" i="1"/>
  <c r="AH41" i="1" s="1"/>
  <c r="AI40" i="1"/>
  <c r="AL40" i="1"/>
  <c r="AL41" i="1" s="1"/>
  <c r="AM40" i="1"/>
  <c r="AN40" i="1"/>
  <c r="AN41" i="1" s="1"/>
  <c r="AQ40" i="1"/>
  <c r="AQ41" i="1" s="1"/>
  <c r="AR40" i="1"/>
  <c r="AR41" i="1" s="1"/>
  <c r="AS40" i="1"/>
  <c r="AS41" i="1" s="1"/>
  <c r="AS43" i="1" s="1"/>
  <c r="AW40" i="1"/>
  <c r="AW41" i="1" s="1"/>
  <c r="AX40" i="1"/>
  <c r="AX41" i="1" s="1"/>
  <c r="BB40" i="1"/>
  <c r="BC40" i="1"/>
  <c r="BS45" i="1"/>
  <c r="BX45" i="1"/>
  <c r="AU46" i="1"/>
  <c r="AZ47" i="1"/>
  <c r="BE47" i="1"/>
  <c r="BJ47" i="1"/>
  <c r="BO47" i="1"/>
  <c r="BT47" i="1"/>
  <c r="AC55" i="1"/>
  <c r="AC56" i="1" s="1"/>
  <c r="AJ55" i="1"/>
  <c r="C60" i="1"/>
  <c r="D60" i="1"/>
  <c r="E60" i="1"/>
  <c r="F60" i="1"/>
  <c r="G60" i="1"/>
  <c r="H60" i="1"/>
  <c r="I60" i="1"/>
  <c r="J60" i="1"/>
  <c r="K60" i="1"/>
  <c r="K219" i="1" s="1"/>
  <c r="L60" i="1"/>
  <c r="M60" i="1"/>
  <c r="M219" i="1" s="1"/>
  <c r="N60" i="1"/>
  <c r="O60" i="1"/>
  <c r="P60" i="1"/>
  <c r="Q60" i="1"/>
  <c r="Q219" i="1" s="1"/>
  <c r="R60" i="1"/>
  <c r="R219" i="1" s="1"/>
  <c r="S60" i="1"/>
  <c r="S219" i="1" s="1"/>
  <c r="T60" i="1"/>
  <c r="U60" i="1"/>
  <c r="V60" i="1"/>
  <c r="W60" i="1"/>
  <c r="X60" i="1"/>
  <c r="Y60" i="1"/>
  <c r="Z60" i="1"/>
  <c r="AA60" i="1"/>
  <c r="AA219" i="1" s="1"/>
  <c r="AB60" i="1"/>
  <c r="AC60" i="1"/>
  <c r="AD60" i="1"/>
  <c r="AD219" i="1" s="1"/>
  <c r="AE60" i="1"/>
  <c r="AF60" i="1"/>
  <c r="AG60" i="1"/>
  <c r="AG219" i="1" s="1"/>
  <c r="AH60" i="1"/>
  <c r="AH219" i="1" s="1"/>
  <c r="AI60" i="1"/>
  <c r="AI219" i="1" s="1"/>
  <c r="AJ60" i="1"/>
  <c r="AK60" i="1"/>
  <c r="AK219" i="1" s="1"/>
  <c r="AL60" i="1"/>
  <c r="AL219" i="1" s="1"/>
  <c r="AM60" i="1"/>
  <c r="AN60" i="1"/>
  <c r="AO60" i="1"/>
  <c r="AP60" i="1"/>
  <c r="AQ60" i="1"/>
  <c r="AQ219" i="1" s="1"/>
  <c r="AR60" i="1"/>
  <c r="AS60" i="1"/>
  <c r="AS219" i="1" s="1"/>
  <c r="AT60" i="1"/>
  <c r="AT219" i="1" s="1"/>
  <c r="AU60" i="1"/>
  <c r="AU219" i="1" s="1"/>
  <c r="AV60" i="1"/>
  <c r="AZ60" i="1"/>
  <c r="AZ219" i="1" s="1"/>
  <c r="BA60" i="1"/>
  <c r="BE60" i="1"/>
  <c r="BF60" i="1"/>
  <c r="BJ60" i="1"/>
  <c r="BK60" i="1"/>
  <c r="BO60" i="1"/>
  <c r="BO219" i="1" s="1"/>
  <c r="BP60" i="1"/>
  <c r="BT60" i="1"/>
  <c r="BT219" i="1" s="1"/>
  <c r="BU60" i="1"/>
  <c r="BY60" i="1"/>
  <c r="BZ60" i="1"/>
  <c r="CD60" i="1"/>
  <c r="G66" i="1"/>
  <c r="L66" i="1"/>
  <c r="Q66" i="1"/>
  <c r="V66" i="1"/>
  <c r="AA66" i="1"/>
  <c r="AF66" i="1"/>
  <c r="AK66" i="1"/>
  <c r="AP66" i="1"/>
  <c r="AU66" i="1"/>
  <c r="AZ66" i="1"/>
  <c r="BE66" i="1"/>
  <c r="BJ66" i="1"/>
  <c r="BO66" i="1"/>
  <c r="BT66" i="1"/>
  <c r="BY66" i="1"/>
  <c r="CD66" i="1"/>
  <c r="G67" i="1"/>
  <c r="L67" i="1"/>
  <c r="Q67" i="1"/>
  <c r="V67" i="1"/>
  <c r="AA67" i="1"/>
  <c r="AF67" i="1"/>
  <c r="AK67" i="1"/>
  <c r="AP67" i="1"/>
  <c r="AU67" i="1"/>
  <c r="AZ67" i="1"/>
  <c r="BE67" i="1"/>
  <c r="BJ67" i="1"/>
  <c r="BO67" i="1"/>
  <c r="BT67" i="1"/>
  <c r="BY67" i="1"/>
  <c r="CD67" i="1"/>
  <c r="CI67" i="1"/>
  <c r="G70" i="1"/>
  <c r="L70" i="1"/>
  <c r="Q70" i="1"/>
  <c r="V70" i="1"/>
  <c r="AA70" i="1"/>
  <c r="AF70" i="1"/>
  <c r="AK70" i="1"/>
  <c r="AP70" i="1"/>
  <c r="AU70" i="1"/>
  <c r="AZ70" i="1"/>
  <c r="BE70" i="1"/>
  <c r="BJ70" i="1"/>
  <c r="BO70" i="1"/>
  <c r="BT70" i="1"/>
  <c r="BY70" i="1"/>
  <c r="CD70" i="1"/>
  <c r="AZ75" i="1"/>
  <c r="BE75" i="1"/>
  <c r="BJ75" i="1"/>
  <c r="BO75" i="1"/>
  <c r="BT75" i="1"/>
  <c r="BY75" i="1"/>
  <c r="CD75" i="1"/>
  <c r="CW75" i="1"/>
  <c r="DB75" i="1" s="1"/>
  <c r="DG75" i="1" s="1"/>
  <c r="DL75" i="1" s="1"/>
  <c r="BY83" i="1"/>
  <c r="CD83" i="1"/>
  <c r="CI83" i="1"/>
  <c r="BY84" i="1"/>
  <c r="CD84" i="1"/>
  <c r="CI84" i="1"/>
  <c r="BT89" i="1"/>
  <c r="CD89" i="1"/>
  <c r="BT90" i="1"/>
  <c r="BT306" i="1" s="1"/>
  <c r="BY90" i="1"/>
  <c r="CD90" i="1"/>
  <c r="BO93" i="1"/>
  <c r="CA93" i="1"/>
  <c r="CA97" i="1" s="1"/>
  <c r="CB93" i="1"/>
  <c r="BN95" i="1"/>
  <c r="BP95" i="1"/>
  <c r="CG95"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s="1"/>
  <c r="BA96" i="1"/>
  <c r="BB96" i="1"/>
  <c r="BC96" i="1"/>
  <c r="BD96" i="1"/>
  <c r="BE96" i="1" s="1"/>
  <c r="BF96" i="1"/>
  <c r="BG96" i="1"/>
  <c r="BH96" i="1"/>
  <c r="BI96" i="1"/>
  <c r="BJ96" i="1" s="1"/>
  <c r="BK96" i="1"/>
  <c r="BL96" i="1"/>
  <c r="BM96" i="1"/>
  <c r="BN96" i="1"/>
  <c r="BO96" i="1" s="1"/>
  <c r="BP93" i="1" s="1"/>
  <c r="BT93" i="1" s="1"/>
  <c r="BP96" i="1"/>
  <c r="BQ93" i="1" s="1"/>
  <c r="BQ96" i="1"/>
  <c r="BR96" i="1"/>
  <c r="BS93" i="1" s="1"/>
  <c r="BS96" i="1"/>
  <c r="BT96" i="1" s="1"/>
  <c r="BU93" i="1" s="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BA97" i="1"/>
  <c r="BB97" i="1"/>
  <c r="BC97" i="1"/>
  <c r="BD97" i="1"/>
  <c r="BF97" i="1"/>
  <c r="BG97" i="1"/>
  <c r="BH97" i="1"/>
  <c r="BI97" i="1"/>
  <c r="BK97" i="1"/>
  <c r="BL97" i="1"/>
  <c r="BM97" i="1"/>
  <c r="BN97" i="1"/>
  <c r="BP97" i="1"/>
  <c r="BQ97" i="1"/>
  <c r="BR97" i="1"/>
  <c r="BU97"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BA99" i="1"/>
  <c r="BB99" i="1"/>
  <c r="BC99" i="1"/>
  <c r="BD99" i="1"/>
  <c r="BF99" i="1"/>
  <c r="BG99" i="1"/>
  <c r="BH99" i="1"/>
  <c r="BI99" i="1"/>
  <c r="BK99" i="1"/>
  <c r="BL99" i="1"/>
  <c r="BM99" i="1"/>
  <c r="BN99" i="1"/>
  <c r="BP99" i="1"/>
  <c r="BQ99" i="1"/>
  <c r="BR99" i="1"/>
  <c r="BS99" i="1"/>
  <c r="BU99" i="1"/>
  <c r="BV99" i="1"/>
  <c r="BW99" i="1"/>
  <c r="BX99" i="1"/>
  <c r="BZ99" i="1"/>
  <c r="CA99" i="1"/>
  <c r="CB99" i="1"/>
  <c r="CC99"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S102" i="1" s="1"/>
  <c r="AT101" i="1"/>
  <c r="AT102" i="1" s="1"/>
  <c r="AU101" i="1"/>
  <c r="AV101" i="1"/>
  <c r="AV102" i="1" s="1"/>
  <c r="AW101" i="1"/>
  <c r="AW102" i="1" s="1"/>
  <c r="AX101" i="1"/>
  <c r="AX102" i="1" s="1"/>
  <c r="AY101" i="1"/>
  <c r="AZ101" i="1"/>
  <c r="BA101" i="1"/>
  <c r="BA102" i="1" s="1"/>
  <c r="BB101" i="1"/>
  <c r="BB102" i="1" s="1"/>
  <c r="BC101" i="1"/>
  <c r="BC102" i="1" s="1"/>
  <c r="BD101" i="1"/>
  <c r="BD102" i="1" s="1"/>
  <c r="BE101" i="1"/>
  <c r="BF101" i="1"/>
  <c r="BG101" i="1"/>
  <c r="BH101" i="1"/>
  <c r="BI101" i="1"/>
  <c r="BJ101" i="1"/>
  <c r="BK101" i="1"/>
  <c r="BL101" i="1"/>
  <c r="BQ101" i="1"/>
  <c r="BR101" i="1" s="1"/>
  <c r="R103" i="1"/>
  <c r="S103" i="1"/>
  <c r="T103" i="1"/>
  <c r="U103" i="1"/>
  <c r="V103" i="1"/>
  <c r="W103" i="1"/>
  <c r="X103" i="1"/>
  <c r="Y103" i="1"/>
  <c r="Z103" i="1"/>
  <c r="AA103" i="1"/>
  <c r="AB103" i="1"/>
  <c r="AC103" i="1"/>
  <c r="AD103" i="1"/>
  <c r="AE103" i="1"/>
  <c r="AF103" i="1"/>
  <c r="AG103" i="1"/>
  <c r="AH103" i="1"/>
  <c r="AI103" i="1"/>
  <c r="AJ103" i="1"/>
  <c r="AK103" i="1"/>
  <c r="AL103" i="1"/>
  <c r="AM103" i="1"/>
  <c r="AN103" i="1"/>
  <c r="AO103" i="1"/>
  <c r="AP103" i="1"/>
  <c r="AQ103" i="1"/>
  <c r="AR103" i="1"/>
  <c r="AS103" i="1"/>
  <c r="AT103" i="1"/>
  <c r="AU103" i="1"/>
  <c r="AV103" i="1"/>
  <c r="BA103" i="1"/>
  <c r="BF103" i="1"/>
  <c r="BK103" i="1"/>
  <c r="BP103" i="1"/>
  <c r="BP102" i="1" s="1"/>
  <c r="BU103" i="1"/>
  <c r="BU102" i="1" s="1"/>
  <c r="BZ103" i="1"/>
  <c r="BZ102" i="1" s="1"/>
  <c r="BP106" i="1"/>
  <c r="BU106" i="1"/>
  <c r="BZ106" i="1"/>
  <c r="C111" i="1"/>
  <c r="C158" i="1" s="1"/>
  <c r="D111" i="1"/>
  <c r="E111" i="1"/>
  <c r="E158" i="1" s="1"/>
  <c r="F111" i="1"/>
  <c r="F158" i="1" s="1"/>
  <c r="G111" i="1"/>
  <c r="G158" i="1" s="1"/>
  <c r="H111" i="1"/>
  <c r="H158" i="1" s="1"/>
  <c r="I111" i="1"/>
  <c r="I158" i="1" s="1"/>
  <c r="J111" i="1"/>
  <c r="J158" i="1" s="1"/>
  <c r="K111" i="1"/>
  <c r="K158" i="1" s="1"/>
  <c r="L111" i="1"/>
  <c r="L158" i="1" s="1"/>
  <c r="M111" i="1"/>
  <c r="M158" i="1" s="1"/>
  <c r="N111" i="1"/>
  <c r="N158" i="1" s="1"/>
  <c r="O111" i="1"/>
  <c r="O158" i="1" s="1"/>
  <c r="P111" i="1"/>
  <c r="Q111" i="1"/>
  <c r="Q158" i="1" s="1"/>
  <c r="R111" i="1"/>
  <c r="R158" i="1" s="1"/>
  <c r="S111" i="1"/>
  <c r="S158" i="1" s="1"/>
  <c r="T111" i="1"/>
  <c r="T158" i="1" s="1"/>
  <c r="U111" i="1"/>
  <c r="U158" i="1" s="1"/>
  <c r="V111" i="1"/>
  <c r="W111" i="1"/>
  <c r="W158" i="1" s="1"/>
  <c r="X111" i="1"/>
  <c r="X158" i="1" s="1"/>
  <c r="Y111" i="1"/>
  <c r="Y158" i="1" s="1"/>
  <c r="Z111" i="1"/>
  <c r="Z158" i="1" s="1"/>
  <c r="AA111" i="1"/>
  <c r="AA158" i="1" s="1"/>
  <c r="AB111" i="1"/>
  <c r="AB158" i="1" s="1"/>
  <c r="AC111" i="1"/>
  <c r="AC158" i="1" s="1"/>
  <c r="AD111" i="1"/>
  <c r="AE111" i="1"/>
  <c r="AF111" i="1"/>
  <c r="AF158" i="1" s="1"/>
  <c r="AG111" i="1"/>
  <c r="AG158" i="1" s="1"/>
  <c r="AH111" i="1"/>
  <c r="AH158" i="1" s="1"/>
  <c r="AI111" i="1"/>
  <c r="AI158" i="1" s="1"/>
  <c r="AJ111" i="1"/>
  <c r="AK111" i="1"/>
  <c r="AK158" i="1" s="1"/>
  <c r="AL111" i="1"/>
  <c r="AM111" i="1"/>
  <c r="AM158" i="1" s="1"/>
  <c r="AN111" i="1"/>
  <c r="AN158" i="1" s="1"/>
  <c r="AO111" i="1"/>
  <c r="AO158" i="1" s="1"/>
  <c r="AP111" i="1"/>
  <c r="AP158" i="1" s="1"/>
  <c r="AQ111" i="1"/>
  <c r="AQ158" i="1" s="1"/>
  <c r="AR111" i="1"/>
  <c r="AR158" i="1" s="1"/>
  <c r="AS111" i="1"/>
  <c r="AS158" i="1" s="1"/>
  <c r="AT111" i="1"/>
  <c r="AT158" i="1" s="1"/>
  <c r="AU111" i="1"/>
  <c r="AU158" i="1" s="1"/>
  <c r="AV111" i="1"/>
  <c r="AV158" i="1" s="1"/>
  <c r="AW111" i="1"/>
  <c r="AW158" i="1" s="1"/>
  <c r="AX111" i="1"/>
  <c r="AX158" i="1" s="1"/>
  <c r="AY111" i="1"/>
  <c r="AY158" i="1" s="1"/>
  <c r="AZ111" i="1"/>
  <c r="AZ158" i="1" s="1"/>
  <c r="BA111" i="1"/>
  <c r="BA158" i="1" s="1"/>
  <c r="BB111" i="1"/>
  <c r="BB158" i="1" s="1"/>
  <c r="BC111" i="1"/>
  <c r="BC158" i="1" s="1"/>
  <c r="BD111" i="1"/>
  <c r="BD158" i="1" s="1"/>
  <c r="BE111" i="1"/>
  <c r="BE158" i="1" s="1"/>
  <c r="BF111" i="1"/>
  <c r="BF158" i="1" s="1"/>
  <c r="BG111" i="1"/>
  <c r="BG158" i="1" s="1"/>
  <c r="BH111" i="1"/>
  <c r="BH158" i="1" s="1"/>
  <c r="BI111" i="1"/>
  <c r="BI158" i="1" s="1"/>
  <c r="BJ111" i="1"/>
  <c r="BJ158" i="1" s="1"/>
  <c r="BK111" i="1"/>
  <c r="BK158" i="1" s="1"/>
  <c r="BL111" i="1"/>
  <c r="BL158" i="1" s="1"/>
  <c r="BM111" i="1"/>
  <c r="BM158" i="1" s="1"/>
  <c r="BN111" i="1"/>
  <c r="BN158" i="1" s="1"/>
  <c r="BO111" i="1"/>
  <c r="BO158" i="1" s="1"/>
  <c r="BP111" i="1"/>
  <c r="BP158" i="1" s="1"/>
  <c r="BQ111" i="1"/>
  <c r="BQ158" i="1" s="1"/>
  <c r="BR111" i="1"/>
  <c r="BR158" i="1" s="1"/>
  <c r="BS111" i="1"/>
  <c r="BT111" i="1"/>
  <c r="BT158" i="1" s="1"/>
  <c r="BU111" i="1"/>
  <c r="BU158" i="1" s="1"/>
  <c r="BV111" i="1"/>
  <c r="BV158" i="1" s="1"/>
  <c r="BW111" i="1"/>
  <c r="BW158" i="1" s="1"/>
  <c r="BX111" i="1"/>
  <c r="BY111" i="1"/>
  <c r="BY158" i="1" s="1"/>
  <c r="BZ111" i="1"/>
  <c r="BZ158" i="1" s="1"/>
  <c r="CA111" i="1"/>
  <c r="CA158" i="1" s="1"/>
  <c r="CB111" i="1"/>
  <c r="CC111" i="1"/>
  <c r="CC158" i="1" s="1"/>
  <c r="CD111" i="1"/>
  <c r="CD158" i="1" s="1"/>
  <c r="CE111" i="1"/>
  <c r="CE158" i="1" s="1"/>
  <c r="CF111" i="1"/>
  <c r="CG111" i="1"/>
  <c r="CH111" i="1"/>
  <c r="CH158" i="1" s="1"/>
  <c r="CI111" i="1"/>
  <c r="CI158" i="1" s="1"/>
  <c r="L114" i="1"/>
  <c r="Q114" i="1"/>
  <c r="V114" i="1"/>
  <c r="AA114" i="1"/>
  <c r="AF114" i="1"/>
  <c r="AK114" i="1"/>
  <c r="AP114" i="1"/>
  <c r="AU114" i="1"/>
  <c r="AZ114" i="1"/>
  <c r="BE114" i="1"/>
  <c r="BJ114" i="1"/>
  <c r="BO114" i="1"/>
  <c r="L115" i="1"/>
  <c r="Q115" i="1"/>
  <c r="V115" i="1"/>
  <c r="AA115" i="1"/>
  <c r="AF115" i="1"/>
  <c r="AK115" i="1"/>
  <c r="AP115" i="1"/>
  <c r="AU115" i="1"/>
  <c r="AZ115" i="1"/>
  <c r="BE115" i="1"/>
  <c r="BJ115" i="1"/>
  <c r="BO115" i="1"/>
  <c r="BT115" i="1"/>
  <c r="BY115" i="1"/>
  <c r="CD307" i="1" s="1"/>
  <c r="CD115" i="1"/>
  <c r="L116" i="1"/>
  <c r="Q116" i="1"/>
  <c r="V116" i="1"/>
  <c r="AA116" i="1"/>
  <c r="AF116" i="1"/>
  <c r="AK116" i="1"/>
  <c r="AP116" i="1"/>
  <c r="AU116" i="1"/>
  <c r="AZ116" i="1"/>
  <c r="BE116" i="1"/>
  <c r="BJ116" i="1"/>
  <c r="BO116" i="1"/>
  <c r="BT116" i="1"/>
  <c r="BY116" i="1"/>
  <c r="CD116" i="1"/>
  <c r="L117" i="1"/>
  <c r="Q117" i="1"/>
  <c r="V117" i="1"/>
  <c r="AA117" i="1"/>
  <c r="AF117" i="1"/>
  <c r="AK117" i="1"/>
  <c r="AP117" i="1"/>
  <c r="AU117" i="1"/>
  <c r="AY117" i="1"/>
  <c r="AZ117" i="1" s="1"/>
  <c r="BE117" i="1"/>
  <c r="BJ117" i="1"/>
  <c r="BO117" i="1"/>
  <c r="BT117" i="1"/>
  <c r="BY117" i="1"/>
  <c r="CD117" i="1"/>
  <c r="L118" i="1"/>
  <c r="Q118" i="1"/>
  <c r="V118" i="1"/>
  <c r="AA210" i="1" s="1"/>
  <c r="AA246" i="1" s="1"/>
  <c r="AA118" i="1"/>
  <c r="AF209" i="1" s="1"/>
  <c r="AF118" i="1"/>
  <c r="AK118" i="1"/>
  <c r="AP118" i="1"/>
  <c r="AU118" i="1"/>
  <c r="AZ209" i="1" s="1"/>
  <c r="AZ118" i="1"/>
  <c r="BE118" i="1"/>
  <c r="BJ209" i="1" s="1"/>
  <c r="BJ118" i="1"/>
  <c r="BO210" i="1" s="1"/>
  <c r="BO246" i="1" s="1"/>
  <c r="BO118" i="1"/>
  <c r="BT118" i="1"/>
  <c r="BY118" i="1"/>
  <c r="CD118" i="1"/>
  <c r="L119" i="1"/>
  <c r="Q211" i="1" s="1"/>
  <c r="Q119" i="1"/>
  <c r="V119" i="1"/>
  <c r="AA119" i="1"/>
  <c r="AF211" i="1" s="1"/>
  <c r="AF119" i="1"/>
  <c r="AK211" i="1" s="1"/>
  <c r="AK119" i="1"/>
  <c r="AP119" i="1"/>
  <c r="AU119" i="1"/>
  <c r="AZ212" i="1" s="1"/>
  <c r="AZ245" i="1" s="1"/>
  <c r="AZ119" i="1"/>
  <c r="BE119" i="1"/>
  <c r="BJ119" i="1"/>
  <c r="BO119" i="1"/>
  <c r="BT211" i="1" s="1"/>
  <c r="BT119" i="1"/>
  <c r="BY212" i="1" s="1"/>
  <c r="BY245" i="1" s="1"/>
  <c r="BY119" i="1"/>
  <c r="CD119" i="1"/>
  <c r="L120" i="1"/>
  <c r="Q120" i="1"/>
  <c r="V120" i="1"/>
  <c r="AA120" i="1"/>
  <c r="AF120" i="1"/>
  <c r="AK120" i="1"/>
  <c r="AP120" i="1"/>
  <c r="AU120" i="1"/>
  <c r="AZ120" i="1"/>
  <c r="BC120" i="1"/>
  <c r="BC121" i="1" s="1"/>
  <c r="BC130" i="1" s="1"/>
  <c r="BE120" i="1"/>
  <c r="BJ120" i="1"/>
  <c r="BN120" i="1"/>
  <c r="BP120" i="1"/>
  <c r="BQ120" i="1"/>
  <c r="BQ121" i="1" s="1"/>
  <c r="BT120" i="1"/>
  <c r="BW120" i="1"/>
  <c r="BW121" i="1" s="1"/>
  <c r="BX120" i="1"/>
  <c r="BY120" i="1" s="1"/>
  <c r="BZ120" i="1"/>
  <c r="CA120" i="1"/>
  <c r="CB120" i="1"/>
  <c r="CC120" i="1"/>
  <c r="H121" i="1"/>
  <c r="H130" i="1" s="1"/>
  <c r="H236" i="1" s="1"/>
  <c r="I121" i="1"/>
  <c r="I130" i="1" s="1"/>
  <c r="I236" i="1" s="1"/>
  <c r="J121" i="1"/>
  <c r="J130" i="1" s="1"/>
  <c r="K121" i="1"/>
  <c r="K130" i="1" s="1"/>
  <c r="M121" i="1"/>
  <c r="N121" i="1"/>
  <c r="N130" i="1" s="1"/>
  <c r="N236" i="1" s="1"/>
  <c r="O121" i="1"/>
  <c r="O130" i="1" s="1"/>
  <c r="P121" i="1"/>
  <c r="P130" i="1" s="1"/>
  <c r="P236" i="1" s="1"/>
  <c r="R121" i="1"/>
  <c r="R130" i="1" s="1"/>
  <c r="R236" i="1" s="1"/>
  <c r="S121" i="1"/>
  <c r="S130" i="1" s="1"/>
  <c r="S236" i="1" s="1"/>
  <c r="T121" i="1"/>
  <c r="T130" i="1" s="1"/>
  <c r="U121" i="1"/>
  <c r="U130" i="1" s="1"/>
  <c r="U236" i="1" s="1"/>
  <c r="W121" i="1"/>
  <c r="W130" i="1" s="1"/>
  <c r="W236" i="1" s="1"/>
  <c r="X121" i="1"/>
  <c r="X130" i="1" s="1"/>
  <c r="Y121" i="1"/>
  <c r="Y130" i="1" s="1"/>
  <c r="Y236" i="1" s="1"/>
  <c r="Z121" i="1"/>
  <c r="Z130" i="1" s="1"/>
  <c r="AB121" i="1"/>
  <c r="AB130" i="1" s="1"/>
  <c r="AC121" i="1"/>
  <c r="AC130" i="1" s="1"/>
  <c r="AC236" i="1" s="1"/>
  <c r="AD121" i="1"/>
  <c r="AD130" i="1" s="1"/>
  <c r="AD236" i="1" s="1"/>
  <c r="AE121" i="1"/>
  <c r="AE130" i="1" s="1"/>
  <c r="AE236" i="1" s="1"/>
  <c r="AG121" i="1"/>
  <c r="AG130" i="1" s="1"/>
  <c r="AG236" i="1" s="1"/>
  <c r="AH121" i="1"/>
  <c r="AH130" i="1" s="1"/>
  <c r="AH236" i="1" s="1"/>
  <c r="AI121" i="1"/>
  <c r="AI130" i="1" s="1"/>
  <c r="AI236" i="1" s="1"/>
  <c r="AJ121" i="1"/>
  <c r="AJ130" i="1" s="1"/>
  <c r="AJ236" i="1" s="1"/>
  <c r="AL121" i="1"/>
  <c r="AL130" i="1" s="1"/>
  <c r="AM121" i="1"/>
  <c r="AM130" i="1" s="1"/>
  <c r="AN121" i="1"/>
  <c r="AN130" i="1" s="1"/>
  <c r="AN236" i="1" s="1"/>
  <c r="AO121" i="1"/>
  <c r="AO130" i="1" s="1"/>
  <c r="AQ121" i="1"/>
  <c r="AQ130" i="1" s="1"/>
  <c r="AR121" i="1"/>
  <c r="AR130" i="1" s="1"/>
  <c r="AR236" i="1" s="1"/>
  <c r="AS121" i="1"/>
  <c r="AS130" i="1" s="1"/>
  <c r="AS236" i="1" s="1"/>
  <c r="AT121" i="1"/>
  <c r="AT130" i="1" s="1"/>
  <c r="AT236" i="1" s="1"/>
  <c r="AV121" i="1"/>
  <c r="AV130" i="1" s="1"/>
  <c r="AW121" i="1"/>
  <c r="AW130" i="1" s="1"/>
  <c r="AW236" i="1" s="1"/>
  <c r="AX121" i="1"/>
  <c r="AX130" i="1" s="1"/>
  <c r="AX236" i="1" s="1"/>
  <c r="BA121" i="1"/>
  <c r="BA130" i="1" s="1"/>
  <c r="BA236" i="1" s="1"/>
  <c r="BB121" i="1"/>
  <c r="BB130" i="1" s="1"/>
  <c r="BB236" i="1" s="1"/>
  <c r="BD121" i="1"/>
  <c r="BF121" i="1"/>
  <c r="BG121" i="1"/>
  <c r="BH121" i="1"/>
  <c r="BI121" i="1"/>
  <c r="BK121" i="1"/>
  <c r="BL121" i="1"/>
  <c r="BM121" i="1"/>
  <c r="BR121" i="1"/>
  <c r="BS121" i="1"/>
  <c r="BU121" i="1"/>
  <c r="BV121" i="1"/>
  <c r="L123" i="1"/>
  <c r="Q123" i="1"/>
  <c r="V123" i="1"/>
  <c r="AA123" i="1"/>
  <c r="AF123" i="1"/>
  <c r="AK123" i="1"/>
  <c r="AP123" i="1"/>
  <c r="AU123" i="1"/>
  <c r="AZ123" i="1"/>
  <c r="BE123" i="1"/>
  <c r="BJ123" i="1"/>
  <c r="BO123" i="1"/>
  <c r="BT123" i="1"/>
  <c r="BY123" i="1"/>
  <c r="CD123" i="1"/>
  <c r="L124" i="1"/>
  <c r="Q124" i="1"/>
  <c r="V124" i="1"/>
  <c r="AA124" i="1"/>
  <c r="AF124" i="1"/>
  <c r="AK124" i="1"/>
  <c r="AP124" i="1"/>
  <c r="AU124" i="1"/>
  <c r="AZ124" i="1"/>
  <c r="BE124" i="1"/>
  <c r="BJ124" i="1"/>
  <c r="BO124" i="1"/>
  <c r="BT124" i="1"/>
  <c r="BY124" i="1"/>
  <c r="CD124" i="1"/>
  <c r="L125" i="1"/>
  <c r="Q214" i="1" s="1"/>
  <c r="Q125" i="1"/>
  <c r="V125" i="1"/>
  <c r="AA214" i="1" s="1"/>
  <c r="AA125" i="1"/>
  <c r="AF125" i="1"/>
  <c r="AK125" i="1"/>
  <c r="AP125" i="1"/>
  <c r="AU214" i="1" s="1"/>
  <c r="AU125" i="1"/>
  <c r="AZ125" i="1"/>
  <c r="BE125" i="1"/>
  <c r="BJ125" i="1"/>
  <c r="BO214" i="1" s="1"/>
  <c r="BO125" i="1"/>
  <c r="BT214" i="1" s="1"/>
  <c r="BT125" i="1"/>
  <c r="BY125" i="1"/>
  <c r="CD125" i="1"/>
  <c r="L126" i="1"/>
  <c r="Q218" i="1" s="1"/>
  <c r="Q126" i="1"/>
  <c r="R217" i="1" s="1"/>
  <c r="V126" i="1"/>
  <c r="AA218" i="1" s="1"/>
  <c r="AA126" i="1"/>
  <c r="AB217" i="1" s="1"/>
  <c r="AF126" i="1"/>
  <c r="AK126" i="1"/>
  <c r="AL217" i="1" s="1"/>
  <c r="AP126" i="1"/>
  <c r="AU218" i="1" s="1"/>
  <c r="AU126" i="1"/>
  <c r="AV217" i="1" s="1"/>
  <c r="AZ126" i="1"/>
  <c r="BE217" i="1" s="1"/>
  <c r="BE126" i="1"/>
  <c r="BJ126" i="1"/>
  <c r="BO126" i="1"/>
  <c r="BP217" i="1" s="1"/>
  <c r="BT126" i="1"/>
  <c r="BY217" i="1" s="1"/>
  <c r="BY126" i="1"/>
  <c r="CD126" i="1"/>
  <c r="CE217" i="1" s="1"/>
  <c r="L127" i="1"/>
  <c r="Q127" i="1"/>
  <c r="V127" i="1"/>
  <c r="AA127" i="1"/>
  <c r="AF127" i="1"/>
  <c r="AK127" i="1"/>
  <c r="AP127" i="1"/>
  <c r="AU127" i="1"/>
  <c r="AZ127" i="1"/>
  <c r="BE127" i="1"/>
  <c r="BJ127" i="1"/>
  <c r="BO127" i="1"/>
  <c r="BT127" i="1"/>
  <c r="BY127" i="1"/>
  <c r="CD127" i="1"/>
  <c r="L128" i="1"/>
  <c r="Q128" i="1"/>
  <c r="V128" i="1"/>
  <c r="AA128" i="1"/>
  <c r="AF128" i="1"/>
  <c r="AK128" i="1"/>
  <c r="AP128" i="1"/>
  <c r="AU128" i="1"/>
  <c r="AZ128" i="1"/>
  <c r="BE128" i="1"/>
  <c r="BJ128" i="1"/>
  <c r="BO128" i="1"/>
  <c r="BT128" i="1"/>
  <c r="BY128" i="1"/>
  <c r="CB128" i="1"/>
  <c r="CD128" i="1"/>
  <c r="L129" i="1"/>
  <c r="Q129" i="1"/>
  <c r="V129" i="1"/>
  <c r="AA129" i="1"/>
  <c r="AF129" i="1"/>
  <c r="AK129" i="1"/>
  <c r="AP129" i="1"/>
  <c r="AU129" i="1"/>
  <c r="AZ129" i="1"/>
  <c r="BD129" i="1"/>
  <c r="BE129" i="1" s="1"/>
  <c r="BF129" i="1"/>
  <c r="BG129" i="1"/>
  <c r="BH129" i="1"/>
  <c r="BI129" i="1"/>
  <c r="BK129" i="1"/>
  <c r="BL129" i="1"/>
  <c r="BM129" i="1"/>
  <c r="BM130" i="1" s="1"/>
  <c r="BM236" i="1" s="1"/>
  <c r="BN129" i="1"/>
  <c r="BO129" i="1" s="1"/>
  <c r="BP129" i="1"/>
  <c r="BQ129" i="1"/>
  <c r="BR129" i="1"/>
  <c r="BS129" i="1"/>
  <c r="BU129" i="1"/>
  <c r="BV129" i="1"/>
  <c r="BW129" i="1"/>
  <c r="BX129" i="1"/>
  <c r="BY129" i="1" s="1"/>
  <c r="BZ129" i="1"/>
  <c r="CA129" i="1"/>
  <c r="CB129" i="1"/>
  <c r="CC129" i="1"/>
  <c r="M130" i="1"/>
  <c r="L133" i="1"/>
  <c r="Q133" i="1"/>
  <c r="V133" i="1"/>
  <c r="AA133" i="1"/>
  <c r="AF133" i="1"/>
  <c r="AK133" i="1"/>
  <c r="AP133" i="1"/>
  <c r="AU133" i="1"/>
  <c r="AZ133" i="1"/>
  <c r="BE133" i="1"/>
  <c r="BJ133" i="1"/>
  <c r="L134" i="1"/>
  <c r="Q220" i="1" s="1"/>
  <c r="Q134" i="1"/>
  <c r="V134" i="1"/>
  <c r="AA134" i="1"/>
  <c r="AF134" i="1"/>
  <c r="AK220" i="1" s="1"/>
  <c r="AK134" i="1"/>
  <c r="AP134" i="1"/>
  <c r="AU134" i="1"/>
  <c r="AZ134" i="1"/>
  <c r="BC134" i="1"/>
  <c r="BE134" i="1"/>
  <c r="BJ220" i="1" s="1"/>
  <c r="BJ134" i="1"/>
  <c r="BN134" i="1"/>
  <c r="BP134" i="1"/>
  <c r="BP138" i="1" s="1"/>
  <c r="BP143" i="1" s="1"/>
  <c r="BQ134" i="1"/>
  <c r="BT134" i="1"/>
  <c r="BY134" i="1"/>
  <c r="L135" i="1"/>
  <c r="Q135" i="1"/>
  <c r="V135" i="1"/>
  <c r="AA135" i="1"/>
  <c r="AF135" i="1"/>
  <c r="AK135" i="1"/>
  <c r="AP135" i="1"/>
  <c r="AU135" i="1"/>
  <c r="AZ135" i="1"/>
  <c r="BE135" i="1"/>
  <c r="BJ135" i="1"/>
  <c r="BO135" i="1"/>
  <c r="BT135" i="1"/>
  <c r="BY135" i="1"/>
  <c r="CD135" i="1"/>
  <c r="L136" i="1"/>
  <c r="Q136" i="1"/>
  <c r="V136" i="1"/>
  <c r="AA136" i="1"/>
  <c r="AF136" i="1"/>
  <c r="AK136" i="1"/>
  <c r="AP136" i="1"/>
  <c r="AU136" i="1"/>
  <c r="AZ136" i="1"/>
  <c r="BE136" i="1"/>
  <c r="BJ136" i="1"/>
  <c r="BO136" i="1"/>
  <c r="BT136" i="1"/>
  <c r="BY136" i="1"/>
  <c r="CD136" i="1"/>
  <c r="L137" i="1"/>
  <c r="Q222" i="1" s="1"/>
  <c r="Q137" i="1"/>
  <c r="V137" i="1"/>
  <c r="AA137" i="1"/>
  <c r="AF137" i="1"/>
  <c r="AK222" i="1" s="1"/>
  <c r="AK137" i="1"/>
  <c r="AP137" i="1"/>
  <c r="AU137" i="1"/>
  <c r="AZ137" i="1"/>
  <c r="BC137" i="1"/>
  <c r="BE137" i="1"/>
  <c r="BJ137" i="1"/>
  <c r="BO137" i="1"/>
  <c r="BQ137" i="1"/>
  <c r="BT137" i="1"/>
  <c r="BW138" i="1"/>
  <c r="BW143" i="1" s="1"/>
  <c r="CD137" i="1"/>
  <c r="H138" i="1"/>
  <c r="H143" i="1" s="1"/>
  <c r="I138" i="1"/>
  <c r="I143" i="1" s="1"/>
  <c r="J138" i="1"/>
  <c r="J143" i="1" s="1"/>
  <c r="K138" i="1"/>
  <c r="K143" i="1" s="1"/>
  <c r="M138" i="1"/>
  <c r="M143" i="1" s="1"/>
  <c r="N138" i="1"/>
  <c r="N143" i="1" s="1"/>
  <c r="O138" i="1"/>
  <c r="O143" i="1" s="1"/>
  <c r="P138" i="1"/>
  <c r="P143" i="1" s="1"/>
  <c r="R138" i="1"/>
  <c r="R143" i="1" s="1"/>
  <c r="S138" i="1"/>
  <c r="S143" i="1" s="1"/>
  <c r="T138" i="1"/>
  <c r="T143" i="1" s="1"/>
  <c r="U138" i="1"/>
  <c r="U143" i="1" s="1"/>
  <c r="W138" i="1"/>
  <c r="W143" i="1" s="1"/>
  <c r="X138" i="1"/>
  <c r="X143" i="1" s="1"/>
  <c r="Y138" i="1"/>
  <c r="Y143" i="1" s="1"/>
  <c r="Z138" i="1"/>
  <c r="Z143" i="1" s="1"/>
  <c r="AB138" i="1"/>
  <c r="AB143" i="1" s="1"/>
  <c r="AC138" i="1"/>
  <c r="AC143" i="1" s="1"/>
  <c r="AD138" i="1"/>
  <c r="AD143" i="1" s="1"/>
  <c r="AE138" i="1"/>
  <c r="AE143" i="1" s="1"/>
  <c r="AG138" i="1"/>
  <c r="AG143" i="1" s="1"/>
  <c r="AH138" i="1"/>
  <c r="AH143" i="1" s="1"/>
  <c r="AI138" i="1"/>
  <c r="AI143" i="1" s="1"/>
  <c r="AJ138" i="1"/>
  <c r="AJ143" i="1" s="1"/>
  <c r="AL138" i="1"/>
  <c r="AL143" i="1" s="1"/>
  <c r="AM138" i="1"/>
  <c r="AM143" i="1" s="1"/>
  <c r="AN138" i="1"/>
  <c r="AN143" i="1" s="1"/>
  <c r="AO138" i="1"/>
  <c r="AO143" i="1" s="1"/>
  <c r="AQ138" i="1"/>
  <c r="AQ143" i="1" s="1"/>
  <c r="AR138" i="1"/>
  <c r="AR143" i="1" s="1"/>
  <c r="AS138" i="1"/>
  <c r="AS143" i="1" s="1"/>
  <c r="AT138" i="1"/>
  <c r="AT143" i="1" s="1"/>
  <c r="AV138" i="1"/>
  <c r="AV143" i="1" s="1"/>
  <c r="AW138" i="1"/>
  <c r="AW143" i="1" s="1"/>
  <c r="AX138" i="1"/>
  <c r="AX143" i="1" s="1"/>
  <c r="AY138" i="1"/>
  <c r="AY143" i="1" s="1"/>
  <c r="BA138" i="1"/>
  <c r="BA143" i="1" s="1"/>
  <c r="BB138" i="1"/>
  <c r="BB143" i="1" s="1"/>
  <c r="BD138" i="1"/>
  <c r="BD143" i="1" s="1"/>
  <c r="BF138" i="1"/>
  <c r="BF143" i="1" s="1"/>
  <c r="BG138" i="1"/>
  <c r="BG143" i="1" s="1"/>
  <c r="BH138" i="1"/>
  <c r="BH143" i="1" s="1"/>
  <c r="BI138" i="1"/>
  <c r="BI143" i="1" s="1"/>
  <c r="BK138" i="1"/>
  <c r="BK143" i="1" s="1"/>
  <c r="BL138" i="1"/>
  <c r="BL143" i="1" s="1"/>
  <c r="BM138" i="1"/>
  <c r="BM143" i="1" s="1"/>
  <c r="BR138" i="1"/>
  <c r="BR143" i="1" s="1"/>
  <c r="BS138" i="1"/>
  <c r="BS143" i="1" s="1"/>
  <c r="BU138" i="1"/>
  <c r="BU143" i="1" s="1"/>
  <c r="BV138" i="1"/>
  <c r="BV143" i="1" s="1"/>
  <c r="L140" i="1"/>
  <c r="Q140" i="1"/>
  <c r="V140" i="1"/>
  <c r="V229" i="1" s="1"/>
  <c r="AA140" i="1"/>
  <c r="AF140" i="1"/>
  <c r="AK140" i="1"/>
  <c r="AP140" i="1"/>
  <c r="AU140" i="1"/>
  <c r="AZ140" i="1"/>
  <c r="BE140" i="1"/>
  <c r="BJ140" i="1"/>
  <c r="BO140" i="1"/>
  <c r="BT140" i="1"/>
  <c r="BY140" i="1"/>
  <c r="CD140" i="1"/>
  <c r="L141" i="1"/>
  <c r="Q141" i="1"/>
  <c r="V141" i="1"/>
  <c r="V223" i="1" s="1"/>
  <c r="AA141" i="1"/>
  <c r="AA223" i="1" s="1"/>
  <c r="AF141" i="1"/>
  <c r="AK141" i="1"/>
  <c r="AP141" i="1"/>
  <c r="AU141" i="1"/>
  <c r="AZ141" i="1"/>
  <c r="BE141" i="1"/>
  <c r="BJ141" i="1"/>
  <c r="BO141" i="1"/>
  <c r="BT141" i="1"/>
  <c r="BT223" i="1" s="1"/>
  <c r="BY141" i="1"/>
  <c r="CD141" i="1"/>
  <c r="L142" i="1"/>
  <c r="Q142" i="1"/>
  <c r="V142" i="1"/>
  <c r="AA142" i="1"/>
  <c r="AF142" i="1"/>
  <c r="AK142" i="1"/>
  <c r="AP142" i="1"/>
  <c r="AU142" i="1"/>
  <c r="AZ142" i="1"/>
  <c r="BE142" i="1"/>
  <c r="BJ142" i="1"/>
  <c r="BO142" i="1"/>
  <c r="BT142" i="1"/>
  <c r="BY142" i="1"/>
  <c r="CD224" i="1" s="1"/>
  <c r="CD142" i="1"/>
  <c r="L146" i="1"/>
  <c r="Q146" i="1"/>
  <c r="V146" i="1"/>
  <c r="AA146" i="1"/>
  <c r="AF146" i="1"/>
  <c r="AK146" i="1"/>
  <c r="AP146" i="1"/>
  <c r="AU146" i="1"/>
  <c r="AZ146" i="1"/>
  <c r="BE146" i="1"/>
  <c r="BI146" i="1"/>
  <c r="BJ146" i="1" s="1"/>
  <c r="BO146" i="1"/>
  <c r="BT146" i="1"/>
  <c r="BY146" i="1"/>
  <c r="CD146" i="1"/>
  <c r="L147" i="1"/>
  <c r="Q147" i="1"/>
  <c r="V147" i="1"/>
  <c r="AA147" i="1"/>
  <c r="AF147" i="1"/>
  <c r="AK147" i="1"/>
  <c r="AP147" i="1"/>
  <c r="AU147" i="1"/>
  <c r="AZ147" i="1"/>
  <c r="BE147" i="1"/>
  <c r="BJ147" i="1"/>
  <c r="BO147" i="1"/>
  <c r="BT147" i="1"/>
  <c r="BY147" i="1"/>
  <c r="CD147" i="1"/>
  <c r="L148" i="1"/>
  <c r="Q148" i="1"/>
  <c r="V148" i="1"/>
  <c r="AA148" i="1"/>
  <c r="AF148" i="1"/>
  <c r="AK148" i="1"/>
  <c r="AP148" i="1"/>
  <c r="AU148" i="1"/>
  <c r="AZ148" i="1"/>
  <c r="BE148" i="1"/>
  <c r="BJ148" i="1"/>
  <c r="BO148" i="1"/>
  <c r="BT148" i="1"/>
  <c r="BY148" i="1"/>
  <c r="CD148" i="1"/>
  <c r="L149" i="1"/>
  <c r="Q149" i="1"/>
  <c r="V149" i="1"/>
  <c r="AA149" i="1"/>
  <c r="AF149" i="1"/>
  <c r="AK149" i="1"/>
  <c r="AP149" i="1"/>
  <c r="AU149" i="1"/>
  <c r="AZ149" i="1"/>
  <c r="BE149" i="1"/>
  <c r="BJ149" i="1"/>
  <c r="BO149" i="1"/>
  <c r="BT149" i="1"/>
  <c r="BY149" i="1"/>
  <c r="CD149" i="1"/>
  <c r="L150" i="1"/>
  <c r="Q150" i="1"/>
  <c r="V150" i="1"/>
  <c r="AA150" i="1"/>
  <c r="AF150" i="1"/>
  <c r="AK150" i="1"/>
  <c r="AP150" i="1"/>
  <c r="AU150" i="1"/>
  <c r="AZ150" i="1"/>
  <c r="BE150" i="1"/>
  <c r="BJ150" i="1"/>
  <c r="BO150" i="1"/>
  <c r="BT150" i="1"/>
  <c r="BY150" i="1"/>
  <c r="CD150" i="1"/>
  <c r="L151" i="1"/>
  <c r="Q151" i="1"/>
  <c r="V151" i="1"/>
  <c r="AA151" i="1"/>
  <c r="AF151" i="1"/>
  <c r="AK151" i="1"/>
  <c r="AP151" i="1"/>
  <c r="AU151" i="1"/>
  <c r="AZ151" i="1"/>
  <c r="BE151" i="1"/>
  <c r="BJ151" i="1"/>
  <c r="BO151" i="1"/>
  <c r="BT151" i="1"/>
  <c r="BY151" i="1"/>
  <c r="CD151" i="1"/>
  <c r="H152" i="1"/>
  <c r="I152" i="1"/>
  <c r="J152" i="1"/>
  <c r="K152" i="1"/>
  <c r="M152" i="1"/>
  <c r="N152" i="1"/>
  <c r="O152" i="1"/>
  <c r="P152" i="1"/>
  <c r="R152" i="1"/>
  <c r="S152" i="1"/>
  <c r="T152" i="1"/>
  <c r="U152" i="1"/>
  <c r="W152" i="1"/>
  <c r="X152" i="1"/>
  <c r="Y152" i="1"/>
  <c r="Z152" i="1"/>
  <c r="AB152" i="1"/>
  <c r="AC152" i="1"/>
  <c r="AD152" i="1"/>
  <c r="AE152" i="1"/>
  <c r="AG152" i="1"/>
  <c r="AH152" i="1"/>
  <c r="AI152" i="1"/>
  <c r="AJ152" i="1"/>
  <c r="AL152" i="1"/>
  <c r="AM152" i="1"/>
  <c r="AN152" i="1"/>
  <c r="AO152" i="1"/>
  <c r="AQ152" i="1"/>
  <c r="AR152" i="1"/>
  <c r="AS152" i="1"/>
  <c r="AT152" i="1"/>
  <c r="AV152" i="1"/>
  <c r="AW152" i="1"/>
  <c r="AX152" i="1"/>
  <c r="AY152" i="1"/>
  <c r="BA152" i="1"/>
  <c r="BB152" i="1"/>
  <c r="BC152" i="1"/>
  <c r="BD152" i="1"/>
  <c r="BF152" i="1"/>
  <c r="BG152" i="1"/>
  <c r="BH152" i="1"/>
  <c r="BK152" i="1"/>
  <c r="BL152" i="1"/>
  <c r="BM152" i="1"/>
  <c r="BN152" i="1"/>
  <c r="BP152" i="1"/>
  <c r="BQ152" i="1"/>
  <c r="BR152" i="1"/>
  <c r="BS152" i="1"/>
  <c r="BU152" i="1"/>
  <c r="BV152" i="1"/>
  <c r="BW152" i="1"/>
  <c r="BX152" i="1"/>
  <c r="BZ152" i="1"/>
  <c r="CA152" i="1"/>
  <c r="CB152" i="1"/>
  <c r="CC152" i="1"/>
  <c r="D158" i="1"/>
  <c r="P158" i="1"/>
  <c r="V158" i="1"/>
  <c r="AD158" i="1"/>
  <c r="AE158" i="1"/>
  <c r="AJ158" i="1"/>
  <c r="AL158" i="1"/>
  <c r="BS158" i="1"/>
  <c r="BX158" i="1"/>
  <c r="CB158" i="1"/>
  <c r="CF158" i="1"/>
  <c r="AW161" i="1"/>
  <c r="AX161" i="1" s="1"/>
  <c r="BB161" i="1"/>
  <c r="BC161" i="1" s="1"/>
  <c r="BG161" i="1"/>
  <c r="BH161" i="1" s="1"/>
  <c r="BL161" i="1"/>
  <c r="BM161" i="1" s="1"/>
  <c r="BN161" i="1" s="1"/>
  <c r="BQ161" i="1"/>
  <c r="BV161" i="1"/>
  <c r="BW161" i="1" s="1"/>
  <c r="CA161" i="1"/>
  <c r="CB161" i="1" s="1"/>
  <c r="AW162" i="1"/>
  <c r="AW217" i="1" s="1"/>
  <c r="BB162" i="1"/>
  <c r="BB218" i="1" s="1"/>
  <c r="BG162" i="1"/>
  <c r="BL162" i="1"/>
  <c r="BL60" i="1" s="1"/>
  <c r="BL219" i="1" s="1"/>
  <c r="BQ162" i="1"/>
  <c r="BQ217" i="1" s="1"/>
  <c r="BV162" i="1"/>
  <c r="BV218" i="1" s="1"/>
  <c r="CA162" i="1"/>
  <c r="CA60" i="1" s="1"/>
  <c r="AW163" i="1"/>
  <c r="AX163" i="1" s="1"/>
  <c r="AY163" i="1" s="1"/>
  <c r="BB163" i="1"/>
  <c r="BC163" i="1" s="1"/>
  <c r="BG163" i="1"/>
  <c r="BH163" i="1" s="1"/>
  <c r="BI163" i="1" s="1"/>
  <c r="BL163" i="1"/>
  <c r="BQ163" i="1"/>
  <c r="BR163" i="1" s="1"/>
  <c r="BS163" i="1" s="1"/>
  <c r="BV163" i="1"/>
  <c r="BW163" i="1" s="1"/>
  <c r="BX163" i="1" s="1"/>
  <c r="CA163" i="1"/>
  <c r="CB163" i="1" s="1"/>
  <c r="AW164" i="1"/>
  <c r="AX164" i="1" s="1"/>
  <c r="AY164" i="1" s="1"/>
  <c r="BB164" i="1"/>
  <c r="BC164" i="1" s="1"/>
  <c r="BD164" i="1" s="1"/>
  <c r="BG164" i="1"/>
  <c r="BH164" i="1" s="1"/>
  <c r="BL164" i="1"/>
  <c r="BM164" i="1" s="1"/>
  <c r="BN164" i="1" s="1"/>
  <c r="BQ164" i="1"/>
  <c r="BV164" i="1"/>
  <c r="BW164" i="1" s="1"/>
  <c r="BX164" i="1" s="1"/>
  <c r="CA164" i="1"/>
  <c r="CB164" i="1" s="1"/>
  <c r="CC164" i="1" s="1"/>
  <c r="AW165" i="1"/>
  <c r="AX165" i="1" s="1"/>
  <c r="AY165" i="1" s="1"/>
  <c r="BB165" i="1"/>
  <c r="BG165" i="1"/>
  <c r="BH165" i="1" s="1"/>
  <c r="BI165" i="1" s="1"/>
  <c r="BL165" i="1"/>
  <c r="BQ165" i="1"/>
  <c r="BR165" i="1" s="1"/>
  <c r="BS165" i="1" s="1"/>
  <c r="BV165" i="1"/>
  <c r="CA165" i="1"/>
  <c r="CB165" i="1" s="1"/>
  <c r="AW166" i="1"/>
  <c r="BB166" i="1"/>
  <c r="BC166" i="1" s="1"/>
  <c r="BD166" i="1" s="1"/>
  <c r="BG166" i="1"/>
  <c r="BL166" i="1"/>
  <c r="BM166" i="1" s="1"/>
  <c r="BN166" i="1" s="1"/>
  <c r="BQ166" i="1"/>
  <c r="BR166" i="1" s="1"/>
  <c r="BS166" i="1" s="1"/>
  <c r="BV166" i="1"/>
  <c r="BW166" i="1" s="1"/>
  <c r="CA166" i="1"/>
  <c r="CB166" i="1" s="1"/>
  <c r="CC166" i="1" s="1"/>
  <c r="AW167" i="1"/>
  <c r="AX167" i="1" s="1"/>
  <c r="AY167" i="1" s="1"/>
  <c r="BB167" i="1"/>
  <c r="BC167" i="1" s="1"/>
  <c r="BG167" i="1"/>
  <c r="BH167" i="1" s="1"/>
  <c r="BI167" i="1" s="1"/>
  <c r="BL167" i="1"/>
  <c r="BM167" i="1" s="1"/>
  <c r="BQ167" i="1"/>
  <c r="BW167" i="1"/>
  <c r="BX167" i="1" s="1"/>
  <c r="CA167" i="1"/>
  <c r="CB167" i="1" s="1"/>
  <c r="CC167" i="1" s="1"/>
  <c r="BE168" i="1"/>
  <c r="BJ168" i="1"/>
  <c r="BO168" i="1"/>
  <c r="BT168" i="1"/>
  <c r="BT172" i="1" s="1"/>
  <c r="BT196" i="1" s="1"/>
  <c r="BT197" i="1" s="1"/>
  <c r="BY168" i="1"/>
  <c r="BY302" i="1" s="1"/>
  <c r="CD168" i="1"/>
  <c r="CI168" i="1"/>
  <c r="AW169" i="1"/>
  <c r="BB169" i="1"/>
  <c r="BC169" i="1" s="1"/>
  <c r="BE169" i="1"/>
  <c r="BG169" i="1"/>
  <c r="BH169" i="1" s="1"/>
  <c r="BL169" i="1"/>
  <c r="BQ169" i="1"/>
  <c r="BR169" i="1" s="1"/>
  <c r="BS169" i="1" s="1"/>
  <c r="BV169" i="1"/>
  <c r="BW169" i="1" s="1"/>
  <c r="CA169" i="1"/>
  <c r="AW170" i="1"/>
  <c r="BB170" i="1"/>
  <c r="BC170" i="1" s="1"/>
  <c r="BG170" i="1"/>
  <c r="BH170" i="1" s="1"/>
  <c r="BI170" i="1" s="1"/>
  <c r="BL170" i="1"/>
  <c r="BM170" i="1" s="1"/>
  <c r="BN170" i="1" s="1"/>
  <c r="BQ170" i="1"/>
  <c r="BV170" i="1"/>
  <c r="BW170" i="1" s="1"/>
  <c r="CA170" i="1"/>
  <c r="CB170" i="1" s="1"/>
  <c r="CC170" i="1" s="1"/>
  <c r="AW171" i="1"/>
  <c r="AX171" i="1" s="1"/>
  <c r="BB171" i="1"/>
  <c r="BC171" i="1" s="1"/>
  <c r="BD171" i="1" s="1"/>
  <c r="BG171" i="1"/>
  <c r="BL171" i="1"/>
  <c r="BQ171" i="1"/>
  <c r="BR171" i="1" s="1"/>
  <c r="BV171" i="1"/>
  <c r="BW171" i="1" s="1"/>
  <c r="BW303" i="1" s="1"/>
  <c r="CA171" i="1"/>
  <c r="CB171" i="1" s="1"/>
  <c r="CB303" i="1" s="1"/>
  <c r="AV172" i="1"/>
  <c r="AZ172" i="1"/>
  <c r="AZ196" i="1" s="1"/>
  <c r="AZ197" i="1" s="1"/>
  <c r="BA172" i="1"/>
  <c r="BA196" i="1" s="1"/>
  <c r="BA197" i="1" s="1"/>
  <c r="BF172" i="1"/>
  <c r="BK172" i="1"/>
  <c r="BK196" i="1" s="1"/>
  <c r="BK197" i="1" s="1"/>
  <c r="BO172" i="1"/>
  <c r="BO196" i="1" s="1"/>
  <c r="BO197" i="1" s="1"/>
  <c r="BP172" i="1"/>
  <c r="BP196" i="1" s="1"/>
  <c r="BP197" i="1" s="1"/>
  <c r="BP198" i="1" s="1"/>
  <c r="BU172" i="1"/>
  <c r="BU196" i="1" s="1"/>
  <c r="BU197" i="1" s="1"/>
  <c r="BZ172" i="1"/>
  <c r="BZ196" i="1" s="1"/>
  <c r="BZ197" i="1" s="1"/>
  <c r="AW175" i="1"/>
  <c r="AX175" i="1" s="1"/>
  <c r="BB175" i="1"/>
  <c r="BC175" i="1" s="1"/>
  <c r="BE175" i="1"/>
  <c r="BE181" i="1" s="1"/>
  <c r="BG175" i="1"/>
  <c r="BH175" i="1" s="1"/>
  <c r="BJ175" i="1"/>
  <c r="BJ181" i="1" s="1"/>
  <c r="BL175" i="1"/>
  <c r="BM175" i="1" s="1"/>
  <c r="BN175" i="1" s="1"/>
  <c r="BQ175" i="1"/>
  <c r="BR175" i="1" s="1"/>
  <c r="BV175" i="1"/>
  <c r="CA175" i="1"/>
  <c r="CB175" i="1" s="1"/>
  <c r="AW176" i="1"/>
  <c r="AX176" i="1" s="1"/>
  <c r="AY176" i="1" s="1"/>
  <c r="BB176" i="1"/>
  <c r="BC176" i="1" s="1"/>
  <c r="BD176" i="1" s="1"/>
  <c r="BF176" i="1"/>
  <c r="BG176" i="1" s="1"/>
  <c r="BK176" i="1"/>
  <c r="BO176" i="1"/>
  <c r="BO181" i="1" s="1"/>
  <c r="BP176" i="1"/>
  <c r="BQ176" i="1" s="1"/>
  <c r="BT176" i="1"/>
  <c r="BU176" i="1"/>
  <c r="BY176" i="1"/>
  <c r="CD176" i="1"/>
  <c r="T177" i="1"/>
  <c r="U177" i="1" s="1"/>
  <c r="AW177" i="1"/>
  <c r="AX177" i="1" s="1"/>
  <c r="AY177" i="1" s="1"/>
  <c r="BB177" i="1"/>
  <c r="BC177" i="1" s="1"/>
  <c r="BG177" i="1"/>
  <c r="BL177" i="1"/>
  <c r="BM177" i="1" s="1"/>
  <c r="BQ177" i="1"/>
  <c r="BR177" i="1" s="1"/>
  <c r="BT177" i="1"/>
  <c r="BV177" i="1"/>
  <c r="BW177" i="1" s="1"/>
  <c r="BY177" i="1"/>
  <c r="BY181" i="1" s="1"/>
  <c r="CA177" i="1"/>
  <c r="CB177" i="1" s="1"/>
  <c r="AW178" i="1"/>
  <c r="AW182" i="1" s="1"/>
  <c r="BB178" i="1"/>
  <c r="BC178" i="1" s="1"/>
  <c r="BD178" i="1" s="1"/>
  <c r="BG178" i="1"/>
  <c r="BH178" i="1" s="1"/>
  <c r="BL178" i="1"/>
  <c r="BL216" i="1" s="1"/>
  <c r="BQ178" i="1"/>
  <c r="BR178" i="1" s="1"/>
  <c r="BV178" i="1"/>
  <c r="BV304" i="1" s="1"/>
  <c r="CA178" i="1"/>
  <c r="T179" i="1"/>
  <c r="U179" i="1" s="1"/>
  <c r="AW179" i="1"/>
  <c r="AX179" i="1" s="1"/>
  <c r="BB179" i="1"/>
  <c r="BC179" i="1" s="1"/>
  <c r="BD179" i="1" s="1"/>
  <c r="BG179" i="1"/>
  <c r="BH179" i="1" s="1"/>
  <c r="BI179" i="1" s="1"/>
  <c r="BL179" i="1"/>
  <c r="BM179" i="1" s="1"/>
  <c r="BN179" i="1" s="1"/>
  <c r="BQ179" i="1"/>
  <c r="BR179" i="1" s="1"/>
  <c r="BV179" i="1"/>
  <c r="BW179" i="1" s="1"/>
  <c r="BX179" i="1" s="1"/>
  <c r="CA179" i="1"/>
  <c r="CB179" i="1" s="1"/>
  <c r="CC179" i="1" s="1"/>
  <c r="AW180" i="1"/>
  <c r="AX180" i="1" s="1"/>
  <c r="AY180" i="1" s="1"/>
  <c r="BB180" i="1"/>
  <c r="BF180" i="1"/>
  <c r="BL180" i="1"/>
  <c r="BM180" i="1" s="1"/>
  <c r="BQ180" i="1"/>
  <c r="BR180" i="1" s="1"/>
  <c r="BV180" i="1"/>
  <c r="BW180" i="1" s="1"/>
  <c r="BX180" i="1" s="1"/>
  <c r="CA180" i="1"/>
  <c r="CB180" i="1" s="1"/>
  <c r="T181" i="1"/>
  <c r="U181" i="1" s="1"/>
  <c r="AV181" i="1"/>
  <c r="AZ181" i="1"/>
  <c r="BA181" i="1"/>
  <c r="BP181" i="1"/>
  <c r="M182" i="1"/>
  <c r="N182" i="1"/>
  <c r="O182" i="1"/>
  <c r="P182" i="1"/>
  <c r="Q182" i="1"/>
  <c r="R182" i="1"/>
  <c r="S182" i="1"/>
  <c r="T182" i="1"/>
  <c r="U182" i="1"/>
  <c r="W182" i="1"/>
  <c r="X182" i="1"/>
  <c r="Y182" i="1"/>
  <c r="Z182" i="1"/>
  <c r="AA182" i="1"/>
  <c r="AB182" i="1"/>
  <c r="AC182" i="1"/>
  <c r="AD182" i="1"/>
  <c r="AE182" i="1"/>
  <c r="AG182" i="1"/>
  <c r="AH182" i="1"/>
  <c r="AI182" i="1"/>
  <c r="AJ182" i="1"/>
  <c r="AK182" i="1"/>
  <c r="AL182" i="1"/>
  <c r="AM182" i="1"/>
  <c r="AN182" i="1"/>
  <c r="AO182" i="1"/>
  <c r="AQ182" i="1"/>
  <c r="AR182" i="1"/>
  <c r="AS182" i="1"/>
  <c r="AT182" i="1"/>
  <c r="AU182" i="1"/>
  <c r="AV182" i="1"/>
  <c r="BF182" i="1"/>
  <c r="BK182" i="1"/>
  <c r="BO182" i="1"/>
  <c r="BP182" i="1"/>
  <c r="BT182" i="1"/>
  <c r="BU182" i="1"/>
  <c r="G184" i="1"/>
  <c r="L184" i="1"/>
  <c r="Q184" i="1"/>
  <c r="AU184" i="1"/>
  <c r="AZ184" i="1"/>
  <c r="AZ188" i="1" s="1"/>
  <c r="BA184" i="1"/>
  <c r="BB184" i="1" s="1"/>
  <c r="BE184" i="1"/>
  <c r="BE188" i="1" s="1"/>
  <c r="BF184" i="1"/>
  <c r="BJ184" i="1"/>
  <c r="BJ188" i="1" s="1"/>
  <c r="BK184" i="1"/>
  <c r="BL184" i="1" s="1"/>
  <c r="BO184" i="1"/>
  <c r="BP184" i="1"/>
  <c r="BQ184" i="1" s="1"/>
  <c r="BT184" i="1"/>
  <c r="BT188" i="1" s="1"/>
  <c r="BU184" i="1"/>
  <c r="BV184" i="1" s="1"/>
  <c r="BW184" i="1" s="1"/>
  <c r="BY184" i="1"/>
  <c r="CA184" i="1"/>
  <c r="CD184" i="1"/>
  <c r="CD188" i="1" s="1"/>
  <c r="AW185" i="1"/>
  <c r="AX185" i="1" s="1"/>
  <c r="BB185" i="1"/>
  <c r="BC185" i="1" s="1"/>
  <c r="BD185" i="1" s="1"/>
  <c r="BF185" i="1"/>
  <c r="BF106" i="1" s="1"/>
  <c r="BK185" i="1"/>
  <c r="BL185" i="1" s="1"/>
  <c r="BO185" i="1"/>
  <c r="BQ185" i="1"/>
  <c r="BQ106" i="1" s="1"/>
  <c r="BV185" i="1"/>
  <c r="CA185" i="1"/>
  <c r="CB185" i="1" s="1"/>
  <c r="CB106" i="1" s="1"/>
  <c r="AW186" i="1"/>
  <c r="AW103" i="1" s="1"/>
  <c r="BB186" i="1"/>
  <c r="BB103" i="1" s="1"/>
  <c r="BG186" i="1"/>
  <c r="BH186" i="1" s="1"/>
  <c r="BL186" i="1"/>
  <c r="BM186" i="1" s="1"/>
  <c r="BM103" i="1" s="1"/>
  <c r="BQ186" i="1"/>
  <c r="BR186" i="1" s="1"/>
  <c r="BR103" i="1" s="1"/>
  <c r="BV186" i="1"/>
  <c r="BW186" i="1" s="1"/>
  <c r="BX186" i="1" s="1"/>
  <c r="BX103" i="1" s="1"/>
  <c r="CA186" i="1"/>
  <c r="AW187" i="1"/>
  <c r="BB187" i="1"/>
  <c r="BC187" i="1" s="1"/>
  <c r="BG187" i="1"/>
  <c r="BH187" i="1" s="1"/>
  <c r="BL187" i="1"/>
  <c r="BQ187" i="1"/>
  <c r="BV187" i="1"/>
  <c r="BW187" i="1" s="1"/>
  <c r="AV188" i="1"/>
  <c r="BA188" i="1"/>
  <c r="BU188" i="1"/>
  <c r="BY188" i="1"/>
  <c r="T190" i="1"/>
  <c r="AW190" i="1"/>
  <c r="AX190" i="1" s="1"/>
  <c r="AY190" i="1" s="1"/>
  <c r="BB190" i="1"/>
  <c r="BC190" i="1" s="1"/>
  <c r="BG190" i="1"/>
  <c r="BH190" i="1" s="1"/>
  <c r="BI190" i="1" s="1"/>
  <c r="BL190" i="1"/>
  <c r="BM190" i="1" s="1"/>
  <c r="BN190" i="1" s="1"/>
  <c r="BQ190" i="1"/>
  <c r="BR190" i="1" s="1"/>
  <c r="BS190" i="1" s="1"/>
  <c r="BV190" i="1"/>
  <c r="CA190" i="1"/>
  <c r="CB190" i="1" s="1"/>
  <c r="CC190" i="1" s="1"/>
  <c r="H191" i="1"/>
  <c r="H193" i="1" s="1"/>
  <c r="I191" i="1"/>
  <c r="J191" i="1"/>
  <c r="K191" i="1"/>
  <c r="L191" i="1"/>
  <c r="M191" i="1"/>
  <c r="N191" i="1"/>
  <c r="O191" i="1"/>
  <c r="P191" i="1"/>
  <c r="Q191" i="1"/>
  <c r="R191" i="1"/>
  <c r="S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L192" i="1"/>
  <c r="M192" i="1"/>
  <c r="Q192" i="1" s="1"/>
  <c r="H196" i="1"/>
  <c r="H197" i="1" s="1"/>
  <c r="H198" i="1" s="1"/>
  <c r="I196" i="1"/>
  <c r="I197" i="1" s="1"/>
  <c r="I198" i="1" s="1"/>
  <c r="J196" i="1"/>
  <c r="J197" i="1" s="1"/>
  <c r="K196" i="1"/>
  <c r="K197" i="1" s="1"/>
  <c r="L196" i="1"/>
  <c r="L197" i="1" s="1"/>
  <c r="L198" i="1" s="1"/>
  <c r="M196" i="1"/>
  <c r="M197" i="1" s="1"/>
  <c r="M198" i="1" s="1"/>
  <c r="N196" i="1"/>
  <c r="N197" i="1" s="1"/>
  <c r="O196" i="1"/>
  <c r="O197" i="1" s="1"/>
  <c r="P196" i="1"/>
  <c r="P197" i="1" s="1"/>
  <c r="Q196" i="1"/>
  <c r="Q197" i="1" s="1"/>
  <c r="Q198" i="1" s="1"/>
  <c r="R196" i="1"/>
  <c r="R197" i="1" s="1"/>
  <c r="R198" i="1" s="1"/>
  <c r="S196" i="1"/>
  <c r="S197" i="1" s="1"/>
  <c r="T196" i="1"/>
  <c r="T197" i="1" s="1"/>
  <c r="T198" i="1" s="1"/>
  <c r="U196" i="1"/>
  <c r="U197" i="1" s="1"/>
  <c r="V196" i="1"/>
  <c r="V197" i="1" s="1"/>
  <c r="V198" i="1" s="1"/>
  <c r="W196" i="1"/>
  <c r="W197" i="1" s="1"/>
  <c r="W198" i="1" s="1"/>
  <c r="X196" i="1"/>
  <c r="Y196" i="1"/>
  <c r="Y197" i="1" s="1"/>
  <c r="Y198" i="1" s="1"/>
  <c r="Z196" i="1"/>
  <c r="Z197" i="1" s="1"/>
  <c r="Z198" i="1" s="1"/>
  <c r="AA196" i="1"/>
  <c r="AA197" i="1" s="1"/>
  <c r="AB196" i="1"/>
  <c r="AB197" i="1" s="1"/>
  <c r="AB198" i="1" s="1"/>
  <c r="AC196" i="1"/>
  <c r="AC197" i="1" s="1"/>
  <c r="AC198" i="1" s="1"/>
  <c r="AD196" i="1"/>
  <c r="AD197" i="1" s="1"/>
  <c r="AE196" i="1"/>
  <c r="AE197" i="1" s="1"/>
  <c r="AF196" i="1"/>
  <c r="AF197" i="1" s="1"/>
  <c r="AF198" i="1" s="1"/>
  <c r="AG196" i="1"/>
  <c r="AG197" i="1" s="1"/>
  <c r="AG198" i="1" s="1"/>
  <c r="AH196" i="1"/>
  <c r="AH197" i="1" s="1"/>
  <c r="AI196" i="1"/>
  <c r="AI197" i="1" s="1"/>
  <c r="AJ196" i="1"/>
  <c r="AJ197" i="1" s="1"/>
  <c r="AK196" i="1"/>
  <c r="AK197" i="1" s="1"/>
  <c r="AK198" i="1" s="1"/>
  <c r="AL196" i="1"/>
  <c r="AL197" i="1" s="1"/>
  <c r="AM196" i="1"/>
  <c r="AM197" i="1" s="1"/>
  <c r="AN196" i="1"/>
  <c r="AN197" i="1" s="1"/>
  <c r="AN198" i="1" s="1"/>
  <c r="AO196" i="1"/>
  <c r="AO197" i="1" s="1"/>
  <c r="AO198" i="1" s="1"/>
  <c r="AP196" i="1"/>
  <c r="AP197" i="1" s="1"/>
  <c r="AP198" i="1" s="1"/>
  <c r="AQ196" i="1"/>
  <c r="AQ197" i="1" s="1"/>
  <c r="AR196" i="1"/>
  <c r="AR197" i="1" s="1"/>
  <c r="AS196" i="1"/>
  <c r="AS197" i="1" s="1"/>
  <c r="AS198" i="1" s="1"/>
  <c r="AT196" i="1"/>
  <c r="AT197" i="1" s="1"/>
  <c r="AU196" i="1"/>
  <c r="AU197" i="1" s="1"/>
  <c r="BF196" i="1"/>
  <c r="BF197" i="1" s="1"/>
  <c r="X197" i="1"/>
  <c r="X198" i="1" s="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Z201" i="1"/>
  <c r="BA201" i="1"/>
  <c r="BE201" i="1"/>
  <c r="BF201" i="1"/>
  <c r="BJ201" i="1"/>
  <c r="BK201" i="1"/>
  <c r="BO201" i="1"/>
  <c r="BP201" i="1"/>
  <c r="BT201" i="1"/>
  <c r="BU201" i="1"/>
  <c r="BY201" i="1"/>
  <c r="BZ201" i="1"/>
  <c r="CD201"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H205" i="1"/>
  <c r="I205" i="1"/>
  <c r="J205" i="1"/>
  <c r="K205" i="1"/>
  <c r="M205" i="1"/>
  <c r="N205" i="1"/>
  <c r="O205" i="1"/>
  <c r="P205" i="1"/>
  <c r="Q205" i="1"/>
  <c r="R205" i="1"/>
  <c r="S205" i="1"/>
  <c r="T205" i="1"/>
  <c r="U205" i="1"/>
  <c r="W205" i="1"/>
  <c r="X205" i="1"/>
  <c r="Y205" i="1"/>
  <c r="Z205" i="1"/>
  <c r="AA205" i="1"/>
  <c r="AB205" i="1"/>
  <c r="AC205" i="1"/>
  <c r="AD205" i="1"/>
  <c r="AE205" i="1"/>
  <c r="AG205" i="1"/>
  <c r="AH205" i="1"/>
  <c r="AI205" i="1"/>
  <c r="AJ205" i="1"/>
  <c r="AL205" i="1"/>
  <c r="AM205" i="1"/>
  <c r="AN205" i="1"/>
  <c r="AO205" i="1"/>
  <c r="AQ205" i="1"/>
  <c r="AR205" i="1"/>
  <c r="AS205" i="1"/>
  <c r="AT205" i="1"/>
  <c r="AV205" i="1"/>
  <c r="AW205" i="1"/>
  <c r="AX205" i="1"/>
  <c r="AY205" i="1"/>
  <c r="AZ205" i="1"/>
  <c r="BD205" i="1"/>
  <c r="BF205" i="1"/>
  <c r="BG205" i="1"/>
  <c r="BH205" i="1"/>
  <c r="BI205" i="1"/>
  <c r="BK205" i="1"/>
  <c r="BL205" i="1"/>
  <c r="BM205" i="1"/>
  <c r="BN205" i="1"/>
  <c r="BP205" i="1"/>
  <c r="BQ205" i="1"/>
  <c r="BR205" i="1"/>
  <c r="BS205" i="1"/>
  <c r="BT205" i="1"/>
  <c r="BU205" i="1"/>
  <c r="BV205" i="1"/>
  <c r="BW205" i="1"/>
  <c r="BX205" i="1"/>
  <c r="BZ205" i="1"/>
  <c r="CA205" i="1"/>
  <c r="CB205" i="1"/>
  <c r="CC205" i="1"/>
  <c r="CD205" i="1"/>
  <c r="H206" i="1"/>
  <c r="I206" i="1"/>
  <c r="J206" i="1"/>
  <c r="K206" i="1"/>
  <c r="M206" i="1"/>
  <c r="N206" i="1"/>
  <c r="O206" i="1"/>
  <c r="P206" i="1"/>
  <c r="Q206" i="1"/>
  <c r="R206" i="1"/>
  <c r="S206" i="1"/>
  <c r="T206" i="1"/>
  <c r="U206" i="1"/>
  <c r="W206" i="1"/>
  <c r="X206" i="1"/>
  <c r="Y206" i="1"/>
  <c r="Z206" i="1"/>
  <c r="AB206" i="1"/>
  <c r="AC206" i="1"/>
  <c r="AD206" i="1"/>
  <c r="AE206" i="1"/>
  <c r="AG206" i="1"/>
  <c r="AH206" i="1"/>
  <c r="AI206" i="1"/>
  <c r="AJ206" i="1"/>
  <c r="AK206" i="1"/>
  <c r="AL206" i="1"/>
  <c r="AM206" i="1"/>
  <c r="AN206" i="1"/>
  <c r="AO206" i="1"/>
  <c r="AQ206" i="1"/>
  <c r="AR206" i="1"/>
  <c r="AS206" i="1"/>
  <c r="AT206" i="1"/>
  <c r="AU206" i="1"/>
  <c r="AV206" i="1"/>
  <c r="AW206" i="1"/>
  <c r="AX206" i="1"/>
  <c r="AY206" i="1"/>
  <c r="AZ206" i="1"/>
  <c r="BD206" i="1"/>
  <c r="BF206" i="1"/>
  <c r="BG206" i="1"/>
  <c r="BH206" i="1"/>
  <c r="BI206" i="1"/>
  <c r="BK206" i="1"/>
  <c r="BL206" i="1"/>
  <c r="BM206" i="1"/>
  <c r="BN206" i="1"/>
  <c r="BO206" i="1"/>
  <c r="BP206" i="1"/>
  <c r="BQ206" i="1"/>
  <c r="BR206" i="1"/>
  <c r="BS206" i="1"/>
  <c r="BU206" i="1"/>
  <c r="BV206" i="1"/>
  <c r="BW206" i="1"/>
  <c r="BX206" i="1"/>
  <c r="BZ206" i="1"/>
  <c r="CA206" i="1"/>
  <c r="CB206" i="1"/>
  <c r="CC206" i="1"/>
  <c r="H208" i="1"/>
  <c r="I208" i="1"/>
  <c r="J208"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AN208" i="1"/>
  <c r="AO208" i="1"/>
  <c r="AP208" i="1"/>
  <c r="AQ208" i="1"/>
  <c r="AR208" i="1"/>
  <c r="AS208" i="1"/>
  <c r="AT208" i="1"/>
  <c r="AU208" i="1"/>
  <c r="AV208" i="1"/>
  <c r="AW208" i="1"/>
  <c r="AX208" i="1"/>
  <c r="AY208" i="1"/>
  <c r="AZ208" i="1"/>
  <c r="BD208" i="1"/>
  <c r="BF208" i="1"/>
  <c r="BG208" i="1"/>
  <c r="BH208" i="1"/>
  <c r="BI208" i="1"/>
  <c r="BJ208" i="1"/>
  <c r="BK208" i="1"/>
  <c r="BL208" i="1"/>
  <c r="BM208" i="1"/>
  <c r="BN208" i="1"/>
  <c r="BO208" i="1"/>
  <c r="BP208" i="1"/>
  <c r="BQ208" i="1"/>
  <c r="BR208" i="1"/>
  <c r="BS208" i="1"/>
  <c r="BT208" i="1"/>
  <c r="BU208" i="1"/>
  <c r="BV208" i="1"/>
  <c r="BW208" i="1"/>
  <c r="BX208" i="1"/>
  <c r="BZ208" i="1"/>
  <c r="CA208" i="1"/>
  <c r="H209" i="1"/>
  <c r="I209" i="1"/>
  <c r="J209" i="1"/>
  <c r="K209" i="1"/>
  <c r="M209" i="1"/>
  <c r="N209" i="1"/>
  <c r="O209" i="1"/>
  <c r="P209" i="1"/>
  <c r="Q209" i="1"/>
  <c r="R209" i="1"/>
  <c r="S209" i="1"/>
  <c r="T209" i="1"/>
  <c r="U209" i="1"/>
  <c r="V209" i="1"/>
  <c r="W209" i="1"/>
  <c r="X209" i="1"/>
  <c r="Y209" i="1"/>
  <c r="Z209" i="1"/>
  <c r="AB209" i="1"/>
  <c r="AC209" i="1"/>
  <c r="AD209" i="1"/>
  <c r="AE209" i="1"/>
  <c r="AG209" i="1"/>
  <c r="AH209" i="1"/>
  <c r="AI209" i="1"/>
  <c r="AJ209" i="1"/>
  <c r="AK209" i="1"/>
  <c r="AL209" i="1"/>
  <c r="AM209" i="1"/>
  <c r="AN209" i="1"/>
  <c r="AO209" i="1"/>
  <c r="AP209" i="1"/>
  <c r="AQ209" i="1"/>
  <c r="AR209" i="1"/>
  <c r="AS209" i="1"/>
  <c r="AT209" i="1"/>
  <c r="AU209" i="1"/>
  <c r="AV209" i="1"/>
  <c r="AW209" i="1"/>
  <c r="AX209" i="1"/>
  <c r="AY209" i="1"/>
  <c r="BD209" i="1"/>
  <c r="BF209" i="1"/>
  <c r="BG209" i="1"/>
  <c r="BH209" i="1"/>
  <c r="BI209" i="1"/>
  <c r="BK209" i="1"/>
  <c r="BL209" i="1"/>
  <c r="BM209" i="1"/>
  <c r="BN209" i="1"/>
  <c r="BO209" i="1"/>
  <c r="BP209" i="1"/>
  <c r="BQ209" i="1"/>
  <c r="BR209" i="1"/>
  <c r="BS209" i="1"/>
  <c r="BU209" i="1"/>
  <c r="BV209" i="1"/>
  <c r="BW209" i="1"/>
  <c r="BX209" i="1"/>
  <c r="BZ209" i="1"/>
  <c r="CA209" i="1"/>
  <c r="CB209" i="1"/>
  <c r="CC209" i="1"/>
  <c r="CD209" i="1"/>
  <c r="H210" i="1"/>
  <c r="H246" i="1" s="1"/>
  <c r="I210" i="1"/>
  <c r="I246" i="1" s="1"/>
  <c r="J210" i="1"/>
  <c r="J246" i="1" s="1"/>
  <c r="K210" i="1"/>
  <c r="K246" i="1" s="1"/>
  <c r="M210" i="1"/>
  <c r="M246" i="1" s="1"/>
  <c r="N210" i="1"/>
  <c r="N246" i="1" s="1"/>
  <c r="O210" i="1"/>
  <c r="O246" i="1" s="1"/>
  <c r="P210" i="1"/>
  <c r="P246" i="1" s="1"/>
  <c r="Q210" i="1"/>
  <c r="Q246" i="1" s="1"/>
  <c r="R210" i="1"/>
  <c r="R246" i="1" s="1"/>
  <c r="S210" i="1"/>
  <c r="S246" i="1" s="1"/>
  <c r="T210" i="1"/>
  <c r="T246" i="1" s="1"/>
  <c r="U210" i="1"/>
  <c r="U246" i="1" s="1"/>
  <c r="W210" i="1"/>
  <c r="W246" i="1" s="1"/>
  <c r="X210" i="1"/>
  <c r="X246" i="1" s="1"/>
  <c r="Y210" i="1"/>
  <c r="Y246" i="1" s="1"/>
  <c r="Z210" i="1"/>
  <c r="Z246" i="1" s="1"/>
  <c r="AB210" i="1"/>
  <c r="AB246" i="1" s="1"/>
  <c r="AC210" i="1"/>
  <c r="AC246" i="1" s="1"/>
  <c r="AD210" i="1"/>
  <c r="AD246" i="1" s="1"/>
  <c r="AE210" i="1"/>
  <c r="AE246" i="1" s="1"/>
  <c r="AG210" i="1"/>
  <c r="AG246" i="1" s="1"/>
  <c r="AH210" i="1"/>
  <c r="AH246" i="1" s="1"/>
  <c r="AI210" i="1"/>
  <c r="AI246" i="1" s="1"/>
  <c r="AJ210" i="1"/>
  <c r="AJ246" i="1" s="1"/>
  <c r="AK210" i="1"/>
  <c r="AK246" i="1" s="1"/>
  <c r="AL210" i="1"/>
  <c r="AL246" i="1" s="1"/>
  <c r="AM210" i="1"/>
  <c r="AM246" i="1" s="1"/>
  <c r="AN210" i="1"/>
  <c r="AN246" i="1" s="1"/>
  <c r="AO210" i="1"/>
  <c r="AO246" i="1" s="1"/>
  <c r="AQ210" i="1"/>
  <c r="AQ246" i="1" s="1"/>
  <c r="AR210" i="1"/>
  <c r="AR246" i="1" s="1"/>
  <c r="AS210" i="1"/>
  <c r="AS246" i="1" s="1"/>
  <c r="AT210" i="1"/>
  <c r="AT246" i="1" s="1"/>
  <c r="AU210" i="1"/>
  <c r="AU246" i="1" s="1"/>
  <c r="AV210" i="1"/>
  <c r="AV246" i="1" s="1"/>
  <c r="AW210" i="1"/>
  <c r="AW246" i="1" s="1"/>
  <c r="AX210" i="1"/>
  <c r="AX246" i="1" s="1"/>
  <c r="AY210" i="1"/>
  <c r="AY246" i="1" s="1"/>
  <c r="BD210" i="1"/>
  <c r="BD246" i="1" s="1"/>
  <c r="BF210" i="1"/>
  <c r="BF246" i="1" s="1"/>
  <c r="BG210" i="1"/>
  <c r="BG246" i="1" s="1"/>
  <c r="BH210" i="1"/>
  <c r="BH246" i="1" s="1"/>
  <c r="BI210" i="1"/>
  <c r="BI246" i="1" s="1"/>
  <c r="BK210" i="1"/>
  <c r="BK246" i="1" s="1"/>
  <c r="BL210" i="1"/>
  <c r="BL246" i="1" s="1"/>
  <c r="BM210" i="1"/>
  <c r="BM246" i="1" s="1"/>
  <c r="BN210" i="1"/>
  <c r="BN246" i="1" s="1"/>
  <c r="BP210" i="1"/>
  <c r="BP246" i="1" s="1"/>
  <c r="BQ210" i="1"/>
  <c r="BQ246" i="1" s="1"/>
  <c r="BR210" i="1"/>
  <c r="BR246" i="1" s="1"/>
  <c r="BS210" i="1"/>
  <c r="BS246" i="1" s="1"/>
  <c r="BU210" i="1"/>
  <c r="BU246" i="1" s="1"/>
  <c r="BV210" i="1"/>
  <c r="BV246" i="1" s="1"/>
  <c r="BW210" i="1"/>
  <c r="BW246" i="1" s="1"/>
  <c r="BX210" i="1"/>
  <c r="BX246" i="1" s="1"/>
  <c r="BZ210" i="1"/>
  <c r="BZ246" i="1" s="1"/>
  <c r="CA210" i="1"/>
  <c r="CA246" i="1" s="1"/>
  <c r="CB210" i="1"/>
  <c r="CB246" i="1" s="1"/>
  <c r="CC210" i="1"/>
  <c r="CC246" i="1" s="1"/>
  <c r="H211" i="1"/>
  <c r="I211" i="1"/>
  <c r="J211" i="1"/>
  <c r="K211" i="1"/>
  <c r="L211" i="1"/>
  <c r="M211" i="1"/>
  <c r="N211" i="1"/>
  <c r="O211" i="1"/>
  <c r="P211" i="1"/>
  <c r="R211" i="1"/>
  <c r="S211" i="1"/>
  <c r="T211" i="1"/>
  <c r="U211" i="1"/>
  <c r="V211" i="1"/>
  <c r="W211" i="1"/>
  <c r="X211" i="1"/>
  <c r="Y211" i="1"/>
  <c r="Z211" i="1"/>
  <c r="AB211" i="1"/>
  <c r="AC211" i="1"/>
  <c r="AD211" i="1"/>
  <c r="AE211" i="1"/>
  <c r="AG211" i="1"/>
  <c r="AH211" i="1"/>
  <c r="AI211" i="1"/>
  <c r="AJ211" i="1"/>
  <c r="AL211" i="1"/>
  <c r="AM211" i="1"/>
  <c r="AN211" i="1"/>
  <c r="AO211" i="1"/>
  <c r="AP211" i="1"/>
  <c r="AQ211" i="1"/>
  <c r="AR211" i="1"/>
  <c r="AS211" i="1"/>
  <c r="AT211" i="1"/>
  <c r="AV211" i="1"/>
  <c r="AW211" i="1"/>
  <c r="AX211" i="1"/>
  <c r="AY211" i="1"/>
  <c r="AZ211" i="1"/>
  <c r="BA211" i="1"/>
  <c r="BB211" i="1"/>
  <c r="BC211" i="1"/>
  <c r="BD211" i="1"/>
  <c r="BF211" i="1"/>
  <c r="BG211" i="1"/>
  <c r="BH211" i="1"/>
  <c r="BI211" i="1"/>
  <c r="BJ211" i="1"/>
  <c r="BK211" i="1"/>
  <c r="BL211" i="1"/>
  <c r="BM211" i="1"/>
  <c r="BN211" i="1"/>
  <c r="BP211" i="1"/>
  <c r="BQ211" i="1"/>
  <c r="BR211" i="1"/>
  <c r="BS211" i="1"/>
  <c r="BU211" i="1"/>
  <c r="BV211" i="1"/>
  <c r="BW211" i="1"/>
  <c r="BX211" i="1"/>
  <c r="BZ211" i="1"/>
  <c r="CA211" i="1"/>
  <c r="CB211" i="1"/>
  <c r="CC211" i="1"/>
  <c r="CD211" i="1"/>
  <c r="H212" i="1"/>
  <c r="H245" i="1" s="1"/>
  <c r="I212" i="1"/>
  <c r="I245" i="1" s="1"/>
  <c r="J212" i="1"/>
  <c r="J245" i="1" s="1"/>
  <c r="K212" i="1"/>
  <c r="K245" i="1" s="1"/>
  <c r="M212" i="1"/>
  <c r="M245" i="1" s="1"/>
  <c r="N212" i="1"/>
  <c r="N245" i="1" s="1"/>
  <c r="O212" i="1"/>
  <c r="O245" i="1" s="1"/>
  <c r="P212" i="1"/>
  <c r="P245" i="1" s="1"/>
  <c r="R212" i="1"/>
  <c r="R245" i="1" s="1"/>
  <c r="S212" i="1"/>
  <c r="S245" i="1" s="1"/>
  <c r="T212" i="1"/>
  <c r="T245" i="1" s="1"/>
  <c r="U212" i="1"/>
  <c r="U245" i="1" s="1"/>
  <c r="V212" i="1"/>
  <c r="W212" i="1"/>
  <c r="W245" i="1" s="1"/>
  <c r="X212" i="1"/>
  <c r="X245" i="1" s="1"/>
  <c r="Y212" i="1"/>
  <c r="Y245" i="1" s="1"/>
  <c r="Z212" i="1"/>
  <c r="Z245" i="1" s="1"/>
  <c r="AA212" i="1"/>
  <c r="AA245" i="1" s="1"/>
  <c r="AB212" i="1"/>
  <c r="AB245" i="1" s="1"/>
  <c r="AC212" i="1"/>
  <c r="AC245" i="1" s="1"/>
  <c r="AD212" i="1"/>
  <c r="AD245" i="1" s="1"/>
  <c r="AE212" i="1"/>
  <c r="AE245" i="1" s="1"/>
  <c r="AG212" i="1"/>
  <c r="AG245" i="1" s="1"/>
  <c r="AH212" i="1"/>
  <c r="AH245" i="1" s="1"/>
  <c r="AI212" i="1"/>
  <c r="AI245" i="1" s="1"/>
  <c r="AJ212" i="1"/>
  <c r="AJ245" i="1" s="1"/>
  <c r="AL212" i="1"/>
  <c r="AL245" i="1" s="1"/>
  <c r="AM212" i="1"/>
  <c r="AM245" i="1" s="1"/>
  <c r="AN212" i="1"/>
  <c r="AN245" i="1" s="1"/>
  <c r="AO212" i="1"/>
  <c r="AO245" i="1" s="1"/>
  <c r="AP212" i="1"/>
  <c r="AP245" i="1" s="1"/>
  <c r="AQ212" i="1"/>
  <c r="AQ245" i="1" s="1"/>
  <c r="AR212" i="1"/>
  <c r="AR245" i="1" s="1"/>
  <c r="AS212" i="1"/>
  <c r="AS245" i="1" s="1"/>
  <c r="AT212" i="1"/>
  <c r="AT245" i="1" s="1"/>
  <c r="AV212" i="1"/>
  <c r="AV245" i="1" s="1"/>
  <c r="AW212" i="1"/>
  <c r="AW245" i="1" s="1"/>
  <c r="AX212" i="1"/>
  <c r="AX245" i="1" s="1"/>
  <c r="AY212" i="1"/>
  <c r="AY245" i="1" s="1"/>
  <c r="BA212" i="1"/>
  <c r="BA245" i="1" s="1"/>
  <c r="BB212" i="1"/>
  <c r="BB245" i="1" s="1"/>
  <c r="BC212" i="1"/>
  <c r="BC245" i="1" s="1"/>
  <c r="BD212" i="1"/>
  <c r="BD245" i="1" s="1"/>
  <c r="BF212" i="1"/>
  <c r="BF245" i="1" s="1"/>
  <c r="BG212" i="1"/>
  <c r="BG245" i="1" s="1"/>
  <c r="BH212" i="1"/>
  <c r="BH245" i="1" s="1"/>
  <c r="BI212" i="1"/>
  <c r="BI245" i="1" s="1"/>
  <c r="BJ212" i="1"/>
  <c r="BJ245" i="1" s="1"/>
  <c r="BK212" i="1"/>
  <c r="BK245" i="1" s="1"/>
  <c r="BL212" i="1"/>
  <c r="BL245" i="1" s="1"/>
  <c r="BM212" i="1"/>
  <c r="BM245" i="1" s="1"/>
  <c r="BN212" i="1"/>
  <c r="BN245" i="1" s="1"/>
  <c r="BP212" i="1"/>
  <c r="BP245" i="1" s="1"/>
  <c r="BQ212" i="1"/>
  <c r="BQ245" i="1" s="1"/>
  <c r="BR212" i="1"/>
  <c r="BR245" i="1" s="1"/>
  <c r="BS212" i="1"/>
  <c r="BS245" i="1" s="1"/>
  <c r="BU212" i="1"/>
  <c r="BU245" i="1" s="1"/>
  <c r="BV212" i="1"/>
  <c r="BV245" i="1" s="1"/>
  <c r="BW212" i="1"/>
  <c r="BW245" i="1" s="1"/>
  <c r="BX212" i="1"/>
  <c r="BX245" i="1" s="1"/>
  <c r="BZ212" i="1"/>
  <c r="BZ245" i="1" s="1"/>
  <c r="CA212" i="1"/>
  <c r="CA245" i="1" s="1"/>
  <c r="CB212" i="1"/>
  <c r="CB245" i="1" s="1"/>
  <c r="CC212" i="1"/>
  <c r="CC245" i="1" s="1"/>
  <c r="CD212" i="1"/>
  <c r="CD245" i="1" s="1"/>
  <c r="H213" i="1"/>
  <c r="I213" i="1"/>
  <c r="J213" i="1"/>
  <c r="K213" i="1"/>
  <c r="M213" i="1"/>
  <c r="N213" i="1"/>
  <c r="O213" i="1"/>
  <c r="P213" i="1"/>
  <c r="Q213" i="1"/>
  <c r="R213" i="1"/>
  <c r="S213" i="1"/>
  <c r="T213" i="1"/>
  <c r="U213" i="1"/>
  <c r="W213" i="1"/>
  <c r="X213" i="1"/>
  <c r="Y213" i="1"/>
  <c r="Z213" i="1"/>
  <c r="AA213" i="1"/>
  <c r="AB213" i="1"/>
  <c r="AC213" i="1"/>
  <c r="AD213" i="1"/>
  <c r="AE213" i="1"/>
  <c r="AF213" i="1"/>
  <c r="AG213" i="1"/>
  <c r="AH213" i="1"/>
  <c r="AI213" i="1"/>
  <c r="AJ213" i="1"/>
  <c r="AK213" i="1"/>
  <c r="AL213" i="1"/>
  <c r="AM213" i="1"/>
  <c r="AN213" i="1"/>
  <c r="AO213" i="1"/>
  <c r="AQ213" i="1"/>
  <c r="AR213" i="1"/>
  <c r="AS213" i="1"/>
  <c r="AT213" i="1"/>
  <c r="AU213" i="1"/>
  <c r="AV213" i="1"/>
  <c r="AW213" i="1"/>
  <c r="AX213" i="1"/>
  <c r="AY213" i="1"/>
  <c r="BD213" i="1"/>
  <c r="BF213" i="1"/>
  <c r="BG213" i="1"/>
  <c r="BH213" i="1"/>
  <c r="BI213" i="1"/>
  <c r="BK213" i="1"/>
  <c r="BL213" i="1"/>
  <c r="BM213" i="1"/>
  <c r="BN213" i="1"/>
  <c r="BQ213" i="1"/>
  <c r="BR213" i="1"/>
  <c r="BS213" i="1"/>
  <c r="BU213" i="1"/>
  <c r="BV213" i="1"/>
  <c r="BZ213" i="1"/>
  <c r="CB213" i="1"/>
  <c r="CC213" i="1"/>
  <c r="H214" i="1"/>
  <c r="I214" i="1"/>
  <c r="J214" i="1"/>
  <c r="K214" i="1"/>
  <c r="M214" i="1"/>
  <c r="N214" i="1"/>
  <c r="O214" i="1"/>
  <c r="P214" i="1"/>
  <c r="R214" i="1"/>
  <c r="S214" i="1"/>
  <c r="T214" i="1"/>
  <c r="U214" i="1"/>
  <c r="W214" i="1"/>
  <c r="X214" i="1"/>
  <c r="Y214" i="1"/>
  <c r="Z214" i="1"/>
  <c r="AB214" i="1"/>
  <c r="AC214" i="1"/>
  <c r="AD214" i="1"/>
  <c r="AE214" i="1"/>
  <c r="AG214" i="1"/>
  <c r="AH214" i="1"/>
  <c r="AI214" i="1"/>
  <c r="AJ214" i="1"/>
  <c r="AK214" i="1"/>
  <c r="AL214" i="1"/>
  <c r="AM214" i="1"/>
  <c r="AN214" i="1"/>
  <c r="AO214" i="1"/>
  <c r="AQ214" i="1"/>
  <c r="AR214" i="1"/>
  <c r="AS214" i="1"/>
  <c r="AT214" i="1"/>
  <c r="AV214" i="1"/>
  <c r="AW214" i="1"/>
  <c r="AX214" i="1"/>
  <c r="AY214" i="1"/>
  <c r="BD214" i="1"/>
  <c r="BF214" i="1"/>
  <c r="BG214" i="1"/>
  <c r="BH214" i="1"/>
  <c r="BI214" i="1"/>
  <c r="BK214" i="1"/>
  <c r="BL214" i="1"/>
  <c r="BM214" i="1"/>
  <c r="BN214" i="1"/>
  <c r="BP214" i="1"/>
  <c r="BQ214" i="1"/>
  <c r="BR214" i="1"/>
  <c r="BS214" i="1"/>
  <c r="BU214" i="1"/>
  <c r="BV214" i="1"/>
  <c r="BW214" i="1"/>
  <c r="BX214" i="1"/>
  <c r="BZ214" i="1"/>
  <c r="CA214" i="1"/>
  <c r="CB214" i="1"/>
  <c r="CC214" i="1"/>
  <c r="H215" i="1"/>
  <c r="I215" i="1"/>
  <c r="J215" i="1"/>
  <c r="K215" i="1"/>
  <c r="M215" i="1"/>
  <c r="N215" i="1"/>
  <c r="O215" i="1"/>
  <c r="P215" i="1"/>
  <c r="Q215" i="1"/>
  <c r="R215" i="1"/>
  <c r="S215" i="1"/>
  <c r="T215" i="1"/>
  <c r="U215" i="1"/>
  <c r="W215" i="1"/>
  <c r="X215" i="1"/>
  <c r="Y215" i="1"/>
  <c r="Z215" i="1"/>
  <c r="AA215" i="1"/>
  <c r="AB215" i="1"/>
  <c r="AC215" i="1"/>
  <c r="AD215" i="1"/>
  <c r="AE215" i="1"/>
  <c r="AG215" i="1"/>
  <c r="AH215" i="1"/>
  <c r="AI215" i="1"/>
  <c r="AJ215" i="1"/>
  <c r="AK215" i="1"/>
  <c r="AL215" i="1"/>
  <c r="AM215" i="1"/>
  <c r="AN215" i="1"/>
  <c r="AO215" i="1"/>
  <c r="AQ215" i="1"/>
  <c r="AR215" i="1"/>
  <c r="AS215" i="1"/>
  <c r="AT215" i="1"/>
  <c r="AU215" i="1"/>
  <c r="AV215" i="1"/>
  <c r="BF215" i="1"/>
  <c r="BK215" i="1"/>
  <c r="BO215" i="1"/>
  <c r="BP215" i="1"/>
  <c r="BT215" i="1"/>
  <c r="BU215" i="1"/>
  <c r="BZ215" i="1"/>
  <c r="H216" i="1"/>
  <c r="I216" i="1"/>
  <c r="J216" i="1"/>
  <c r="K216" i="1"/>
  <c r="L216" i="1"/>
  <c r="M216" i="1"/>
  <c r="N216" i="1"/>
  <c r="O216" i="1"/>
  <c r="P216" i="1"/>
  <c r="Q216" i="1"/>
  <c r="R216" i="1"/>
  <c r="S216" i="1"/>
  <c r="T216" i="1"/>
  <c r="U216" i="1"/>
  <c r="W216" i="1"/>
  <c r="X216" i="1"/>
  <c r="Y216" i="1"/>
  <c r="Z216" i="1"/>
  <c r="AA216" i="1"/>
  <c r="AB216" i="1"/>
  <c r="AC216" i="1"/>
  <c r="AD216" i="1"/>
  <c r="AE216" i="1"/>
  <c r="AG216" i="1"/>
  <c r="AH216" i="1"/>
  <c r="AI216" i="1"/>
  <c r="AJ216" i="1"/>
  <c r="AK216" i="1"/>
  <c r="AL216" i="1"/>
  <c r="AM216" i="1"/>
  <c r="AN216" i="1"/>
  <c r="AO216" i="1"/>
  <c r="AQ216" i="1"/>
  <c r="AR216" i="1"/>
  <c r="AS216" i="1"/>
  <c r="AT216" i="1"/>
  <c r="AU216" i="1"/>
  <c r="AV216" i="1"/>
  <c r="BF216" i="1"/>
  <c r="BJ216" i="1"/>
  <c r="BK216" i="1"/>
  <c r="BO216" i="1"/>
  <c r="BP216" i="1"/>
  <c r="BT216" i="1"/>
  <c r="BU216" i="1"/>
  <c r="BV216" i="1"/>
  <c r="BZ216" i="1"/>
  <c r="CD216" i="1"/>
  <c r="H217" i="1"/>
  <c r="I217" i="1"/>
  <c r="J217" i="1"/>
  <c r="K217" i="1"/>
  <c r="L217" i="1"/>
  <c r="M217" i="1"/>
  <c r="N217" i="1"/>
  <c r="O217" i="1"/>
  <c r="P217" i="1"/>
  <c r="Q217" i="1"/>
  <c r="S217" i="1"/>
  <c r="T217" i="1"/>
  <c r="U217" i="1"/>
  <c r="W217" i="1"/>
  <c r="X217" i="1"/>
  <c r="Y217" i="1"/>
  <c r="Z217" i="1"/>
  <c r="AA217" i="1"/>
  <c r="AC217" i="1"/>
  <c r="AD217" i="1"/>
  <c r="AE217" i="1"/>
  <c r="AG217" i="1"/>
  <c r="AH217" i="1"/>
  <c r="AI217" i="1"/>
  <c r="AJ217" i="1"/>
  <c r="AK217" i="1"/>
  <c r="AM217" i="1"/>
  <c r="AN217" i="1"/>
  <c r="AO217" i="1"/>
  <c r="AQ217" i="1"/>
  <c r="AR217" i="1"/>
  <c r="AS217" i="1"/>
  <c r="AT217" i="1"/>
  <c r="AU217" i="1"/>
  <c r="BA217" i="1"/>
  <c r="BB217" i="1"/>
  <c r="BF217" i="1"/>
  <c r="BJ217" i="1"/>
  <c r="BK217" i="1"/>
  <c r="CA217" i="1"/>
  <c r="H218" i="1"/>
  <c r="I218" i="1"/>
  <c r="J218" i="1"/>
  <c r="K218" i="1"/>
  <c r="L218" i="1"/>
  <c r="M218" i="1"/>
  <c r="N218" i="1"/>
  <c r="O218" i="1"/>
  <c r="P218" i="1"/>
  <c r="R218" i="1"/>
  <c r="S218" i="1"/>
  <c r="T218" i="1"/>
  <c r="U218" i="1"/>
  <c r="W218" i="1"/>
  <c r="X218" i="1"/>
  <c r="Y218" i="1"/>
  <c r="Z218" i="1"/>
  <c r="AB218" i="1"/>
  <c r="AC218" i="1"/>
  <c r="AD218" i="1"/>
  <c r="AE218" i="1"/>
  <c r="AG218" i="1"/>
  <c r="AH218" i="1"/>
  <c r="AI218" i="1"/>
  <c r="AJ218" i="1"/>
  <c r="AK218" i="1"/>
  <c r="AL218" i="1"/>
  <c r="AM218" i="1"/>
  <c r="AN218" i="1"/>
  <c r="AO218" i="1"/>
  <c r="AQ218" i="1"/>
  <c r="AR218" i="1"/>
  <c r="AS218" i="1"/>
  <c r="AT218" i="1"/>
  <c r="AV218" i="1"/>
  <c r="BA218" i="1"/>
  <c r="BF218" i="1"/>
  <c r="BJ218" i="1"/>
  <c r="BK218" i="1"/>
  <c r="BP218" i="1"/>
  <c r="BQ218" i="1"/>
  <c r="BU218" i="1"/>
  <c r="BZ218" i="1"/>
  <c r="H219" i="1"/>
  <c r="I219" i="1"/>
  <c r="J219" i="1"/>
  <c r="N219" i="1"/>
  <c r="O219" i="1"/>
  <c r="P219" i="1"/>
  <c r="T219" i="1"/>
  <c r="W219" i="1"/>
  <c r="X219" i="1"/>
  <c r="Y219" i="1"/>
  <c r="AB219" i="1"/>
  <c r="AE219" i="1"/>
  <c r="AJ219" i="1"/>
  <c r="AM219" i="1"/>
  <c r="AN219" i="1"/>
  <c r="AO219" i="1"/>
  <c r="AR219" i="1"/>
  <c r="AV219" i="1"/>
  <c r="BK219" i="1"/>
  <c r="BP219" i="1"/>
  <c r="BU219" i="1"/>
  <c r="BZ219" i="1"/>
  <c r="CD219" i="1"/>
  <c r="H220" i="1"/>
  <c r="I220" i="1"/>
  <c r="J220" i="1"/>
  <c r="K220" i="1"/>
  <c r="M220" i="1"/>
  <c r="N220" i="1"/>
  <c r="O220" i="1"/>
  <c r="P220" i="1"/>
  <c r="R220" i="1"/>
  <c r="S220" i="1"/>
  <c r="T220" i="1"/>
  <c r="U220" i="1"/>
  <c r="V220" i="1"/>
  <c r="W220" i="1"/>
  <c r="X220" i="1"/>
  <c r="Y220" i="1"/>
  <c r="Z220" i="1"/>
  <c r="AA220" i="1"/>
  <c r="AB220" i="1"/>
  <c r="AC220" i="1"/>
  <c r="AD220" i="1"/>
  <c r="AE220" i="1"/>
  <c r="AG220" i="1"/>
  <c r="AH220" i="1"/>
  <c r="AI220" i="1"/>
  <c r="AJ220" i="1"/>
  <c r="AL220" i="1"/>
  <c r="AM220" i="1"/>
  <c r="AN220" i="1"/>
  <c r="AO220" i="1"/>
  <c r="AQ220" i="1"/>
  <c r="AR220" i="1"/>
  <c r="AS220" i="1"/>
  <c r="AT220" i="1"/>
  <c r="AU220" i="1"/>
  <c r="AV220" i="1"/>
  <c r="AW220" i="1"/>
  <c r="AX220" i="1"/>
  <c r="AY220" i="1"/>
  <c r="AZ220" i="1"/>
  <c r="BA220" i="1"/>
  <c r="BB220" i="1"/>
  <c r="BD220" i="1"/>
  <c r="BF220" i="1"/>
  <c r="BG220" i="1"/>
  <c r="BH220" i="1"/>
  <c r="BI220" i="1"/>
  <c r="BK220" i="1"/>
  <c r="BL220" i="1"/>
  <c r="BM220" i="1"/>
  <c r="BQ220" i="1"/>
  <c r="BR220" i="1"/>
  <c r="BS220" i="1"/>
  <c r="BU220" i="1"/>
  <c r="BV220" i="1"/>
  <c r="BW220" i="1"/>
  <c r="BX220" i="1"/>
  <c r="BY220" i="1"/>
  <c r="CA220" i="1"/>
  <c r="CB220" i="1"/>
  <c r="CV220" i="1" s="1"/>
  <c r="DA220" i="1" s="1"/>
  <c r="DF220" i="1" s="1"/>
  <c r="DK220" i="1" s="1"/>
  <c r="CC220" i="1"/>
  <c r="CW220" i="1" s="1"/>
  <c r="DB220" i="1" s="1"/>
  <c r="DG220" i="1" s="1"/>
  <c r="DL220" i="1" s="1"/>
  <c r="H221" i="1"/>
  <c r="H247" i="1" s="1"/>
  <c r="I221" i="1"/>
  <c r="I247" i="1" s="1"/>
  <c r="J221" i="1"/>
  <c r="J247" i="1" s="1"/>
  <c r="K221" i="1"/>
  <c r="K247" i="1" s="1"/>
  <c r="L221" i="1"/>
  <c r="L247" i="1" s="1"/>
  <c r="M221" i="1"/>
  <c r="N221" i="1"/>
  <c r="N247" i="1" s="1"/>
  <c r="O221" i="1"/>
  <c r="O247" i="1" s="1"/>
  <c r="P221" i="1"/>
  <c r="P247" i="1" s="1"/>
  <c r="R221" i="1"/>
  <c r="R247" i="1" s="1"/>
  <c r="S221" i="1"/>
  <c r="S247" i="1" s="1"/>
  <c r="T221" i="1"/>
  <c r="T247" i="1" s="1"/>
  <c r="U221" i="1"/>
  <c r="U247" i="1" s="1"/>
  <c r="W221" i="1"/>
  <c r="W247" i="1" s="1"/>
  <c r="X221" i="1"/>
  <c r="X247" i="1" s="1"/>
  <c r="Y221" i="1"/>
  <c r="Y247" i="1" s="1"/>
  <c r="Z221" i="1"/>
  <c r="AA221" i="1"/>
  <c r="AA247" i="1" s="1"/>
  <c r="AB221" i="1"/>
  <c r="AB247" i="1" s="1"/>
  <c r="AC221" i="1"/>
  <c r="AC247" i="1" s="1"/>
  <c r="AD221" i="1"/>
  <c r="AD247" i="1" s="1"/>
  <c r="AE221" i="1"/>
  <c r="AE247" i="1" s="1"/>
  <c r="AG221" i="1"/>
  <c r="AG247" i="1" s="1"/>
  <c r="AH221" i="1"/>
  <c r="AH247" i="1" s="1"/>
  <c r="AI221" i="1"/>
  <c r="AI247" i="1" s="1"/>
  <c r="AJ221" i="1"/>
  <c r="AJ247" i="1" s="1"/>
  <c r="AK221" i="1"/>
  <c r="AK247" i="1" s="1"/>
  <c r="AL221" i="1"/>
  <c r="AL247" i="1" s="1"/>
  <c r="AM221" i="1"/>
  <c r="AM247" i="1" s="1"/>
  <c r="AN221" i="1"/>
  <c r="AO221" i="1"/>
  <c r="AO247" i="1" s="1"/>
  <c r="AQ221" i="1"/>
  <c r="AQ247" i="1" s="1"/>
  <c r="AR221" i="1"/>
  <c r="AR247" i="1" s="1"/>
  <c r="AS221" i="1"/>
  <c r="AT221" i="1"/>
  <c r="AT247" i="1" s="1"/>
  <c r="AV221" i="1"/>
  <c r="AV247" i="1" s="1"/>
  <c r="AW221" i="1"/>
  <c r="AW247" i="1" s="1"/>
  <c r="AX221" i="1"/>
  <c r="AX247" i="1" s="1"/>
  <c r="AY221" i="1"/>
  <c r="AY247" i="1" s="1"/>
  <c r="AZ221" i="1"/>
  <c r="AZ247" i="1" s="1"/>
  <c r="BA221" i="1"/>
  <c r="BA247" i="1" s="1"/>
  <c r="BB221" i="1"/>
  <c r="BD221" i="1"/>
  <c r="BD247" i="1" s="1"/>
  <c r="BF221" i="1"/>
  <c r="BF247" i="1" s="1"/>
  <c r="BG221" i="1"/>
  <c r="BG247" i="1" s="1"/>
  <c r="BH221" i="1"/>
  <c r="BH247" i="1" s="1"/>
  <c r="BI221" i="1"/>
  <c r="BI247" i="1" s="1"/>
  <c r="BK221" i="1"/>
  <c r="BK247" i="1" s="1"/>
  <c r="BL221" i="1"/>
  <c r="BL247" i="1" s="1"/>
  <c r="BM221" i="1"/>
  <c r="BM247" i="1" s="1"/>
  <c r="BP221" i="1"/>
  <c r="BP247" i="1" s="1"/>
  <c r="BQ221" i="1"/>
  <c r="BQ247" i="1" s="1"/>
  <c r="BR221" i="1"/>
  <c r="BR247" i="1" s="1"/>
  <c r="BS221" i="1"/>
  <c r="BU221" i="1"/>
  <c r="BU247" i="1" s="1"/>
  <c r="BV221" i="1"/>
  <c r="BV247" i="1" s="1"/>
  <c r="BW221" i="1"/>
  <c r="BW247" i="1" s="1"/>
  <c r="BX221" i="1"/>
  <c r="BX247" i="1" s="1"/>
  <c r="BZ221" i="1"/>
  <c r="BZ247" i="1" s="1"/>
  <c r="CB221" i="1"/>
  <c r="CB247" i="1" s="1"/>
  <c r="H222" i="1"/>
  <c r="I222" i="1"/>
  <c r="J222" i="1"/>
  <c r="K222" i="1"/>
  <c r="M222" i="1"/>
  <c r="N222" i="1"/>
  <c r="O222" i="1"/>
  <c r="P222" i="1"/>
  <c r="R222" i="1"/>
  <c r="S222" i="1"/>
  <c r="T222" i="1"/>
  <c r="U222" i="1"/>
  <c r="W222" i="1"/>
  <c r="X222" i="1"/>
  <c r="Y222" i="1"/>
  <c r="Z222" i="1"/>
  <c r="AA222" i="1"/>
  <c r="AB222" i="1"/>
  <c r="AC222" i="1"/>
  <c r="AD222" i="1"/>
  <c r="AE222" i="1"/>
  <c r="AG222" i="1"/>
  <c r="AH222" i="1"/>
  <c r="AI222" i="1"/>
  <c r="AJ222" i="1"/>
  <c r="AL222" i="1"/>
  <c r="AM222" i="1"/>
  <c r="AN222" i="1"/>
  <c r="AO222" i="1"/>
  <c r="AQ222" i="1"/>
  <c r="AR222" i="1"/>
  <c r="AS222" i="1"/>
  <c r="AT222" i="1"/>
  <c r="AU222" i="1"/>
  <c r="AV222" i="1"/>
  <c r="AW222" i="1"/>
  <c r="AX222" i="1"/>
  <c r="AY222" i="1"/>
  <c r="BD222" i="1"/>
  <c r="BF222" i="1"/>
  <c r="BG222" i="1"/>
  <c r="BH222" i="1"/>
  <c r="BI222" i="1"/>
  <c r="BK222" i="1"/>
  <c r="BL222" i="1"/>
  <c r="BM222" i="1"/>
  <c r="BN222" i="1"/>
  <c r="BO222" i="1"/>
  <c r="BP222" i="1"/>
  <c r="BQ222" i="1"/>
  <c r="BR222" i="1"/>
  <c r="BS222" i="1"/>
  <c r="BU222" i="1"/>
  <c r="BV222" i="1"/>
  <c r="BW222" i="1"/>
  <c r="BX222" i="1"/>
  <c r="BZ222" i="1"/>
  <c r="CA222" i="1"/>
  <c r="CB222" i="1"/>
  <c r="CC222" i="1"/>
  <c r="H223" i="1"/>
  <c r="I223" i="1"/>
  <c r="J223" i="1"/>
  <c r="K223" i="1"/>
  <c r="M223" i="1"/>
  <c r="N223" i="1"/>
  <c r="O223" i="1"/>
  <c r="P223" i="1"/>
  <c r="Q223" i="1"/>
  <c r="R223" i="1"/>
  <c r="S223" i="1"/>
  <c r="T223" i="1"/>
  <c r="U223" i="1"/>
  <c r="W223" i="1"/>
  <c r="X223" i="1"/>
  <c r="Y223" i="1"/>
  <c r="Z223" i="1"/>
  <c r="AB223" i="1"/>
  <c r="AC223" i="1"/>
  <c r="AD223" i="1"/>
  <c r="AE223" i="1"/>
  <c r="AG223" i="1"/>
  <c r="AH223" i="1"/>
  <c r="AI223" i="1"/>
  <c r="AJ223" i="1"/>
  <c r="AL223" i="1"/>
  <c r="AM223" i="1"/>
  <c r="AN223" i="1"/>
  <c r="AO223" i="1"/>
  <c r="AQ223" i="1"/>
  <c r="AR223" i="1"/>
  <c r="AS223" i="1"/>
  <c r="AT223" i="1"/>
  <c r="AV223" i="1"/>
  <c r="AW223" i="1"/>
  <c r="AX223" i="1"/>
  <c r="AY223" i="1"/>
  <c r="AZ223" i="1"/>
  <c r="BD223" i="1"/>
  <c r="BF223" i="1"/>
  <c r="BG223" i="1"/>
  <c r="BH223" i="1"/>
  <c r="BI223" i="1"/>
  <c r="BK223" i="1"/>
  <c r="BL223" i="1"/>
  <c r="BM223" i="1"/>
  <c r="BN223" i="1"/>
  <c r="BP223" i="1"/>
  <c r="BQ223" i="1"/>
  <c r="BR223" i="1"/>
  <c r="BS223" i="1"/>
  <c r="BU223" i="1"/>
  <c r="BV223" i="1"/>
  <c r="BW223" i="1"/>
  <c r="BX223" i="1"/>
  <c r="BZ223" i="1"/>
  <c r="CA223" i="1"/>
  <c r="CB223" i="1"/>
  <c r="CC223" i="1"/>
  <c r="H224" i="1"/>
  <c r="I224" i="1"/>
  <c r="J224" i="1"/>
  <c r="K224" i="1"/>
  <c r="M224" i="1"/>
  <c r="N224" i="1"/>
  <c r="O224" i="1"/>
  <c r="P224" i="1"/>
  <c r="Q224" i="1"/>
  <c r="R224" i="1"/>
  <c r="S224" i="1"/>
  <c r="T224" i="1"/>
  <c r="U224" i="1"/>
  <c r="V224" i="1"/>
  <c r="W224" i="1"/>
  <c r="X224" i="1"/>
  <c r="Y224" i="1"/>
  <c r="Z224" i="1"/>
  <c r="AA224" i="1"/>
  <c r="AB224" i="1"/>
  <c r="AC224" i="1"/>
  <c r="AD224" i="1"/>
  <c r="AE224" i="1"/>
  <c r="AG224" i="1"/>
  <c r="AH224" i="1"/>
  <c r="AI224" i="1"/>
  <c r="AJ224" i="1"/>
  <c r="AK224" i="1"/>
  <c r="AL224" i="1"/>
  <c r="AM224" i="1"/>
  <c r="AN224" i="1"/>
  <c r="AO224" i="1"/>
  <c r="AP224" i="1"/>
  <c r="AQ224" i="1"/>
  <c r="AR224" i="1"/>
  <c r="AS224" i="1"/>
  <c r="AT224" i="1"/>
  <c r="AU224" i="1"/>
  <c r="AV224" i="1"/>
  <c r="AW224" i="1"/>
  <c r="AX224" i="1"/>
  <c r="AY224" i="1"/>
  <c r="BD224" i="1"/>
  <c r="BF224" i="1"/>
  <c r="BG224" i="1"/>
  <c r="BH224" i="1"/>
  <c r="BI224" i="1"/>
  <c r="BJ224" i="1"/>
  <c r="BK224" i="1"/>
  <c r="BL224" i="1"/>
  <c r="BM224" i="1"/>
  <c r="BN224" i="1"/>
  <c r="BO224" i="1"/>
  <c r="BP224" i="1"/>
  <c r="BQ224" i="1"/>
  <c r="BR224" i="1"/>
  <c r="BS224" i="1"/>
  <c r="BT224" i="1"/>
  <c r="BU224" i="1"/>
  <c r="BV224" i="1"/>
  <c r="BW224" i="1"/>
  <c r="BX224" i="1"/>
  <c r="BZ224" i="1"/>
  <c r="CA224" i="1"/>
  <c r="CB224" i="1"/>
  <c r="CC224" i="1"/>
  <c r="H225" i="1"/>
  <c r="I225" i="1"/>
  <c r="J225" i="1"/>
  <c r="K225" i="1"/>
  <c r="M225" i="1"/>
  <c r="N225" i="1"/>
  <c r="O225" i="1"/>
  <c r="P225" i="1"/>
  <c r="Q225" i="1"/>
  <c r="R225" i="1"/>
  <c r="S225" i="1"/>
  <c r="T225" i="1"/>
  <c r="U225" i="1"/>
  <c r="W225" i="1"/>
  <c r="X225" i="1"/>
  <c r="Y225" i="1"/>
  <c r="Z225" i="1"/>
  <c r="AA225" i="1"/>
  <c r="AB225" i="1"/>
  <c r="AC225" i="1"/>
  <c r="AD225" i="1"/>
  <c r="AE225" i="1"/>
  <c r="AG225" i="1"/>
  <c r="AH225" i="1"/>
  <c r="AI225" i="1"/>
  <c r="AJ225" i="1"/>
  <c r="AK225" i="1"/>
  <c r="AL225" i="1"/>
  <c r="AM225" i="1"/>
  <c r="AN225" i="1"/>
  <c r="AO225" i="1"/>
  <c r="AQ225" i="1"/>
  <c r="AR225" i="1"/>
  <c r="AS225" i="1"/>
  <c r="AT225" i="1"/>
  <c r="AU225" i="1"/>
  <c r="AV225" i="1"/>
  <c r="AW225" i="1"/>
  <c r="AX225" i="1"/>
  <c r="AY225" i="1"/>
  <c r="BD225" i="1"/>
  <c r="BF225" i="1"/>
  <c r="BG225" i="1"/>
  <c r="BH225" i="1"/>
  <c r="BI225" i="1"/>
  <c r="BK225" i="1"/>
  <c r="BL225" i="1"/>
  <c r="BM225" i="1"/>
  <c r="BN225" i="1"/>
  <c r="BO225" i="1"/>
  <c r="BP225" i="1"/>
  <c r="BQ225" i="1"/>
  <c r="BR225" i="1"/>
  <c r="BS225" i="1"/>
  <c r="BU225" i="1"/>
  <c r="BV225" i="1"/>
  <c r="BW225" i="1"/>
  <c r="BX225" i="1"/>
  <c r="BZ225" i="1"/>
  <c r="CA225" i="1"/>
  <c r="CB225" i="1"/>
  <c r="CC225" i="1"/>
  <c r="BO226" i="1"/>
  <c r="BT226" i="1"/>
  <c r="BY226" i="1"/>
  <c r="CD226" i="1"/>
  <c r="H227" i="1"/>
  <c r="M227" i="1"/>
  <c r="R227" i="1"/>
  <c r="AG227" i="1"/>
  <c r="AL227" i="1"/>
  <c r="AQ227" i="1"/>
  <c r="BK227" i="1"/>
  <c r="BP227" i="1"/>
  <c r="BU227" i="1"/>
  <c r="H229" i="1"/>
  <c r="H232" i="1" s="1"/>
  <c r="I229" i="1"/>
  <c r="J229" i="1"/>
  <c r="K229" i="1"/>
  <c r="M229" i="1"/>
  <c r="N229" i="1"/>
  <c r="O229" i="1"/>
  <c r="P229" i="1"/>
  <c r="R229" i="1"/>
  <c r="S229" i="1"/>
  <c r="T229" i="1"/>
  <c r="U229" i="1"/>
  <c r="W229" i="1"/>
  <c r="X229" i="1"/>
  <c r="Y229" i="1"/>
  <c r="Z229" i="1"/>
  <c r="AB229" i="1"/>
  <c r="AC229" i="1"/>
  <c r="AD229" i="1"/>
  <c r="AE229" i="1"/>
  <c r="AF229" i="1"/>
  <c r="AG229" i="1"/>
  <c r="AH229" i="1"/>
  <c r="AI229" i="1"/>
  <c r="AJ229" i="1"/>
  <c r="AL229" i="1"/>
  <c r="AM229" i="1"/>
  <c r="AN229" i="1"/>
  <c r="AO229" i="1"/>
  <c r="AQ229" i="1"/>
  <c r="AR229" i="1"/>
  <c r="AS229" i="1"/>
  <c r="AT229" i="1"/>
  <c r="AV229" i="1"/>
  <c r="AW229" i="1"/>
  <c r="AX229" i="1"/>
  <c r="AY229" i="1"/>
  <c r="BA229" i="1"/>
  <c r="BB229" i="1"/>
  <c r="BC229" i="1"/>
  <c r="BD229" i="1"/>
  <c r="BF229" i="1"/>
  <c r="BG229" i="1"/>
  <c r="BH229" i="1"/>
  <c r="BI229" i="1"/>
  <c r="BK229" i="1"/>
  <c r="BL229" i="1"/>
  <c r="BM229" i="1"/>
  <c r="BN229" i="1"/>
  <c r="BN231" i="1" s="1"/>
  <c r="BN305" i="1" s="1"/>
  <c r="BP229" i="1"/>
  <c r="BQ229" i="1"/>
  <c r="BR229" i="1"/>
  <c r="BS229" i="1"/>
  <c r="BU229" i="1"/>
  <c r="BV229" i="1"/>
  <c r="BW229" i="1"/>
  <c r="BX229" i="1"/>
  <c r="BZ229" i="1"/>
  <c r="H230" i="1"/>
  <c r="I230" i="1"/>
  <c r="J230" i="1"/>
  <c r="K230" i="1"/>
  <c r="M230" i="1"/>
  <c r="N230" i="1"/>
  <c r="O230" i="1"/>
  <c r="P230" i="1"/>
  <c r="R230" i="1"/>
  <c r="S230" i="1"/>
  <c r="T230" i="1"/>
  <c r="U230" i="1"/>
  <c r="W230" i="1"/>
  <c r="X230" i="1"/>
  <c r="Y230" i="1"/>
  <c r="Z230" i="1"/>
  <c r="AB230" i="1"/>
  <c r="AB231" i="1" s="1"/>
  <c r="AC230" i="1"/>
  <c r="AD230" i="1"/>
  <c r="AE230" i="1"/>
  <c r="AG230" i="1"/>
  <c r="AH230" i="1"/>
  <c r="AI230" i="1"/>
  <c r="AJ230" i="1"/>
  <c r="AL230" i="1"/>
  <c r="AL231" i="1" s="1"/>
  <c r="AM230" i="1"/>
  <c r="AN230" i="1"/>
  <c r="AO230" i="1"/>
  <c r="AQ230" i="1"/>
  <c r="AR230" i="1"/>
  <c r="AS230" i="1"/>
  <c r="AT230" i="1"/>
  <c r="AV230" i="1"/>
  <c r="AW230" i="1"/>
  <c r="AX230" i="1"/>
  <c r="AY230" i="1"/>
  <c r="BA230" i="1"/>
  <c r="BB230" i="1"/>
  <c r="BC230" i="1"/>
  <c r="BD230" i="1"/>
  <c r="BF230" i="1"/>
  <c r="BG230" i="1"/>
  <c r="BH230" i="1"/>
  <c r="BI230" i="1"/>
  <c r="BK230" i="1"/>
  <c r="BL230" i="1"/>
  <c r="BM230" i="1"/>
  <c r="BN230" i="1"/>
  <c r="BP230" i="1"/>
  <c r="BQ230" i="1"/>
  <c r="BR230" i="1"/>
  <c r="BS230" i="1"/>
  <c r="BU230" i="1"/>
  <c r="BV230" i="1"/>
  <c r="BW230" i="1"/>
  <c r="BX230" i="1"/>
  <c r="BZ230" i="1"/>
  <c r="CA230" i="1"/>
  <c r="J236" i="1"/>
  <c r="M236" i="1"/>
  <c r="T236" i="1"/>
  <c r="Z236" i="1"/>
  <c r="AL236" i="1"/>
  <c r="G238" i="1"/>
  <c r="G244" i="1" s="1"/>
  <c r="G250" i="1" s="1"/>
  <c r="G262" i="1" s="1"/>
  <c r="H238" i="1"/>
  <c r="H244" i="1" s="1"/>
  <c r="H250" i="1" s="1"/>
  <c r="H262" i="1" s="1"/>
  <c r="I238" i="1"/>
  <c r="I244" i="1" s="1"/>
  <c r="I250" i="1" s="1"/>
  <c r="I262" i="1" s="1"/>
  <c r="J238" i="1"/>
  <c r="J244" i="1" s="1"/>
  <c r="J250" i="1" s="1"/>
  <c r="J262" i="1" s="1"/>
  <c r="K238" i="1"/>
  <c r="K244" i="1" s="1"/>
  <c r="K250" i="1" s="1"/>
  <c r="K262" i="1" s="1"/>
  <c r="L238" i="1"/>
  <c r="L244" i="1" s="1"/>
  <c r="L250" i="1" s="1"/>
  <c r="L262" i="1" s="1"/>
  <c r="M238" i="1"/>
  <c r="M244" i="1" s="1"/>
  <c r="M250" i="1" s="1"/>
  <c r="M262" i="1" s="1"/>
  <c r="N238" i="1"/>
  <c r="N244" i="1" s="1"/>
  <c r="N250" i="1" s="1"/>
  <c r="N262" i="1" s="1"/>
  <c r="O238" i="1"/>
  <c r="O244" i="1" s="1"/>
  <c r="O250" i="1" s="1"/>
  <c r="O262" i="1" s="1"/>
  <c r="P238" i="1"/>
  <c r="P244" i="1" s="1"/>
  <c r="P250" i="1" s="1"/>
  <c r="P262" i="1" s="1"/>
  <c r="Q238" i="1"/>
  <c r="Q244" i="1" s="1"/>
  <c r="Q250" i="1" s="1"/>
  <c r="Q262" i="1" s="1"/>
  <c r="R238" i="1"/>
  <c r="R244" i="1" s="1"/>
  <c r="R250" i="1" s="1"/>
  <c r="R262" i="1" s="1"/>
  <c r="S238" i="1"/>
  <c r="S244" i="1" s="1"/>
  <c r="S250" i="1" s="1"/>
  <c r="S262" i="1" s="1"/>
  <c r="T238" i="1"/>
  <c r="T244" i="1" s="1"/>
  <c r="T250" i="1" s="1"/>
  <c r="T262" i="1" s="1"/>
  <c r="U238" i="1"/>
  <c r="U244" i="1" s="1"/>
  <c r="U250" i="1" s="1"/>
  <c r="U262" i="1" s="1"/>
  <c r="V238" i="1"/>
  <c r="V244" i="1" s="1"/>
  <c r="V250" i="1" s="1"/>
  <c r="V262" i="1" s="1"/>
  <c r="W238" i="1"/>
  <c r="W244" i="1" s="1"/>
  <c r="W250" i="1" s="1"/>
  <c r="W262" i="1" s="1"/>
  <c r="X238" i="1"/>
  <c r="X244" i="1" s="1"/>
  <c r="X250" i="1" s="1"/>
  <c r="X262" i="1" s="1"/>
  <c r="Y238" i="1"/>
  <c r="Y244" i="1" s="1"/>
  <c r="Y250" i="1" s="1"/>
  <c r="Y262" i="1" s="1"/>
  <c r="Z238" i="1"/>
  <c r="Z244" i="1" s="1"/>
  <c r="Z250" i="1" s="1"/>
  <c r="Z262" i="1" s="1"/>
  <c r="AA238" i="1"/>
  <c r="AA244" i="1" s="1"/>
  <c r="AA250" i="1" s="1"/>
  <c r="AA262" i="1" s="1"/>
  <c r="AB238" i="1"/>
  <c r="AB244" i="1" s="1"/>
  <c r="AB250" i="1" s="1"/>
  <c r="AB262" i="1" s="1"/>
  <c r="AC238" i="1"/>
  <c r="AC244" i="1" s="1"/>
  <c r="AC250" i="1" s="1"/>
  <c r="AC262" i="1" s="1"/>
  <c r="AD238" i="1"/>
  <c r="AD244" i="1" s="1"/>
  <c r="AD250" i="1" s="1"/>
  <c r="AD262" i="1" s="1"/>
  <c r="AE238" i="1"/>
  <c r="AE244" i="1" s="1"/>
  <c r="AE250" i="1" s="1"/>
  <c r="AE262" i="1" s="1"/>
  <c r="AF238" i="1"/>
  <c r="AF244" i="1" s="1"/>
  <c r="AF250" i="1" s="1"/>
  <c r="AF262" i="1" s="1"/>
  <c r="AG238" i="1"/>
  <c r="AG244" i="1" s="1"/>
  <c r="AG250" i="1" s="1"/>
  <c r="AG262" i="1" s="1"/>
  <c r="AH238" i="1"/>
  <c r="AH244" i="1" s="1"/>
  <c r="AH250" i="1" s="1"/>
  <c r="AH262" i="1" s="1"/>
  <c r="AI238" i="1"/>
  <c r="AI244" i="1" s="1"/>
  <c r="AI250" i="1" s="1"/>
  <c r="AI262" i="1" s="1"/>
  <c r="AJ238" i="1"/>
  <c r="AJ244" i="1" s="1"/>
  <c r="AJ250" i="1" s="1"/>
  <c r="AJ262" i="1" s="1"/>
  <c r="AK238" i="1"/>
  <c r="AK244" i="1" s="1"/>
  <c r="AK250" i="1" s="1"/>
  <c r="AK262" i="1" s="1"/>
  <c r="AL238" i="1"/>
  <c r="AL244" i="1" s="1"/>
  <c r="AL250" i="1" s="1"/>
  <c r="AL262" i="1" s="1"/>
  <c r="AM238" i="1"/>
  <c r="AM244" i="1" s="1"/>
  <c r="AM250" i="1" s="1"/>
  <c r="AM262" i="1" s="1"/>
  <c r="AN238" i="1"/>
  <c r="AN244" i="1" s="1"/>
  <c r="AN250" i="1" s="1"/>
  <c r="AN262" i="1" s="1"/>
  <c r="AO238" i="1"/>
  <c r="AO244" i="1" s="1"/>
  <c r="AO250" i="1" s="1"/>
  <c r="AO262" i="1" s="1"/>
  <c r="AP238" i="1"/>
  <c r="AP244" i="1" s="1"/>
  <c r="AP250" i="1" s="1"/>
  <c r="AP262" i="1" s="1"/>
  <c r="AQ238" i="1"/>
  <c r="AQ244" i="1" s="1"/>
  <c r="AQ250" i="1" s="1"/>
  <c r="AQ262" i="1" s="1"/>
  <c r="AR238" i="1"/>
  <c r="AR244" i="1" s="1"/>
  <c r="AR250" i="1" s="1"/>
  <c r="AR262" i="1" s="1"/>
  <c r="AS238" i="1"/>
  <c r="AS244" i="1" s="1"/>
  <c r="AS250" i="1" s="1"/>
  <c r="AS262" i="1" s="1"/>
  <c r="AT238" i="1"/>
  <c r="AT244" i="1" s="1"/>
  <c r="AT250" i="1" s="1"/>
  <c r="AT262" i="1" s="1"/>
  <c r="AU238" i="1"/>
  <c r="AU244" i="1" s="1"/>
  <c r="AU250" i="1" s="1"/>
  <c r="AU262" i="1" s="1"/>
  <c r="AV238" i="1"/>
  <c r="AV244" i="1" s="1"/>
  <c r="AV250" i="1" s="1"/>
  <c r="AV262" i="1" s="1"/>
  <c r="AW238" i="1"/>
  <c r="AW244" i="1" s="1"/>
  <c r="AW250" i="1" s="1"/>
  <c r="AW262" i="1" s="1"/>
  <c r="AX238" i="1"/>
  <c r="AX244" i="1" s="1"/>
  <c r="AX250" i="1" s="1"/>
  <c r="AX262" i="1" s="1"/>
  <c r="AY238" i="1"/>
  <c r="AY244" i="1" s="1"/>
  <c r="AY250" i="1" s="1"/>
  <c r="AY262" i="1" s="1"/>
  <c r="AZ238" i="1"/>
  <c r="AZ244" i="1" s="1"/>
  <c r="AZ250" i="1" s="1"/>
  <c r="AZ262" i="1" s="1"/>
  <c r="BA238" i="1"/>
  <c r="BA244" i="1" s="1"/>
  <c r="BA250" i="1" s="1"/>
  <c r="BA262" i="1" s="1"/>
  <c r="BB238" i="1"/>
  <c r="BB244" i="1" s="1"/>
  <c r="BB250" i="1" s="1"/>
  <c r="BB262" i="1" s="1"/>
  <c r="BC238" i="1"/>
  <c r="BC244" i="1" s="1"/>
  <c r="BC250" i="1" s="1"/>
  <c r="BC262" i="1" s="1"/>
  <c r="BD238" i="1"/>
  <c r="BD244" i="1" s="1"/>
  <c r="BD250" i="1" s="1"/>
  <c r="BD262" i="1" s="1"/>
  <c r="BE238" i="1"/>
  <c r="BE244" i="1" s="1"/>
  <c r="BE250" i="1" s="1"/>
  <c r="BE262" i="1" s="1"/>
  <c r="BF238" i="1"/>
  <c r="BF244" i="1" s="1"/>
  <c r="BF250" i="1" s="1"/>
  <c r="BF262" i="1" s="1"/>
  <c r="BG238" i="1"/>
  <c r="BG244" i="1" s="1"/>
  <c r="BG250" i="1" s="1"/>
  <c r="BG262" i="1" s="1"/>
  <c r="BH238" i="1"/>
  <c r="BH244" i="1" s="1"/>
  <c r="BH250" i="1" s="1"/>
  <c r="BH262" i="1" s="1"/>
  <c r="BI238" i="1"/>
  <c r="BI244" i="1" s="1"/>
  <c r="BI250" i="1" s="1"/>
  <c r="BI262" i="1" s="1"/>
  <c r="BJ238" i="1"/>
  <c r="BJ244" i="1" s="1"/>
  <c r="BJ250" i="1" s="1"/>
  <c r="BJ262" i="1" s="1"/>
  <c r="BK238" i="1"/>
  <c r="BK244" i="1" s="1"/>
  <c r="BK250" i="1" s="1"/>
  <c r="BK262" i="1" s="1"/>
  <c r="BL238" i="1"/>
  <c r="BL244" i="1" s="1"/>
  <c r="BL250" i="1" s="1"/>
  <c r="BL262" i="1" s="1"/>
  <c r="BM238" i="1"/>
  <c r="BM244" i="1" s="1"/>
  <c r="BM250" i="1" s="1"/>
  <c r="BM262" i="1" s="1"/>
  <c r="BN238" i="1"/>
  <c r="BN244" i="1" s="1"/>
  <c r="BN250" i="1" s="1"/>
  <c r="BN262" i="1" s="1"/>
  <c r="BO238" i="1"/>
  <c r="BO244" i="1" s="1"/>
  <c r="BO250" i="1" s="1"/>
  <c r="BO262" i="1" s="1"/>
  <c r="BP238" i="1"/>
  <c r="BP244" i="1" s="1"/>
  <c r="BP250" i="1" s="1"/>
  <c r="BP262" i="1" s="1"/>
  <c r="BQ238" i="1"/>
  <c r="BQ244" i="1" s="1"/>
  <c r="BQ250" i="1" s="1"/>
  <c r="BQ262" i="1" s="1"/>
  <c r="BR238" i="1"/>
  <c r="BR244" i="1" s="1"/>
  <c r="BR250" i="1" s="1"/>
  <c r="BR262" i="1" s="1"/>
  <c r="BS238" i="1"/>
  <c r="BS244" i="1" s="1"/>
  <c r="BS250" i="1" s="1"/>
  <c r="BS262" i="1" s="1"/>
  <c r="BT238" i="1"/>
  <c r="BT244" i="1" s="1"/>
  <c r="BT250" i="1" s="1"/>
  <c r="BT262" i="1" s="1"/>
  <c r="BU238" i="1"/>
  <c r="BU244" i="1" s="1"/>
  <c r="BU250" i="1" s="1"/>
  <c r="BV238" i="1"/>
  <c r="BV244" i="1" s="1"/>
  <c r="BV250" i="1" s="1"/>
  <c r="BW238" i="1"/>
  <c r="BW244" i="1" s="1"/>
  <c r="BW250" i="1" s="1"/>
  <c r="BX238" i="1"/>
  <c r="BX244" i="1" s="1"/>
  <c r="BX250" i="1" s="1"/>
  <c r="BY238" i="1"/>
  <c r="BY244" i="1" s="1"/>
  <c r="BY250" i="1" s="1"/>
  <c r="BZ238" i="1"/>
  <c r="BZ244" i="1" s="1"/>
  <c r="BZ250" i="1" s="1"/>
  <c r="CA238" i="1"/>
  <c r="CA244" i="1" s="1"/>
  <c r="CA250" i="1" s="1"/>
  <c r="CB238" i="1"/>
  <c r="CB244" i="1" s="1"/>
  <c r="CB250" i="1" s="1"/>
  <c r="CC238" i="1"/>
  <c r="CC244" i="1" s="1"/>
  <c r="CC250" i="1" s="1"/>
  <c r="CD238" i="1"/>
  <c r="CD244" i="1" s="1"/>
  <c r="CD250" i="1" s="1"/>
  <c r="CE238" i="1"/>
  <c r="CE244" i="1" s="1"/>
  <c r="CE250" i="1" s="1"/>
  <c r="CF238" i="1"/>
  <c r="CF244" i="1" s="1"/>
  <c r="CF250" i="1" s="1"/>
  <c r="CG238" i="1"/>
  <c r="CG244" i="1" s="1"/>
  <c r="CG250" i="1" s="1"/>
  <c r="CH238" i="1"/>
  <c r="CH244" i="1" s="1"/>
  <c r="CH250" i="1" s="1"/>
  <c r="CI238" i="1"/>
  <c r="CI244" i="1" s="1"/>
  <c r="CI250" i="1" s="1"/>
  <c r="AC239" i="1"/>
  <c r="V245" i="1"/>
  <c r="M247" i="1"/>
  <c r="Z247" i="1"/>
  <c r="AN247" i="1"/>
  <c r="AS247" i="1"/>
  <c r="BB247" i="1"/>
  <c r="BS247" i="1"/>
  <c r="AV263" i="1"/>
  <c r="AZ263" i="1" s="1"/>
  <c r="BA263" i="1"/>
  <c r="BJ263" i="1"/>
  <c r="BK263" i="1"/>
  <c r="BL263" i="1"/>
  <c r="BQ263" i="1" s="1"/>
  <c r="BQ266" i="1" s="1"/>
  <c r="BM263" i="1"/>
  <c r="BR263" i="1" s="1"/>
  <c r="BR266" i="1" s="1"/>
  <c r="BN263" i="1"/>
  <c r="BS263" i="1" s="1"/>
  <c r="BS266" i="1" s="1"/>
  <c r="AQ264" i="1"/>
  <c r="AR264" i="1"/>
  <c r="AS264" i="1"/>
  <c r="AT264" i="1"/>
  <c r="AU264" i="1"/>
  <c r="AW264" i="1"/>
  <c r="AX264" i="1"/>
  <c r="AY264" i="1"/>
  <c r="BB264" i="1"/>
  <c r="BC264" i="1"/>
  <c r="BD264" i="1"/>
  <c r="BG264" i="1"/>
  <c r="BH264" i="1"/>
  <c r="BI264" i="1"/>
  <c r="BD266" i="1"/>
  <c r="BF266" i="1"/>
  <c r="BG266" i="1"/>
  <c r="BH266" i="1"/>
  <c r="BI266" i="1"/>
  <c r="AB271" i="1"/>
  <c r="AC271" i="1"/>
  <c r="AD271" i="1"/>
  <c r="AE271" i="1"/>
  <c r="AF271" i="1"/>
  <c r="AG271" i="1"/>
  <c r="AH271" i="1"/>
  <c r="AI271" i="1"/>
  <c r="AJ271" i="1"/>
  <c r="AK271" i="1"/>
  <c r="AL271" i="1"/>
  <c r="AM271" i="1"/>
  <c r="AN271" i="1"/>
  <c r="AO271" i="1"/>
  <c r="AP271" i="1"/>
  <c r="AQ271" i="1"/>
  <c r="AR271" i="1"/>
  <c r="AS271" i="1"/>
  <c r="AT271" i="1"/>
  <c r="AU271" i="1"/>
  <c r="AV271" i="1"/>
  <c r="AW271" i="1"/>
  <c r="AX271" i="1"/>
  <c r="AY271" i="1"/>
  <c r="AZ271" i="1"/>
  <c r="BA271" i="1"/>
  <c r="BB271" i="1"/>
  <c r="BC271" i="1"/>
  <c r="BD271" i="1"/>
  <c r="BE271" i="1"/>
  <c r="BF271" i="1"/>
  <c r="BG271" i="1"/>
  <c r="BH271" i="1"/>
  <c r="BI271" i="1"/>
  <c r="BJ271" i="1"/>
  <c r="BK271" i="1"/>
  <c r="BL271" i="1"/>
  <c r="BM271" i="1"/>
  <c r="BN271" i="1"/>
  <c r="BO271" i="1"/>
  <c r="BP271" i="1"/>
  <c r="BQ271" i="1"/>
  <c r="BR271" i="1"/>
  <c r="BS271" i="1"/>
  <c r="BT271" i="1"/>
  <c r="BU271" i="1"/>
  <c r="BV271" i="1"/>
  <c r="BW271" i="1"/>
  <c r="BX271" i="1"/>
  <c r="BY271" i="1"/>
  <c r="BZ271" i="1"/>
  <c r="CA271" i="1"/>
  <c r="CB271" i="1"/>
  <c r="CC271" i="1"/>
  <c r="CD271" i="1"/>
  <c r="AB272" i="1"/>
  <c r="AC272" i="1"/>
  <c r="AD272" i="1"/>
  <c r="AE272" i="1"/>
  <c r="AF272" i="1"/>
  <c r="AG272" i="1"/>
  <c r="AH272" i="1"/>
  <c r="AI272" i="1"/>
  <c r="AJ272" i="1"/>
  <c r="AK272" i="1"/>
  <c r="AL272" i="1"/>
  <c r="AM272" i="1"/>
  <c r="AN272" i="1"/>
  <c r="AO272" i="1"/>
  <c r="AP272" i="1"/>
  <c r="AQ272" i="1"/>
  <c r="AR272" i="1"/>
  <c r="AS272" i="1"/>
  <c r="AT272" i="1"/>
  <c r="AU272" i="1"/>
  <c r="AV272" i="1"/>
  <c r="AW272" i="1"/>
  <c r="AZ272" i="1"/>
  <c r="BA272" i="1"/>
  <c r="BE272" i="1"/>
  <c r="BF272" i="1"/>
  <c r="BK272" i="1"/>
  <c r="BO272" i="1"/>
  <c r="BP272" i="1"/>
  <c r="BQ272" i="1"/>
  <c r="BT272" i="1"/>
  <c r="BU272" i="1"/>
  <c r="BY272" i="1"/>
  <c r="BZ272" i="1"/>
  <c r="CD272" i="1"/>
  <c r="CE272" i="1"/>
  <c r="BB273" i="1"/>
  <c r="W292" i="1"/>
  <c r="X292" i="1"/>
  <c r="Y292" i="1"/>
  <c r="Z292" i="1"/>
  <c r="AA292" i="1"/>
  <c r="AB292" i="1"/>
  <c r="AC292" i="1"/>
  <c r="AD292" i="1"/>
  <c r="AE292" i="1"/>
  <c r="AG292" i="1"/>
  <c r="AH292" i="1"/>
  <c r="AI292" i="1"/>
  <c r="AJ292" i="1"/>
  <c r="AK292" i="1"/>
  <c r="AL292" i="1"/>
  <c r="AM292" i="1"/>
  <c r="AN292" i="1"/>
  <c r="AO292" i="1"/>
  <c r="AQ292" i="1"/>
  <c r="AR292" i="1"/>
  <c r="AS292" i="1"/>
  <c r="AT292" i="1"/>
  <c r="AU292" i="1"/>
  <c r="AV292" i="1"/>
  <c r="AW292" i="1"/>
  <c r="AX292" i="1"/>
  <c r="AY292" i="1"/>
  <c r="BD292" i="1"/>
  <c r="V293" i="1"/>
  <c r="AA293" i="1"/>
  <c r="AF293" i="1"/>
  <c r="AK293" i="1"/>
  <c r="AP293" i="1"/>
  <c r="AU293" i="1"/>
  <c r="AZ293" i="1"/>
  <c r="BE293" i="1"/>
  <c r="BF298" i="1"/>
  <c r="BG298" i="1"/>
  <c r="BH298" i="1"/>
  <c r="BI298" i="1"/>
  <c r="BJ298" i="1"/>
  <c r="BK298" i="1"/>
  <c r="BL298" i="1"/>
  <c r="BM298" i="1"/>
  <c r="BN298" i="1"/>
  <c r="BO298" i="1"/>
  <c r="BP298" i="1"/>
  <c r="BQ298" i="1"/>
  <c r="BR298" i="1"/>
  <c r="BS298" i="1"/>
  <c r="BT298" i="1"/>
  <c r="BU298" i="1"/>
  <c r="BV298" i="1"/>
  <c r="BW298" i="1"/>
  <c r="BX298" i="1"/>
  <c r="BZ298" i="1"/>
  <c r="CA298" i="1"/>
  <c r="CB298" i="1"/>
  <c r="CC298" i="1"/>
  <c r="CD298" i="1"/>
  <c r="BK299" i="1"/>
  <c r="BW299" i="1"/>
  <c r="BE300" i="1"/>
  <c r="BF300" i="1"/>
  <c r="BG300" i="1"/>
  <c r="BH300" i="1"/>
  <c r="BI300" i="1"/>
  <c r="BK300" i="1"/>
  <c r="BL300" i="1"/>
  <c r="BM300" i="1"/>
  <c r="BN300" i="1"/>
  <c r="BO300" i="1"/>
  <c r="BP300" i="1"/>
  <c r="BQ300" i="1"/>
  <c r="BR300" i="1"/>
  <c r="BS300" i="1"/>
  <c r="BU300" i="1"/>
  <c r="BV300" i="1"/>
  <c r="BW300" i="1"/>
  <c r="BX300" i="1"/>
  <c r="BY300" i="1"/>
  <c r="BZ300" i="1"/>
  <c r="CA300" i="1"/>
  <c r="CB300" i="1"/>
  <c r="CC300" i="1"/>
  <c r="BF302" i="1"/>
  <c r="BK302" i="1"/>
  <c r="BO302" i="1"/>
  <c r="BP302" i="1"/>
  <c r="BU302" i="1"/>
  <c r="BZ302" i="1"/>
  <c r="BE303" i="1"/>
  <c r="BF303" i="1"/>
  <c r="BG303" i="1"/>
  <c r="BJ303" i="1"/>
  <c r="BK303" i="1"/>
  <c r="BL303" i="1"/>
  <c r="BO303" i="1"/>
  <c r="BP303" i="1"/>
  <c r="BQ303" i="1"/>
  <c r="BT303" i="1"/>
  <c r="BU303" i="1"/>
  <c r="BY303" i="1"/>
  <c r="BZ303" i="1"/>
  <c r="CA303" i="1"/>
  <c r="CD303" i="1"/>
  <c r="BE304" i="1"/>
  <c r="BF304" i="1"/>
  <c r="BJ304" i="1"/>
  <c r="BK304" i="1"/>
  <c r="BL304" i="1"/>
  <c r="BO304" i="1"/>
  <c r="BP304" i="1"/>
  <c r="BT304" i="1"/>
  <c r="BU304" i="1"/>
  <c r="BY304" i="1"/>
  <c r="BZ304" i="1"/>
  <c r="CD304" i="1"/>
  <c r="BE306" i="1"/>
  <c r="BF306" i="1"/>
  <c r="BG306" i="1"/>
  <c r="BH306" i="1"/>
  <c r="BI306" i="1"/>
  <c r="BJ306" i="1"/>
  <c r="BK306" i="1"/>
  <c r="BL306" i="1"/>
  <c r="BM306" i="1"/>
  <c r="BN306" i="1"/>
  <c r="BO306" i="1"/>
  <c r="BP306" i="1"/>
  <c r="BQ306" i="1"/>
  <c r="BR306" i="1"/>
  <c r="BS306" i="1"/>
  <c r="BU306" i="1"/>
  <c r="BV306" i="1"/>
  <c r="BW306" i="1"/>
  <c r="BX306" i="1"/>
  <c r="BY306" i="1"/>
  <c r="BZ306" i="1"/>
  <c r="CA306" i="1"/>
  <c r="CB306" i="1"/>
  <c r="CC306" i="1"/>
  <c r="BE307" i="1"/>
  <c r="BT307" i="1"/>
  <c r="BL201" i="1"/>
  <c r="BW95" i="1"/>
  <c r="BZ188" i="1"/>
  <c r="BG184" i="1"/>
  <c r="BH184" i="1" s="1"/>
  <c r="BW175" i="1"/>
  <c r="BX175" i="1" s="1"/>
  <c r="AX169" i="1"/>
  <c r="AY169" i="1" s="1"/>
  <c r="BN167" i="1"/>
  <c r="BH166" i="1"/>
  <c r="BI166" i="1" s="1"/>
  <c r="CC163" i="1"/>
  <c r="BR161" i="1"/>
  <c r="BS161" i="1" s="1"/>
  <c r="AC154" i="1"/>
  <c r="BJ129" i="1"/>
  <c r="BZ95" i="1"/>
  <c r="BL266" i="1"/>
  <c r="BV95" i="1"/>
  <c r="BR167" i="1"/>
  <c r="BS167" i="1" s="1"/>
  <c r="AX162" i="1"/>
  <c r="AY162" i="1" s="1"/>
  <c r="BX138" i="1"/>
  <c r="BX143" i="1" s="1"/>
  <c r="BX154" i="1" s="1"/>
  <c r="BY137" i="1"/>
  <c r="BN121" i="1"/>
  <c r="BN130" i="1" s="1"/>
  <c r="BO120" i="1"/>
  <c r="BU95" i="1"/>
  <c r="CA103" i="1"/>
  <c r="CA102" i="1" s="1"/>
  <c r="CB186" i="1"/>
  <c r="CC186" i="1" s="1"/>
  <c r="CC103" i="1" s="1"/>
  <c r="BL103" i="1"/>
  <c r="BL102" i="1" s="1"/>
  <c r="CA176" i="1"/>
  <c r="CB176" i="1" s="1"/>
  <c r="BZ181" i="1"/>
  <c r="CD129" i="1"/>
  <c r="CA172" i="1"/>
  <c r="CA196" i="1" s="1"/>
  <c r="CA197" i="1" s="1"/>
  <c r="BR162" i="1"/>
  <c r="BR217" i="1" s="1"/>
  <c r="BB60" i="1"/>
  <c r="BR93" i="1"/>
  <c r="BN93" i="1"/>
  <c r="BJ50" i="1"/>
  <c r="AM41" i="1"/>
  <c r="BN20" i="1"/>
  <c r="AL20" i="1"/>
  <c r="AH20" i="1"/>
  <c r="AD20" i="1"/>
  <c r="R20" i="1"/>
  <c r="N20" i="1"/>
  <c r="CD19" i="1"/>
  <c r="BO18" i="1"/>
  <c r="AA18" i="1"/>
  <c r="CA14" i="1"/>
  <c r="BK14" i="1"/>
  <c r="BG14" i="1"/>
  <c r="L10" i="1"/>
  <c r="BC209" i="67"/>
  <c r="BK30" i="67"/>
  <c r="BP30" i="67" s="1"/>
  <c r="BU30" i="67" s="1"/>
  <c r="BZ30" i="67" s="1"/>
  <c r="CE30" i="67" s="1"/>
  <c r="CJ30" i="67" s="1"/>
  <c r="BQ98" i="1"/>
  <c r="BL14" i="1"/>
  <c r="BH14" i="1"/>
  <c r="M31" i="67"/>
  <c r="M191" i="67" s="1"/>
  <c r="AK2" i="67"/>
  <c r="BP61" i="67"/>
  <c r="BU61" i="67" s="1"/>
  <c r="BZ61" i="67" s="1"/>
  <c r="CE61" i="67" s="1"/>
  <c r="CJ61" i="67" s="1"/>
  <c r="BO61" i="67"/>
  <c r="BD216" i="1"/>
  <c r="BD182" i="1"/>
  <c r="BD215" i="1"/>
  <c r="CA95" i="1"/>
  <c r="CE300" i="1"/>
  <c r="AZ208" i="67"/>
  <c r="BB209" i="67"/>
  <c r="AQ207" i="67"/>
  <c r="AZ211" i="67"/>
  <c r="AQ183" i="67"/>
  <c r="U73" i="67"/>
  <c r="BB211" i="67"/>
  <c r="AV209" i="67"/>
  <c r="BA209" i="67"/>
  <c r="BC206" i="67"/>
  <c r="BB199" i="67"/>
  <c r="BA211" i="67"/>
  <c r="L61" i="67"/>
  <c r="BB208" i="67"/>
  <c r="AU206" i="67"/>
  <c r="AZ206" i="67"/>
  <c r="AL187" i="67"/>
  <c r="N31" i="67"/>
  <c r="N191" i="67" s="1"/>
  <c r="K168" i="67"/>
  <c r="BA208" i="67"/>
  <c r="BE107" i="67"/>
  <c r="DM273" i="1"/>
  <c r="BE62" i="67"/>
  <c r="CE274" i="1" s="1"/>
  <c r="BE222" i="67"/>
  <c r="BE218" i="67"/>
  <c r="AX206" i="67"/>
  <c r="AU205" i="67"/>
  <c r="BV20" i="1"/>
  <c r="BA226" i="67"/>
  <c r="AU175" i="67"/>
  <c r="BB178" i="67"/>
  <c r="BB173" i="67"/>
  <c r="BB175" i="67"/>
  <c r="BB174" i="67"/>
  <c r="BB177" i="67"/>
  <c r="BB176" i="67"/>
  <c r="AW173" i="67"/>
  <c r="AW175" i="67"/>
  <c r="AW178" i="67"/>
  <c r="AW176" i="67"/>
  <c r="AW174" i="67"/>
  <c r="AW177" i="67"/>
  <c r="AN178" i="67"/>
  <c r="R176" i="67"/>
  <c r="R178" i="67"/>
  <c r="CF271" i="1"/>
  <c r="CK134" i="67"/>
  <c r="BZ134" i="67"/>
  <c r="CA134" i="67"/>
  <c r="BG223" i="67"/>
  <c r="BE220" i="67"/>
  <c r="BE31" i="67"/>
  <c r="BE221" i="67"/>
  <c r="CE271" i="1"/>
  <c r="BF220" i="67"/>
  <c r="BF223" i="67"/>
  <c r="BI346" i="67"/>
  <c r="BN346" i="67" s="1"/>
  <c r="BG220" i="67"/>
  <c r="BE223" i="67"/>
  <c r="CE7" i="1"/>
  <c r="CE270" i="1" s="1"/>
  <c r="BE217" i="67"/>
  <c r="BE96" i="67"/>
  <c r="BH220" i="67"/>
  <c r="CD96" i="1"/>
  <c r="CE93" i="1" s="1"/>
  <c r="BV93" i="1"/>
  <c r="BW93" i="1"/>
  <c r="BX93" i="1"/>
  <c r="BX97" i="1" s="1"/>
  <c r="BY96" i="1"/>
  <c r="BZ93" i="1" s="1"/>
  <c r="BZ97" i="1" s="1"/>
  <c r="BZ98" i="1" s="1"/>
  <c r="BP94" i="1"/>
  <c r="CE306" i="1"/>
  <c r="CE201" i="1"/>
  <c r="AG231" i="1"/>
  <c r="Z202" i="1"/>
  <c r="BR184" i="1"/>
  <c r="H202" i="1"/>
  <c r="AP202" i="1"/>
  <c r="BC221" i="1"/>
  <c r="BC247" i="1" s="1"/>
  <c r="BX213" i="1"/>
  <c r="BW190" i="1"/>
  <c r="BX190" i="1" s="1"/>
  <c r="BK188" i="1"/>
  <c r="BM187" i="1"/>
  <c r="BN187" i="1" s="1"/>
  <c r="BW103" i="1"/>
  <c r="BW102" i="1" s="1"/>
  <c r="BQ103" i="1"/>
  <c r="CC185" i="1"/>
  <c r="CC106" i="1" s="1"/>
  <c r="CI75" i="1"/>
  <c r="AP221" i="1"/>
  <c r="AP247" i="1" s="1"/>
  <c r="V221" i="1"/>
  <c r="V247" i="1" s="1"/>
  <c r="BC220" i="1"/>
  <c r="AW215" i="1"/>
  <c r="BM171" i="1"/>
  <c r="CB169" i="1"/>
  <c r="BW165" i="1"/>
  <c r="BD163" i="1"/>
  <c r="BH171" i="1"/>
  <c r="BI171" i="1" s="1"/>
  <c r="BI303" i="1" s="1"/>
  <c r="BR164" i="1"/>
  <c r="BS164" i="1" s="1"/>
  <c r="BM169" i="1"/>
  <c r="BN169" i="1" s="1"/>
  <c r="BC165" i="1"/>
  <c r="BD165" i="1" s="1"/>
  <c r="BT129" i="1"/>
  <c r="BS130" i="1"/>
  <c r="BS236" i="1" s="1"/>
  <c r="BX121" i="1"/>
  <c r="BX130" i="1" s="1"/>
  <c r="BX236" i="1" s="1"/>
  <c r="AD98" i="1"/>
  <c r="V98" i="1"/>
  <c r="R98" i="1"/>
  <c r="BB98" i="1"/>
  <c r="BM101" i="1"/>
  <c r="BZ121" i="1"/>
  <c r="BZ130" i="1" s="1"/>
  <c r="BZ236" i="1" s="1"/>
  <c r="AK102" i="1"/>
  <c r="U102" i="1"/>
  <c r="AU102" i="1"/>
  <c r="X102" i="1"/>
  <c r="T102" i="1"/>
  <c r="CD13" i="1"/>
  <c r="CD14" i="1" s="1"/>
  <c r="BW14" i="1"/>
  <c r="BZ11" i="1"/>
  <c r="BZ191" i="1"/>
  <c r="BZ143" i="1"/>
  <c r="BZ154" i="1" s="1"/>
  <c r="CI124" i="1"/>
  <c r="CI117" i="1"/>
  <c r="BE208" i="67"/>
  <c r="CE11" i="1"/>
  <c r="CI300" i="1"/>
  <c r="CE60" i="1"/>
  <c r="CE219" i="1" s="1"/>
  <c r="BE205" i="67"/>
  <c r="CN300" i="1"/>
  <c r="CF300" i="1"/>
  <c r="CG300" i="1"/>
  <c r="CJ300" i="1"/>
  <c r="CS300" i="1"/>
  <c r="CO300" i="1"/>
  <c r="CT300" i="1"/>
  <c r="CX300" i="1"/>
  <c r="CY300" i="1"/>
  <c r="BE128" i="67"/>
  <c r="DD300" i="1"/>
  <c r="DI300" i="1"/>
  <c r="BE74" i="67"/>
  <c r="BE206" i="67"/>
  <c r="BE219" i="67"/>
  <c r="CE6" i="1"/>
  <c r="CE298" i="1"/>
  <c r="CE181" i="1"/>
  <c r="CE304" i="1"/>
  <c r="CE55" i="1"/>
  <c r="CE302" i="1"/>
  <c r="CE247" i="1"/>
  <c r="CE303" i="1"/>
  <c r="BE225" i="67"/>
  <c r="BE173" i="67"/>
  <c r="BE224" i="67"/>
  <c r="CE172" i="1"/>
  <c r="CE196" i="1" s="1"/>
  <c r="CE197" i="1" s="1"/>
  <c r="CE138" i="1"/>
  <c r="CE152" i="1"/>
  <c r="CE188" i="1"/>
  <c r="CF93" i="1"/>
  <c r="O197" i="67" l="1"/>
  <c r="K5" i="67"/>
  <c r="BH239" i="1"/>
  <c r="BH299" i="1"/>
  <c r="BQ60" i="1"/>
  <c r="BQ219" i="1" s="1"/>
  <c r="AA209" i="1"/>
  <c r="P55" i="1"/>
  <c r="P69" i="1" s="1"/>
  <c r="BR55" i="1"/>
  <c r="BL218" i="1"/>
  <c r="BE218" i="1"/>
  <c r="BL217" i="1"/>
  <c r="BG215" i="1"/>
  <c r="BF108" i="1"/>
  <c r="BW69" i="1"/>
  <c r="BW73" i="1" s="1"/>
  <c r="BW77" i="1" s="1"/>
  <c r="BW79" i="1" s="1"/>
  <c r="BM55" i="1"/>
  <c r="U55" i="1"/>
  <c r="M14" i="1"/>
  <c r="AC156" i="1"/>
  <c r="BR60" i="1"/>
  <c r="BR219" i="1" s="1"/>
  <c r="BE19" i="1"/>
  <c r="BS162" i="1"/>
  <c r="BS218" i="1" s="1"/>
  <c r="CD93" i="1"/>
  <c r="L19" i="1"/>
  <c r="F14" i="1"/>
  <c r="BM15" i="1"/>
  <c r="BH56" i="1"/>
  <c r="AV231" i="1"/>
  <c r="AR154" i="1"/>
  <c r="BS231" i="1"/>
  <c r="BB154" i="1"/>
  <c r="BN98" i="1"/>
  <c r="BI98" i="1"/>
  <c r="AY98" i="1"/>
  <c r="AQ98" i="1"/>
  <c r="AM98" i="1"/>
  <c r="AA98" i="1"/>
  <c r="W98" i="1"/>
  <c r="J55" i="1"/>
  <c r="BP188" i="1"/>
  <c r="AM55" i="1"/>
  <c r="BE50" i="1"/>
  <c r="BU14" i="1"/>
  <c r="AI14" i="1"/>
  <c r="AS202" i="1"/>
  <c r="BC138" i="1"/>
  <c r="BC143" i="1" s="1"/>
  <c r="BP98" i="1"/>
  <c r="BF98" i="1"/>
  <c r="BA98" i="1"/>
  <c r="AR98" i="1"/>
  <c r="AN98" i="1"/>
  <c r="AJ98" i="1"/>
  <c r="O55" i="1"/>
  <c r="O239" i="1" s="1"/>
  <c r="BO63" i="67"/>
  <c r="BO30" i="67"/>
  <c r="BJ63" i="67"/>
  <c r="F56" i="1"/>
  <c r="F69" i="1"/>
  <c r="F73" i="1" s="1"/>
  <c r="F77" i="1" s="1"/>
  <c r="F79" i="1" s="1"/>
  <c r="AO202" i="1"/>
  <c r="BO35" i="1"/>
  <c r="BT37" i="1" s="1"/>
  <c r="BR218" i="1"/>
  <c r="BN266" i="1"/>
  <c r="BS233" i="1"/>
  <c r="BK231" i="1"/>
  <c r="BK305" i="1" s="1"/>
  <c r="BU98" i="1"/>
  <c r="F61" i="1"/>
  <c r="F62" i="1" s="1"/>
  <c r="BV55" i="1"/>
  <c r="BV239" i="1" s="1"/>
  <c r="Z55" i="1"/>
  <c r="S55" i="1"/>
  <c r="S56" i="1" s="1"/>
  <c r="AU294" i="1"/>
  <c r="AR26" i="1"/>
  <c r="AP294" i="1"/>
  <c r="BR231" i="1"/>
  <c r="T233" i="1"/>
  <c r="BB231" i="1"/>
  <c r="AH231" i="1"/>
  <c r="Z233" i="1"/>
  <c r="U233" i="1"/>
  <c r="BL232" i="1"/>
  <c r="O154" i="1"/>
  <c r="AF138" i="1"/>
  <c r="AA229" i="1"/>
  <c r="AB232" i="1" s="1"/>
  <c r="BZ20" i="1"/>
  <c r="BO229" i="1"/>
  <c r="BJ138" i="1"/>
  <c r="CC98" i="1"/>
  <c r="CA201" i="1"/>
  <c r="BO263" i="1"/>
  <c r="BO264" i="1" s="1"/>
  <c r="AS233" i="1"/>
  <c r="Y231" i="1"/>
  <c r="BW130" i="1"/>
  <c r="BW236" i="1" s="1"/>
  <c r="BC236" i="1"/>
  <c r="BO230" i="1"/>
  <c r="BE121" i="1"/>
  <c r="BE130" i="1" s="1"/>
  <c r="AW98" i="1"/>
  <c r="AC98" i="1"/>
  <c r="O11" i="1"/>
  <c r="V6" i="1"/>
  <c r="N233" i="1"/>
  <c r="AK202" i="1"/>
  <c r="I202" i="1"/>
  <c r="BV103" i="1"/>
  <c r="BT99" i="1"/>
  <c r="BJ99" i="1"/>
  <c r="BC98" i="1"/>
  <c r="AT98" i="1"/>
  <c r="AH98" i="1"/>
  <c r="BM69" i="1"/>
  <c r="BC42" i="1"/>
  <c r="CA20" i="1"/>
  <c r="R11" i="1"/>
  <c r="BT10" i="1"/>
  <c r="Q55" i="1"/>
  <c r="BP231" i="1"/>
  <c r="BP305" i="1" s="1"/>
  <c r="BR187" i="1"/>
  <c r="BS187" i="1" s="1"/>
  <c r="AX187" i="1"/>
  <c r="AW201" i="1"/>
  <c r="BW185" i="1"/>
  <c r="BV106" i="1"/>
  <c r="BV176" i="1"/>
  <c r="BW176" i="1" s="1"/>
  <c r="BX176" i="1" s="1"/>
  <c r="BU181" i="1"/>
  <c r="BL176" i="1"/>
  <c r="BK181" i="1"/>
  <c r="L152" i="1"/>
  <c r="AU152" i="1"/>
  <c r="BM93" i="1"/>
  <c r="BL94" i="1"/>
  <c r="BR239" i="1"/>
  <c r="BR61" i="1"/>
  <c r="BR62" i="1" s="1"/>
  <c r="BR299" i="1"/>
  <c r="AJ56" i="1"/>
  <c r="AJ69" i="1"/>
  <c r="AJ73" i="1" s="1"/>
  <c r="AJ77" i="1" s="1"/>
  <c r="AJ227" i="1" s="1"/>
  <c r="AJ239" i="1"/>
  <c r="AP23" i="1"/>
  <c r="AP28" i="1" s="1"/>
  <c r="AP29" i="1" s="1"/>
  <c r="AO24" i="1"/>
  <c r="AG14" i="1"/>
  <c r="AG55" i="1"/>
  <c r="U190" i="1"/>
  <c r="T191" i="1"/>
  <c r="BG180" i="1"/>
  <c r="BH180" i="1" s="1"/>
  <c r="BF181" i="1"/>
  <c r="CB178" i="1"/>
  <c r="CA304" i="1"/>
  <c r="AC61" i="1"/>
  <c r="AC62" i="1" s="1"/>
  <c r="AC219" i="1"/>
  <c r="U219" i="1"/>
  <c r="U61" i="1"/>
  <c r="U62" i="1" s="1"/>
  <c r="AQ26" i="1"/>
  <c r="BM163" i="1"/>
  <c r="BN163" i="1" s="1"/>
  <c r="BL172" i="1"/>
  <c r="BL196" i="1" s="1"/>
  <c r="BL197" i="1" s="1"/>
  <c r="BL198" i="1" s="1"/>
  <c r="BG60" i="1"/>
  <c r="BG219" i="1" s="1"/>
  <c r="BG217" i="1"/>
  <c r="BG218" i="1"/>
  <c r="BH162" i="1"/>
  <c r="BH218" i="1" s="1"/>
  <c r="BO223" i="1"/>
  <c r="BT225" i="1"/>
  <c r="AZ225" i="1"/>
  <c r="AU223" i="1"/>
  <c r="CA133" i="1"/>
  <c r="CA213" i="1"/>
  <c r="BP213" i="1"/>
  <c r="BP121" i="1"/>
  <c r="BP130" i="1" s="1"/>
  <c r="BP236" i="1" s="1"/>
  <c r="BT233" i="1"/>
  <c r="BJ307" i="1"/>
  <c r="BE230" i="1"/>
  <c r="BU239" i="1"/>
  <c r="BU299" i="1"/>
  <c r="BP55" i="1"/>
  <c r="BP14" i="1"/>
  <c r="BU15" i="1" s="1"/>
  <c r="CD172" i="1"/>
  <c r="CD196" i="1" s="1"/>
  <c r="CD197" i="1" s="1"/>
  <c r="CD198" i="1" s="1"/>
  <c r="CD302" i="1"/>
  <c r="BJ172" i="1"/>
  <c r="BJ196" i="1" s="1"/>
  <c r="BJ197" i="1" s="1"/>
  <c r="BJ302" i="1"/>
  <c r="CD220" i="1"/>
  <c r="CD221" i="1"/>
  <c r="CD247" i="1" s="1"/>
  <c r="BN220" i="1"/>
  <c r="BN221" i="1"/>
  <c r="BN247" i="1" s="1"/>
  <c r="BE221" i="1"/>
  <c r="BE247" i="1" s="1"/>
  <c r="AZ138" i="1"/>
  <c r="AZ143" i="1" s="1"/>
  <c r="AF143" i="1"/>
  <c r="BO217" i="1"/>
  <c r="BO218" i="1"/>
  <c r="Z69" i="1"/>
  <c r="Z71" i="1" s="1"/>
  <c r="Z207" i="1" s="1"/>
  <c r="Z239" i="1"/>
  <c r="D14" i="1"/>
  <c r="D55" i="1"/>
  <c r="D56" i="1" s="1"/>
  <c r="AK13" i="1"/>
  <c r="AK14" i="1" s="1"/>
  <c r="AK205" i="1"/>
  <c r="BY215" i="1"/>
  <c r="BY206" i="1"/>
  <c r="AZ182" i="1"/>
  <c r="AZ292" i="1"/>
  <c r="AZ6" i="1"/>
  <c r="AZ13" i="1"/>
  <c r="AZ14" i="1" s="1"/>
  <c r="AZ215" i="1"/>
  <c r="AZ213" i="1"/>
  <c r="AZ214" i="1"/>
  <c r="AZ216" i="1"/>
  <c r="AZ224" i="1"/>
  <c r="AF35" i="1"/>
  <c r="AF219" i="1"/>
  <c r="AF205" i="1"/>
  <c r="AF223" i="1"/>
  <c r="AF292" i="1"/>
  <c r="AF216" i="1"/>
  <c r="AF224" i="1"/>
  <c r="L222" i="1"/>
  <c r="L213" i="1"/>
  <c r="L219" i="1"/>
  <c r="L205" i="1"/>
  <c r="L209" i="1"/>
  <c r="L224" i="1"/>
  <c r="AW231" i="1"/>
  <c r="AR233" i="1"/>
  <c r="AC233" i="1"/>
  <c r="T231" i="1"/>
  <c r="J231" i="1"/>
  <c r="BX232" i="1"/>
  <c r="AH232" i="1"/>
  <c r="AC232" i="1"/>
  <c r="K232" i="1"/>
  <c r="BG272" i="1"/>
  <c r="BT181" i="1"/>
  <c r="BC162" i="1"/>
  <c r="BK130" i="1"/>
  <c r="BK236" i="1" s="1"/>
  <c r="BV130" i="1"/>
  <c r="BV236" i="1" s="1"/>
  <c r="BD130" i="1"/>
  <c r="BD236" i="1" s="1"/>
  <c r="AM102" i="1"/>
  <c r="AS98" i="1"/>
  <c r="AO98" i="1"/>
  <c r="AK98" i="1"/>
  <c r="AG98" i="1"/>
  <c r="BV102" i="1"/>
  <c r="AQ154" i="1"/>
  <c r="BQ138" i="1"/>
  <c r="BQ143" i="1" s="1"/>
  <c r="AR102" i="1"/>
  <c r="AN102" i="1"/>
  <c r="V102" i="1"/>
  <c r="CB97" i="1"/>
  <c r="BR15" i="1"/>
  <c r="BW94" i="1"/>
  <c r="BN94" i="1"/>
  <c r="BN236" i="1"/>
  <c r="BV233" i="1"/>
  <c r="BQ233" i="1"/>
  <c r="AY233" i="1"/>
  <c r="AJ231" i="1"/>
  <c r="S233" i="1"/>
  <c r="BR232" i="1"/>
  <c r="BH232" i="1"/>
  <c r="BC232" i="1"/>
  <c r="AY232" i="1"/>
  <c r="AS231" i="1"/>
  <c r="AJ232" i="1"/>
  <c r="X232" i="1"/>
  <c r="I232" i="1"/>
  <c r="CC221" i="1"/>
  <c r="CC247" i="1" s="1"/>
  <c r="BZ220" i="1"/>
  <c r="M199" i="1"/>
  <c r="L223" i="1"/>
  <c r="BF154" i="1"/>
  <c r="AO154" i="1"/>
  <c r="BR130" i="1"/>
  <c r="BR236" i="1" s="1"/>
  <c r="Z61" i="1"/>
  <c r="Z62" i="1" s="1"/>
  <c r="BY205" i="1"/>
  <c r="AA152" i="1"/>
  <c r="F71" i="1"/>
  <c r="AJ84" i="1"/>
  <c r="AJ85" i="1" s="1"/>
  <c r="AJ87" i="1" s="1"/>
  <c r="AJ83" i="1"/>
  <c r="AJ79" i="1"/>
  <c r="CB239" i="1"/>
  <c r="CB299" i="1"/>
  <c r="AA198" i="1"/>
  <c r="AA202" i="1"/>
  <c r="AW239" i="1"/>
  <c r="AW56" i="1"/>
  <c r="AW69" i="1"/>
  <c r="M69" i="1"/>
  <c r="M73" i="1" s="1"/>
  <c r="M77" i="1" s="1"/>
  <c r="M79" i="1" s="1"/>
  <c r="M61" i="1"/>
  <c r="M62" i="1" s="1"/>
  <c r="M239" i="1"/>
  <c r="CE69" i="1"/>
  <c r="CE239" i="1"/>
  <c r="AE231" i="1"/>
  <c r="BW15" i="1"/>
  <c r="BI232" i="1"/>
  <c r="BN186" i="1"/>
  <c r="BN103" i="1" s="1"/>
  <c r="BN102" i="1" s="1"/>
  <c r="BI184" i="1"/>
  <c r="BI187" i="1"/>
  <c r="J232" i="1"/>
  <c r="BQ215" i="1"/>
  <c r="Y202" i="1"/>
  <c r="Q202" i="1"/>
  <c r="W199" i="1"/>
  <c r="Q199" i="1"/>
  <c r="BO188" i="1"/>
  <c r="BO191" i="1" s="1"/>
  <c r="BI130" i="1"/>
  <c r="BI236" i="1" s="1"/>
  <c r="CA98" i="1"/>
  <c r="AP98" i="1"/>
  <c r="CC56" i="1"/>
  <c r="CC239" i="1"/>
  <c r="BS299" i="1"/>
  <c r="BS239" i="1"/>
  <c r="BR127" i="67"/>
  <c r="BW127" i="67" s="1"/>
  <c r="CB127" i="67" s="1"/>
  <c r="CG127" i="67" s="1"/>
  <c r="CL127" i="67" s="1"/>
  <c r="CF97" i="1"/>
  <c r="CF98" i="1" s="1"/>
  <c r="CF94" i="1"/>
  <c r="CF105" i="1" s="1"/>
  <c r="CA181" i="1"/>
  <c r="AE232" i="1"/>
  <c r="CE97" i="1"/>
  <c r="CE98" i="1" s="1"/>
  <c r="CE94" i="1"/>
  <c r="CE105" i="1" s="1"/>
  <c r="BP15" i="1"/>
  <c r="BD190" i="1"/>
  <c r="BH177" i="1"/>
  <c r="BI233" i="1"/>
  <c r="AM233" i="1"/>
  <c r="AH233" i="1"/>
  <c r="N231" i="1"/>
  <c r="AY231" i="1"/>
  <c r="AO231" i="1"/>
  <c r="AG232" i="1"/>
  <c r="X231" i="1"/>
  <c r="U232" i="1"/>
  <c r="O232" i="1"/>
  <c r="BZ202" i="1"/>
  <c r="BQ182" i="1"/>
  <c r="BG182" i="1"/>
  <c r="BY172" i="1"/>
  <c r="BG154" i="1"/>
  <c r="BB156" i="1"/>
  <c r="S102" i="1"/>
  <c r="BD55" i="1"/>
  <c r="AZ50" i="1"/>
  <c r="AZ52" i="1" s="1"/>
  <c r="AZ19" i="1"/>
  <c r="CD206" i="1"/>
  <c r="CI19" i="1"/>
  <c r="BJ206" i="1"/>
  <c r="AW14" i="1"/>
  <c r="Z15" i="1"/>
  <c r="N11" i="1"/>
  <c r="U74" i="67"/>
  <c r="BR61" i="67"/>
  <c r="BW61" i="67" s="1"/>
  <c r="CB61" i="67" s="1"/>
  <c r="CG61" i="67" s="1"/>
  <c r="CL61" i="67" s="1"/>
  <c r="CG176" i="1"/>
  <c r="BL154" i="1"/>
  <c r="K154" i="1"/>
  <c r="CD223" i="1"/>
  <c r="AN154" i="1"/>
  <c r="AN156" i="1" s="1"/>
  <c r="P154" i="1"/>
  <c r="P156" i="1" s="1"/>
  <c r="AP229" i="1"/>
  <c r="AQ232" i="1" s="1"/>
  <c r="BE220" i="1"/>
  <c r="BQ130" i="1"/>
  <c r="BQ236" i="1" s="1"/>
  <c r="BO213" i="1"/>
  <c r="AA211" i="1"/>
  <c r="R102" i="1"/>
  <c r="Y98" i="1"/>
  <c r="U98" i="1"/>
  <c r="BS97" i="1"/>
  <c r="AC69" i="1"/>
  <c r="N55" i="1"/>
  <c r="N239" i="1" s="1"/>
  <c r="G13" i="1"/>
  <c r="G14" i="1" s="1"/>
  <c r="Q10" i="1"/>
  <c r="CF184" i="1"/>
  <c r="L11" i="1"/>
  <c r="CA188" i="1"/>
  <c r="BP263" i="1"/>
  <c r="BT263" i="1" s="1"/>
  <c r="BH60" i="1"/>
  <c r="BH219" i="1" s="1"/>
  <c r="BV108" i="1"/>
  <c r="AX186" i="1"/>
  <c r="AX103" i="1" s="1"/>
  <c r="AI233" i="1"/>
  <c r="AD233" i="1"/>
  <c r="K231" i="1"/>
  <c r="BU231" i="1"/>
  <c r="BU305" i="1" s="1"/>
  <c r="BB232" i="1"/>
  <c r="AR232" i="1"/>
  <c r="AM232" i="1"/>
  <c r="Z232" i="1"/>
  <c r="M231" i="1"/>
  <c r="BP191" i="1"/>
  <c r="BK106" i="1"/>
  <c r="AK223" i="1"/>
  <c r="AZ222" i="1"/>
  <c r="AY121" i="1"/>
  <c r="AY130" i="1" s="1"/>
  <c r="AY236" i="1" s="1"/>
  <c r="L230" i="1"/>
  <c r="M233" i="1" s="1"/>
  <c r="AG102" i="1"/>
  <c r="AC102" i="1"/>
  <c r="Y102" i="1"/>
  <c r="BM98" i="1"/>
  <c r="BH98" i="1"/>
  <c r="X98" i="1"/>
  <c r="BH69" i="1"/>
  <c r="BH73" i="1" s="1"/>
  <c r="BH77" i="1" s="1"/>
  <c r="BT300" i="1"/>
  <c r="AJ61" i="1"/>
  <c r="AJ62" i="1" s="1"/>
  <c r="BM56" i="1"/>
  <c r="AO55" i="1"/>
  <c r="BT46" i="1"/>
  <c r="BT206" i="1"/>
  <c r="Q18" i="1"/>
  <c r="AD14" i="1"/>
  <c r="BP61" i="1"/>
  <c r="BP62" i="1" s="1"/>
  <c r="BP239" i="1"/>
  <c r="CC11" i="1"/>
  <c r="CH11" i="1"/>
  <c r="BD11" i="1"/>
  <c r="AF13" i="1"/>
  <c r="AF14" i="1" s="1"/>
  <c r="BM117" i="67"/>
  <c r="BR106" i="67"/>
  <c r="BW106" i="67" s="1"/>
  <c r="CB106" i="67" s="1"/>
  <c r="CG106" i="67" s="1"/>
  <c r="CL106" i="67" s="1"/>
  <c r="BM84" i="67"/>
  <c r="CG177" i="1"/>
  <c r="BQ61" i="67"/>
  <c r="BV61" i="67" s="1"/>
  <c r="CA61" i="67" s="1"/>
  <c r="CF61" i="67" s="1"/>
  <c r="CK61" i="67" s="1"/>
  <c r="BL63" i="67"/>
  <c r="CQ66" i="1"/>
  <c r="CJ134" i="67"/>
  <c r="BB42" i="1"/>
  <c r="AE273" i="1"/>
  <c r="CC270" i="1"/>
  <c r="AN6" i="67"/>
  <c r="BV273" i="1"/>
  <c r="Z85" i="67"/>
  <c r="AB26" i="1"/>
  <c r="AJ23" i="1"/>
  <c r="AK23" i="1" s="1"/>
  <c r="AX204" i="67"/>
  <c r="CC274" i="1"/>
  <c r="CJ271" i="1"/>
  <c r="AT192" i="67"/>
  <c r="AN26" i="1"/>
  <c r="AH43" i="1"/>
  <c r="AG25" i="1"/>
  <c r="BT264" i="1"/>
  <c r="Y199" i="1"/>
  <c r="BW272" i="1"/>
  <c r="CE229" i="1"/>
  <c r="BH61" i="1"/>
  <c r="BH62" i="1" s="1"/>
  <c r="BG233" i="1"/>
  <c r="BG231" i="1"/>
  <c r="AT233" i="1"/>
  <c r="AN202" i="1"/>
  <c r="AB202" i="1"/>
  <c r="L202" i="1"/>
  <c r="I192" i="1"/>
  <c r="I193" i="1" s="1"/>
  <c r="I194" i="1" s="1"/>
  <c r="H194" i="1"/>
  <c r="BM178" i="1"/>
  <c r="BL215" i="1"/>
  <c r="BL182" i="1"/>
  <c r="O231" i="1"/>
  <c r="P233" i="1"/>
  <c r="BH303" i="1"/>
  <c r="AX231" i="1"/>
  <c r="CE208" i="1"/>
  <c r="CE56" i="1"/>
  <c r="BQ232" i="1"/>
  <c r="BN177" i="1"/>
  <c r="BN272" i="1" s="1"/>
  <c r="BK266" i="1"/>
  <c r="BH217" i="1"/>
  <c r="Q14" i="1"/>
  <c r="BL15" i="1"/>
  <c r="BI162" i="1"/>
  <c r="BL272" i="1"/>
  <c r="AV264" i="1"/>
  <c r="BA264" i="1"/>
  <c r="W231" i="1"/>
  <c r="BS232" i="1"/>
  <c r="BV201" i="1"/>
  <c r="BC60" i="1"/>
  <c r="BC218" i="1"/>
  <c r="X154" i="1"/>
  <c r="CE71" i="1"/>
  <c r="CE207" i="1" s="1"/>
  <c r="CI93" i="1"/>
  <c r="AF232" i="1"/>
  <c r="BW97" i="1"/>
  <c r="BW98" i="1" s="1"/>
  <c r="BV181" i="1"/>
  <c r="BJ266" i="1"/>
  <c r="BJ265" i="1" s="1"/>
  <c r="BD232" i="1"/>
  <c r="AT232" i="1"/>
  <c r="AO232" i="1"/>
  <c r="P232" i="1"/>
  <c r="BS184" i="1"/>
  <c r="BU69" i="1"/>
  <c r="BU56" i="1"/>
  <c r="BK56" i="1"/>
  <c r="BK15" i="1"/>
  <c r="BT152" i="1"/>
  <c r="AV154" i="1"/>
  <c r="BM154" i="1"/>
  <c r="AX154" i="1"/>
  <c r="AX156" i="1" s="1"/>
  <c r="AS154" i="1"/>
  <c r="AS156" i="1" s="1"/>
  <c r="AB154" i="1"/>
  <c r="W154" i="1"/>
  <c r="W156" i="1" s="1"/>
  <c r="BW154" i="1"/>
  <c r="V138" i="1"/>
  <c r="AA230" i="1"/>
  <c r="AA231" i="1" s="1"/>
  <c r="BJ230" i="1"/>
  <c r="BK233" i="1" s="1"/>
  <c r="BO103" i="1"/>
  <c r="W102" i="1"/>
  <c r="AL102" i="1"/>
  <c r="Z102" i="1"/>
  <c r="BO99" i="1"/>
  <c r="AX98" i="1"/>
  <c r="AL98" i="1"/>
  <c r="BO97" i="1"/>
  <c r="AO69" i="1"/>
  <c r="AO73" i="1" s="1"/>
  <c r="AO77" i="1" s="1"/>
  <c r="BZ55" i="1"/>
  <c r="BZ239" i="1" s="1"/>
  <c r="AY55" i="1"/>
  <c r="AY239" i="1" s="1"/>
  <c r="BO51" i="1"/>
  <c r="AD43" i="1"/>
  <c r="AR42" i="1"/>
  <c r="AD42" i="1"/>
  <c r="AC43" i="1"/>
  <c r="AD26" i="1"/>
  <c r="Q19" i="1"/>
  <c r="BR20" i="1"/>
  <c r="BD20" i="1"/>
  <c r="BD15" i="1"/>
  <c r="AE11" i="1"/>
  <c r="CG11" i="1"/>
  <c r="AP10" i="1"/>
  <c r="T11" i="1"/>
  <c r="U11" i="1"/>
  <c r="AP220" i="1"/>
  <c r="BT6" i="1"/>
  <c r="CD10" i="1"/>
  <c r="BI177" i="1"/>
  <c r="CC176" i="1"/>
  <c r="AV191" i="1"/>
  <c r="BS154" i="1"/>
  <c r="BS156" i="1" s="1"/>
  <c r="AW154" i="1"/>
  <c r="AW156" i="1" s="1"/>
  <c r="BY138" i="1"/>
  <c r="BY143" i="1" s="1"/>
  <c r="AZ229" i="1"/>
  <c r="BE232" i="1" s="1"/>
  <c r="L229" i="1"/>
  <c r="Q232" i="1" s="1"/>
  <c r="BE229" i="1"/>
  <c r="BE231" i="1" s="1"/>
  <c r="BE305" i="1" s="1"/>
  <c r="AK229" i="1"/>
  <c r="Q229" i="1"/>
  <c r="R232" i="1" s="1"/>
  <c r="AO102" i="1"/>
  <c r="BE97" i="1"/>
  <c r="AB98" i="1"/>
  <c r="T98" i="1"/>
  <c r="D69" i="1"/>
  <c r="S61" i="1"/>
  <c r="S62" i="1" s="1"/>
  <c r="M56" i="1"/>
  <c r="Z57" i="1"/>
  <c r="G55" i="1"/>
  <c r="BO46" i="1"/>
  <c r="CC20" i="1"/>
  <c r="AH14" i="1"/>
  <c r="AW15" i="1"/>
  <c r="AR15" i="1"/>
  <c r="AI15" i="1"/>
  <c r="BL11" i="1"/>
  <c r="AV11" i="1"/>
  <c r="BE211" i="1"/>
  <c r="Q11" i="1"/>
  <c r="AF18" i="1"/>
  <c r="AF20" i="1" s="1"/>
  <c r="CB94" i="1"/>
  <c r="BJ233" i="1"/>
  <c r="BC233" i="1"/>
  <c r="AO233" i="1"/>
  <c r="BL231" i="1"/>
  <c r="BL305" i="1" s="1"/>
  <c r="AX232" i="1"/>
  <c r="W232" i="1"/>
  <c r="T232" i="1"/>
  <c r="W202" i="1"/>
  <c r="AG202" i="1"/>
  <c r="R199" i="1"/>
  <c r="BI186" i="1"/>
  <c r="U191" i="1"/>
  <c r="CC169" i="1"/>
  <c r="CD152" i="1"/>
  <c r="BK154" i="1"/>
  <c r="BK156" i="1" s="1"/>
  <c r="BA154" i="1"/>
  <c r="BA156" i="1" s="1"/>
  <c r="Y154" i="1"/>
  <c r="Y156" i="1" s="1"/>
  <c r="T154" i="1"/>
  <c r="T156" i="1" s="1"/>
  <c r="M154" i="1"/>
  <c r="M156" i="1" s="1"/>
  <c r="BT222" i="1"/>
  <c r="BC154" i="1"/>
  <c r="BP154" i="1"/>
  <c r="BP156" i="1" s="1"/>
  <c r="BY230" i="1"/>
  <c r="BZ233" i="1" s="1"/>
  <c r="AK230" i="1"/>
  <c r="AL233" i="1" s="1"/>
  <c r="AJ102" i="1"/>
  <c r="AF102" i="1"/>
  <c r="AB102" i="1"/>
  <c r="CD99" i="1"/>
  <c r="Z98" i="1"/>
  <c r="AJ71" i="1"/>
  <c r="BU61" i="1"/>
  <c r="BU62" i="1" s="1"/>
  <c r="BK61" i="1"/>
  <c r="BK62" i="1" s="1"/>
  <c r="AP219" i="1"/>
  <c r="V219" i="1"/>
  <c r="BF55" i="1"/>
  <c r="AT55" i="1"/>
  <c r="AT61" i="1" s="1"/>
  <c r="AT62" i="1" s="1"/>
  <c r="BP20" i="1"/>
  <c r="V18" i="1"/>
  <c r="AA20" i="1" s="1"/>
  <c r="AY11" i="1"/>
  <c r="AR11" i="1"/>
  <c r="W11" i="1"/>
  <c r="AF55" i="1"/>
  <c r="AF61" i="1" s="1"/>
  <c r="AF62" i="1" s="1"/>
  <c r="BX231" i="1"/>
  <c r="BX305" i="1" s="1"/>
  <c r="BQ231" i="1"/>
  <c r="BQ305" i="1" s="1"/>
  <c r="BM233" i="1"/>
  <c r="BW232" i="1"/>
  <c r="BT232" i="1"/>
  <c r="BF231" i="1"/>
  <c r="BF305" i="1" s="1"/>
  <c r="AD232" i="1"/>
  <c r="L232" i="1"/>
  <c r="V202" i="1"/>
  <c r="AC202" i="1"/>
  <c r="AF199" i="1"/>
  <c r="BQ108" i="1"/>
  <c r="BA191" i="1"/>
  <c r="BQ302" i="1"/>
  <c r="BO152" i="1"/>
  <c r="BU154" i="1"/>
  <c r="AY154" i="1"/>
  <c r="AY156" i="1" s="1"/>
  <c r="AT154" i="1"/>
  <c r="BJ143" i="1"/>
  <c r="AU232" i="1"/>
  <c r="L138" i="1"/>
  <c r="L143" i="1" s="1"/>
  <c r="L154" i="1" s="1"/>
  <c r="AU229" i="1"/>
  <c r="AV232" i="1" s="1"/>
  <c r="AA138" i="1"/>
  <c r="AA143" i="1" s="1"/>
  <c r="AA154" i="1" s="1"/>
  <c r="AK55" i="1"/>
  <c r="AK56" i="1" s="1"/>
  <c r="AT15" i="1"/>
  <c r="AO15" i="1"/>
  <c r="CF188" i="1"/>
  <c r="CG184" i="1"/>
  <c r="CG188" i="1" s="1"/>
  <c r="AR198" i="1"/>
  <c r="AR202" i="1"/>
  <c r="AB199" i="1"/>
  <c r="AG199" i="1"/>
  <c r="CA61" i="1"/>
  <c r="CA301" i="1" s="1"/>
  <c r="CA219" i="1"/>
  <c r="AK255" i="1"/>
  <c r="AK256" i="1" s="1"/>
  <c r="CA138" i="1"/>
  <c r="CA143" i="1" s="1"/>
  <c r="CA154" i="1" s="1"/>
  <c r="CA229" i="1"/>
  <c r="CA232" i="1" s="1"/>
  <c r="BW156" i="1"/>
  <c r="BO233" i="1"/>
  <c r="AD56" i="1"/>
  <c r="AD69" i="1"/>
  <c r="AD239" i="1"/>
  <c r="BE255" i="1"/>
  <c r="BE256" i="1" s="1"/>
  <c r="P198" i="1"/>
  <c r="P202" i="1"/>
  <c r="BM176" i="1"/>
  <c r="BL181" i="1"/>
  <c r="BH172" i="1"/>
  <c r="AZ232" i="1"/>
  <c r="BX69" i="1"/>
  <c r="BX299" i="1"/>
  <c r="BX57" i="1"/>
  <c r="BY55" i="1"/>
  <c r="BY239" i="1" s="1"/>
  <c r="BX56" i="1"/>
  <c r="AC15" i="1"/>
  <c r="X15" i="1"/>
  <c r="AU14" i="1"/>
  <c r="AU55" i="1"/>
  <c r="AH239" i="1"/>
  <c r="AH57" i="1"/>
  <c r="AH56" i="1"/>
  <c r="AH58" i="1" s="1"/>
  <c r="AH69" i="1"/>
  <c r="CW163" i="1"/>
  <c r="DB163" i="1" s="1"/>
  <c r="DG163" i="1" s="1"/>
  <c r="DL163" i="1" s="1"/>
  <c r="O198" i="1"/>
  <c r="O202" i="1"/>
  <c r="BC272" i="1"/>
  <c r="AQ236" i="1"/>
  <c r="AU255" i="1" s="1"/>
  <c r="AU256" i="1" s="1"/>
  <c r="AQ156" i="1"/>
  <c r="K156" i="1"/>
  <c r="K236" i="1"/>
  <c r="L255" i="1" s="1"/>
  <c r="L256" i="1" s="1"/>
  <c r="CC138" i="1"/>
  <c r="CC143" i="1" s="1"/>
  <c r="CC154" i="1" s="1"/>
  <c r="CC229" i="1"/>
  <c r="BT255" i="1"/>
  <c r="BT256" i="1" s="1"/>
  <c r="BH79" i="1"/>
  <c r="BH84" i="1"/>
  <c r="BH85" i="1" s="1"/>
  <c r="BH87" i="1" s="1"/>
  <c r="W239" i="1"/>
  <c r="W69" i="1"/>
  <c r="W56" i="1"/>
  <c r="I56" i="1"/>
  <c r="I239" i="1"/>
  <c r="I61" i="1"/>
  <c r="I62" i="1" s="1"/>
  <c r="U202" i="1"/>
  <c r="U198" i="1"/>
  <c r="Z199" i="1" s="1"/>
  <c r="BB188" i="1"/>
  <c r="BC184" i="1"/>
  <c r="BR182" i="1"/>
  <c r="BR304" i="1"/>
  <c r="BR215" i="1"/>
  <c r="BR216" i="1"/>
  <c r="CC161" i="1"/>
  <c r="AA199" i="1"/>
  <c r="K202" i="1"/>
  <c r="K198" i="1"/>
  <c r="Q69" i="1"/>
  <c r="Q73" i="1" s="1"/>
  <c r="Q77" i="1" s="1"/>
  <c r="Q200" i="1" s="1"/>
  <c r="Q251" i="1"/>
  <c r="Q61" i="1"/>
  <c r="Q62" i="1" s="1"/>
  <c r="Q56" i="1"/>
  <c r="Q239" i="1"/>
  <c r="N198" i="1"/>
  <c r="N199" i="1" s="1"/>
  <c r="J202" i="1"/>
  <c r="J198" i="1"/>
  <c r="AX201" i="1"/>
  <c r="AX188" i="1"/>
  <c r="BI103" i="1"/>
  <c r="BI102" i="1" s="1"/>
  <c r="CI147" i="1"/>
  <c r="AP232" i="1"/>
  <c r="AL232" i="1"/>
  <c r="BJ232" i="1"/>
  <c r="CA56" i="1"/>
  <c r="CA69" i="1"/>
  <c r="CA299" i="1"/>
  <c r="CA57" i="1"/>
  <c r="CA15" i="1"/>
  <c r="BQ69" i="1"/>
  <c r="BQ56" i="1"/>
  <c r="BQ299" i="1"/>
  <c r="BM102" i="1"/>
  <c r="AC199" i="1"/>
  <c r="AM43" i="1"/>
  <c r="CG320" i="1"/>
  <c r="BR272" i="1"/>
  <c r="BT202" i="1"/>
  <c r="BJ152" i="1"/>
  <c r="BJ154" i="1" s="1"/>
  <c r="BV57" i="1"/>
  <c r="O15" i="1"/>
  <c r="AY171" i="1"/>
  <c r="BD177" i="1"/>
  <c r="BV182" i="1"/>
  <c r="BD184" i="1"/>
  <c r="BT213" i="1"/>
  <c r="AW60" i="1"/>
  <c r="BN180" i="1"/>
  <c r="AN233" i="1"/>
  <c r="BE263" i="1"/>
  <c r="BJ264" i="1" s="1"/>
  <c r="BZ94" i="1"/>
  <c r="AU138" i="1"/>
  <c r="AU143" i="1" s="1"/>
  <c r="AU154" i="1" s="1"/>
  <c r="BI161" i="1"/>
  <c r="AY175" i="1"/>
  <c r="BS180" i="1"/>
  <c r="BK108" i="1"/>
  <c r="BG103" i="1"/>
  <c r="BG102" i="1" s="1"/>
  <c r="AW188" i="1"/>
  <c r="P231" i="1"/>
  <c r="BH231" i="1"/>
  <c r="BH305" i="1" s="1"/>
  <c r="N232" i="1"/>
  <c r="Y233" i="1"/>
  <c r="AW233" i="1"/>
  <c r="BM266" i="1"/>
  <c r="CI146" i="1"/>
  <c r="CN146" i="1" s="1"/>
  <c r="CP146" i="1" s="1"/>
  <c r="CQ146" i="1" s="1"/>
  <c r="CR146" i="1" s="1"/>
  <c r="CS146" i="1" s="1"/>
  <c r="CT146" i="1" s="1"/>
  <c r="CD306" i="1"/>
  <c r="BG304" i="1"/>
  <c r="BV302" i="1"/>
  <c r="BG302" i="1"/>
  <c r="CD300" i="1"/>
  <c r="BJ300" i="1"/>
  <c r="BV299" i="1"/>
  <c r="BY298" i="1"/>
  <c r="BQ273" i="1"/>
  <c r="AW273" i="1"/>
  <c r="BV272" i="1"/>
  <c r="BJ272" i="1"/>
  <c r="BB272" i="1"/>
  <c r="BF264" i="1"/>
  <c r="AF251" i="1"/>
  <c r="AF239" i="1"/>
  <c r="AF285" i="1" s="1"/>
  <c r="AS232" i="1"/>
  <c r="BO231" i="1"/>
  <c r="BO305" i="1" s="1"/>
  <c r="AT231" i="1"/>
  <c r="BZ231" i="1"/>
  <c r="BZ305" i="1" s="1"/>
  <c r="BP233" i="1"/>
  <c r="BL233" i="1"/>
  <c r="BB233" i="1"/>
  <c r="AC231" i="1"/>
  <c r="Z231" i="1"/>
  <c r="I231" i="1"/>
  <c r="BY229" i="1"/>
  <c r="BY231" i="1" s="1"/>
  <c r="BY305" i="1" s="1"/>
  <c r="BN232" i="1"/>
  <c r="BG232" i="1"/>
  <c r="BC231" i="1"/>
  <c r="AW232" i="1"/>
  <c r="AI232" i="1"/>
  <c r="U231" i="1"/>
  <c r="R231" i="1"/>
  <c r="CD225" i="1"/>
  <c r="BJ225" i="1"/>
  <c r="AP225" i="1"/>
  <c r="V225" i="1"/>
  <c r="BY224" i="1"/>
  <c r="BJ222" i="1"/>
  <c r="AP222" i="1"/>
  <c r="V222" i="1"/>
  <c r="BO221" i="1"/>
  <c r="BO247" i="1" s="1"/>
  <c r="AU221" i="1"/>
  <c r="AU247" i="1" s="1"/>
  <c r="Q221" i="1"/>
  <c r="Q247" i="1" s="1"/>
  <c r="BP220" i="1"/>
  <c r="BJ219" i="1"/>
  <c r="CA218" i="1"/>
  <c r="AZ218" i="1"/>
  <c r="AP218" i="1"/>
  <c r="V218" i="1"/>
  <c r="BV217" i="1"/>
  <c r="AZ217" i="1"/>
  <c r="AP217" i="1"/>
  <c r="V217" i="1"/>
  <c r="CA216" i="1"/>
  <c r="BG216" i="1"/>
  <c r="CD215" i="1"/>
  <c r="BV215" i="1"/>
  <c r="BJ215" i="1"/>
  <c r="AF215" i="1"/>
  <c r="L215" i="1"/>
  <c r="AF214" i="1"/>
  <c r="L214" i="1"/>
  <c r="BP248" i="1"/>
  <c r="BE212" i="1"/>
  <c r="BE245" i="1" s="1"/>
  <c r="AS248" i="1"/>
  <c r="AK212" i="1"/>
  <c r="AK245" i="1" s="1"/>
  <c r="AK248" i="1" s="1"/>
  <c r="BO211" i="1"/>
  <c r="AU211" i="1"/>
  <c r="CD210" i="1"/>
  <c r="CD246" i="1" s="1"/>
  <c r="CD248" i="1" s="1"/>
  <c r="AZ210" i="1"/>
  <c r="AZ246" i="1" s="1"/>
  <c r="AZ248" i="1" s="1"/>
  <c r="AF210" i="1"/>
  <c r="AF246" i="1" s="1"/>
  <c r="L210" i="1"/>
  <c r="L246" i="1" s="1"/>
  <c r="L248" i="1" s="1"/>
  <c r="BY208" i="1"/>
  <c r="AF206" i="1"/>
  <c r="L206" i="1"/>
  <c r="BO205" i="1"/>
  <c r="AU205" i="1"/>
  <c r="M202" i="1"/>
  <c r="BQ201" i="1"/>
  <c r="BB201" i="1"/>
  <c r="AS199" i="1"/>
  <c r="BP202" i="1"/>
  <c r="T202" i="1"/>
  <c r="BC186" i="1"/>
  <c r="BC103" i="1" s="1"/>
  <c r="BE103" i="1" s="1"/>
  <c r="BE102" i="1" s="1"/>
  <c r="CA106" i="1"/>
  <c r="CA108" i="1" s="1"/>
  <c r="CB184" i="1"/>
  <c r="BY182" i="1"/>
  <c r="BJ182" i="1"/>
  <c r="AF182" i="1"/>
  <c r="L182" i="1"/>
  <c r="BW178" i="1"/>
  <c r="BM272" i="1"/>
  <c r="CD181" i="1"/>
  <c r="CD191" i="1" s="1"/>
  <c r="AW172" i="1"/>
  <c r="BM165" i="1"/>
  <c r="BN165" i="1" s="1"/>
  <c r="BI164" i="1"/>
  <c r="BW162" i="1"/>
  <c r="AI154" i="1"/>
  <c r="AD154" i="1"/>
  <c r="AD156" i="1" s="1"/>
  <c r="BY152" i="1"/>
  <c r="BY154" i="1" s="1"/>
  <c r="Q152" i="1"/>
  <c r="AZ152" i="1"/>
  <c r="AZ154" i="1" s="1"/>
  <c r="AF152" i="1"/>
  <c r="AF154" i="1" s="1"/>
  <c r="BE152" i="1"/>
  <c r="BN138" i="1"/>
  <c r="BN143" i="1" s="1"/>
  <c r="BN154" i="1" s="1"/>
  <c r="BN156" i="1" s="1"/>
  <c r="BE138" i="1"/>
  <c r="BE143" i="1" s="1"/>
  <c r="AP138" i="1"/>
  <c r="AP143" i="1" s="1"/>
  <c r="AK138" i="1"/>
  <c r="AK143" i="1" s="1"/>
  <c r="BO134" i="1"/>
  <c r="Q138" i="1"/>
  <c r="Q143" i="1" s="1"/>
  <c r="BG130" i="1"/>
  <c r="BG236" i="1" s="1"/>
  <c r="CG318" i="1"/>
  <c r="CD214" i="1"/>
  <c r="BU130" i="1"/>
  <c r="BU236" i="1" s="1"/>
  <c r="BH130" i="1"/>
  <c r="BH236" i="1" s="1"/>
  <c r="CD120" i="1"/>
  <c r="BY213" i="1"/>
  <c r="AZ230" i="1"/>
  <c r="BA233" i="1" s="1"/>
  <c r="AZ121" i="1"/>
  <c r="AZ130" i="1" s="1"/>
  <c r="AF121" i="1"/>
  <c r="AF130" i="1" s="1"/>
  <c r="AF236" i="1" s="1"/>
  <c r="L121" i="1"/>
  <c r="L130" i="1" s="1"/>
  <c r="L284" i="1" s="1"/>
  <c r="CG158" i="1"/>
  <c r="BU108" i="1"/>
  <c r="AQ102" i="1"/>
  <c r="AI102" i="1"/>
  <c r="AA102" i="1"/>
  <c r="BR98" i="1"/>
  <c r="BL98" i="1"/>
  <c r="AF98" i="1"/>
  <c r="AU98" i="1"/>
  <c r="AI98" i="1"/>
  <c r="AE98" i="1"/>
  <c r="S98" i="1"/>
  <c r="CD97" i="1"/>
  <c r="BM83" i="1"/>
  <c r="BV69" i="1"/>
  <c r="BK69" i="1"/>
  <c r="AG69" i="1"/>
  <c r="AG71" i="1" s="1"/>
  <c r="N69" i="1"/>
  <c r="J61" i="1"/>
  <c r="J62" i="1" s="1"/>
  <c r="D61" i="1"/>
  <c r="D62" i="1" s="1"/>
  <c r="BD56" i="1"/>
  <c r="N56" i="1"/>
  <c r="N58" i="1" s="1"/>
  <c r="AR55" i="1"/>
  <c r="Y55" i="1"/>
  <c r="AX42" i="1"/>
  <c r="AM42" i="1"/>
  <c r="AH42" i="1"/>
  <c r="CD35" i="1"/>
  <c r="BJ35" i="1"/>
  <c r="V35" i="1"/>
  <c r="V294" i="1" s="1"/>
  <c r="AL25" i="1"/>
  <c r="AI26" i="1"/>
  <c r="AC26" i="1"/>
  <c r="AK19" i="1"/>
  <c r="CB20" i="1"/>
  <c r="CD18" i="1"/>
  <c r="V20" i="1"/>
  <c r="BQ14" i="1"/>
  <c r="BQ15" i="1" s="1"/>
  <c r="I14" i="1"/>
  <c r="CB14" i="1"/>
  <c r="W14" i="1"/>
  <c r="BP11" i="1"/>
  <c r="BJ10" i="1"/>
  <c r="AU10" i="1"/>
  <c r="AU11" i="1" s="1"/>
  <c r="V10" i="1"/>
  <c r="V11" i="1" s="1"/>
  <c r="AP13" i="1"/>
  <c r="CB270" i="1"/>
  <c r="CD6" i="1"/>
  <c r="AJ325" i="67"/>
  <c r="BA194" i="67"/>
  <c r="Z168" i="67"/>
  <c r="H178" i="67"/>
  <c r="AF178" i="67"/>
  <c r="AG175" i="67"/>
  <c r="BI122" i="67"/>
  <c r="CK113" i="67"/>
  <c r="CE113" i="67"/>
  <c r="BY113" i="67"/>
  <c r="BQ113" i="67"/>
  <c r="BD106" i="67"/>
  <c r="AJ113" i="67"/>
  <c r="Z91" i="67"/>
  <c r="BY80" i="67"/>
  <c r="BR73" i="67"/>
  <c r="BW73" i="67" s="1"/>
  <c r="CB73" i="67" s="1"/>
  <c r="CG73" i="67" s="1"/>
  <c r="CL73" i="67" s="1"/>
  <c r="AO80" i="67"/>
  <c r="U80" i="67"/>
  <c r="AH191" i="67"/>
  <c r="AM204" i="67" s="1"/>
  <c r="AC191" i="67"/>
  <c r="X191" i="67"/>
  <c r="X204" i="67" s="1"/>
  <c r="AX217" i="1"/>
  <c r="BH103" i="1"/>
  <c r="CI115" i="1"/>
  <c r="CN115" i="1" s="1"/>
  <c r="AP19" i="1"/>
  <c r="AG61" i="1"/>
  <c r="AG62" i="1" s="1"/>
  <c r="BB172" i="1"/>
  <c r="AA232" i="1"/>
  <c r="BS179" i="1"/>
  <c r="AK232" i="1"/>
  <c r="BD175" i="1"/>
  <c r="BD272" i="1" s="1"/>
  <c r="AN231" i="1"/>
  <c r="BV232" i="1"/>
  <c r="BV303" i="1"/>
  <c r="BP299" i="1"/>
  <c r="AP292" i="1"/>
  <c r="V292" i="1"/>
  <c r="BL273" i="1"/>
  <c r="CA272" i="1"/>
  <c r="AA248" i="1"/>
  <c r="BF233" i="1"/>
  <c r="BP232" i="1"/>
  <c r="BM231" i="1"/>
  <c r="BM305" i="1" s="1"/>
  <c r="BJ229" i="1"/>
  <c r="BK232" i="1" s="1"/>
  <c r="BY225" i="1"/>
  <c r="BY222" i="1"/>
  <c r="Z219" i="1"/>
  <c r="AW218" i="1"/>
  <c r="V216" i="1"/>
  <c r="CA215" i="1"/>
  <c r="BW213" i="1"/>
  <c r="AP213" i="1"/>
  <c r="V213" i="1"/>
  <c r="AF212" i="1"/>
  <c r="AF245" i="1" s="1"/>
  <c r="BJ205" i="1"/>
  <c r="AP205" i="1"/>
  <c r="V205" i="1"/>
  <c r="X202" i="1"/>
  <c r="BG201" i="1"/>
  <c r="AF202" i="1"/>
  <c r="R202" i="1"/>
  <c r="N202" i="1"/>
  <c r="Q193" i="1"/>
  <c r="CC171" i="1"/>
  <c r="CC303" i="1" s="1"/>
  <c r="BX170" i="1"/>
  <c r="BI152" i="1"/>
  <c r="BI154" i="1" s="1"/>
  <c r="BI156" i="1" s="1"/>
  <c r="BD154" i="1"/>
  <c r="BD156" i="1" s="1"/>
  <c r="AM154" i="1"/>
  <c r="AM156" i="1" s="1"/>
  <c r="H154" i="1"/>
  <c r="H156" i="1" s="1"/>
  <c r="V152" i="1"/>
  <c r="BJ223" i="1"/>
  <c r="AH154" i="1"/>
  <c r="AH156" i="1" s="1"/>
  <c r="R154" i="1"/>
  <c r="R156" i="1" s="1"/>
  <c r="J154" i="1"/>
  <c r="J156" i="1" s="1"/>
  <c r="BC156" i="1"/>
  <c r="CI136" i="1"/>
  <c r="CN136" i="1" s="1"/>
  <c r="CG319" i="1"/>
  <c r="BY214" i="1"/>
  <c r="CA121" i="1"/>
  <c r="CA130" i="1" s="1"/>
  <c r="CA236" i="1" s="1"/>
  <c r="BL130" i="1"/>
  <c r="BL236" i="1" s="1"/>
  <c r="AU230" i="1"/>
  <c r="AV233" i="1" s="1"/>
  <c r="AV98" i="1"/>
  <c r="BJ97" i="1"/>
  <c r="AZ97" i="1"/>
  <c r="AU61" i="1"/>
  <c r="AU62" i="1" s="1"/>
  <c r="AY57" i="1"/>
  <c r="Z56" i="1"/>
  <c r="U56" i="1"/>
  <c r="AQ55" i="1"/>
  <c r="X55" i="1"/>
  <c r="BY35" i="1"/>
  <c r="BY18" i="1"/>
  <c r="N15" i="1"/>
  <c r="AY15" i="1"/>
  <c r="AD15" i="1"/>
  <c r="AQ11" i="1"/>
  <c r="P11" i="1"/>
  <c r="V13" i="1"/>
  <c r="BO6" i="1"/>
  <c r="AU6" i="1"/>
  <c r="BQ136" i="67"/>
  <c r="BV136" i="67" s="1"/>
  <c r="CA136" i="67" s="1"/>
  <c r="CF136" i="67" s="1"/>
  <c r="CK136" i="67" s="1"/>
  <c r="AY127" i="67"/>
  <c r="BG331" i="67"/>
  <c r="BG337" i="67" s="1"/>
  <c r="AW206" i="67"/>
  <c r="CI140" i="1"/>
  <c r="CN140" i="1" s="1"/>
  <c r="BH201" i="1"/>
  <c r="V143" i="1"/>
  <c r="AJ24" i="1"/>
  <c r="CE299" i="1"/>
  <c r="CE57" i="1"/>
  <c r="AZ99" i="1"/>
  <c r="CB162" i="1"/>
  <c r="BV172" i="1"/>
  <c r="BC180" i="1"/>
  <c r="BD180" i="1" s="1"/>
  <c r="BD181" i="1" s="1"/>
  <c r="BN201" i="1"/>
  <c r="AD231" i="1"/>
  <c r="BX177" i="1"/>
  <c r="BI231" i="1"/>
  <c r="BI305" i="1" s="1"/>
  <c r="BQ188" i="1"/>
  <c r="AJ233" i="1"/>
  <c r="BN233" i="1"/>
  <c r="BX98" i="1"/>
  <c r="R175" i="67"/>
  <c r="R174" i="67"/>
  <c r="AR185" i="67"/>
  <c r="AL184" i="67"/>
  <c r="Z90" i="67"/>
  <c r="BR301" i="1"/>
  <c r="CI116" i="1"/>
  <c r="J192" i="1"/>
  <c r="J193" i="1" s="1"/>
  <c r="BI218" i="1"/>
  <c r="AX218" i="1"/>
  <c r="BY10" i="1"/>
  <c r="BY11" i="1" s="1"/>
  <c r="V19" i="1"/>
  <c r="BO52" i="1"/>
  <c r="BU57" i="1"/>
  <c r="CE121" i="1"/>
  <c r="CE130" i="1" s="1"/>
  <c r="CE236" i="1" s="1"/>
  <c r="BP266" i="1"/>
  <c r="BT266" i="1" s="1"/>
  <c r="BT265" i="1" s="1"/>
  <c r="CJ272" i="1"/>
  <c r="CB187" i="1"/>
  <c r="CB201" i="1" s="1"/>
  <c r="BO101" i="1"/>
  <c r="BO102" i="1" s="1"/>
  <c r="AY161" i="1"/>
  <c r="BJ121" i="1"/>
  <c r="BJ130" i="1" s="1"/>
  <c r="BJ236" i="1" s="1"/>
  <c r="AX178" i="1"/>
  <c r="AX181" i="1" s="1"/>
  <c r="AW216" i="1"/>
  <c r="BA231" i="1"/>
  <c r="BS178" i="1"/>
  <c r="BS186" i="1"/>
  <c r="AI231" i="1"/>
  <c r="R173" i="67"/>
  <c r="AR187" i="67"/>
  <c r="F163" i="67"/>
  <c r="F147" i="67" s="1"/>
  <c r="R169" i="67"/>
  <c r="AL182" i="67"/>
  <c r="BI180" i="1"/>
  <c r="AZ15" i="1"/>
  <c r="AN42" i="1"/>
  <c r="BD57" i="1"/>
  <c r="AF23" i="1"/>
  <c r="CC57" i="1"/>
  <c r="BB181" i="1"/>
  <c r="BX166" i="1"/>
  <c r="AW181" i="1"/>
  <c r="AW191" i="1" s="1"/>
  <c r="BY121" i="1"/>
  <c r="BY130" i="1" s="1"/>
  <c r="BY236" i="1" s="1"/>
  <c r="BD170" i="1"/>
  <c r="BR185" i="1"/>
  <c r="BO307" i="1"/>
  <c r="BL302" i="1"/>
  <c r="AE233" i="1"/>
  <c r="M232" i="1"/>
  <c r="L233" i="1"/>
  <c r="BY221" i="1"/>
  <c r="BY247" i="1" s="1"/>
  <c r="BJ221" i="1"/>
  <c r="BJ247" i="1" s="1"/>
  <c r="BO220" i="1"/>
  <c r="BF219" i="1"/>
  <c r="AP216" i="1"/>
  <c r="BJ213" i="1"/>
  <c r="Q212" i="1"/>
  <c r="Q245" i="1" s="1"/>
  <c r="Q248" i="1" s="1"/>
  <c r="AO25" i="1"/>
  <c r="CE61" i="1"/>
  <c r="CI151" i="1"/>
  <c r="BM201" i="1"/>
  <c r="BY103" i="1"/>
  <c r="BY102" i="1" s="1"/>
  <c r="AW226" i="67"/>
  <c r="CC175" i="1"/>
  <c r="BM95" i="1"/>
  <c r="BM94" i="1" s="1"/>
  <c r="BO94" i="1" s="1"/>
  <c r="BZ15" i="1"/>
  <c r="BE99" i="1"/>
  <c r="BE98" i="1" s="1"/>
  <c r="AR156" i="1"/>
  <c r="BC172" i="1"/>
  <c r="BC196" i="1" s="1"/>
  <c r="BC197" i="1" s="1"/>
  <c r="Y232" i="1"/>
  <c r="BQ172" i="1"/>
  <c r="BQ196" i="1" s="1"/>
  <c r="BQ197" i="1" s="1"/>
  <c r="CA233" i="1"/>
  <c r="J233" i="1"/>
  <c r="R177" i="67"/>
  <c r="BQ20" i="1"/>
  <c r="AR186" i="67"/>
  <c r="BP73" i="67"/>
  <c r="BU73" i="67" s="1"/>
  <c r="BZ73" i="67" s="1"/>
  <c r="CE73" i="67" s="1"/>
  <c r="CJ73" i="67" s="1"/>
  <c r="R194" i="67"/>
  <c r="BH301" i="1"/>
  <c r="CA94" i="1"/>
  <c r="AY186" i="1"/>
  <c r="CB103" i="1"/>
  <c r="CD103" i="1" s="1"/>
  <c r="CD102" i="1" s="1"/>
  <c r="BG181" i="1"/>
  <c r="AX60" i="1"/>
  <c r="AX219" i="1" s="1"/>
  <c r="CD222" i="1"/>
  <c r="BX14" i="1"/>
  <c r="BH83" i="1"/>
  <c r="AF10" i="1"/>
  <c r="BS14" i="1"/>
  <c r="AU18" i="1"/>
  <c r="BJ19" i="1"/>
  <c r="AE25" i="1"/>
  <c r="U57" i="1"/>
  <c r="BG172" i="1"/>
  <c r="BV188" i="1"/>
  <c r="BV60" i="1"/>
  <c r="BV219" i="1" s="1"/>
  <c r="AY187" i="1"/>
  <c r="BH233" i="1"/>
  <c r="AR231" i="1"/>
  <c r="BS305" i="1"/>
  <c r="BQ304" i="1"/>
  <c r="CA302" i="1"/>
  <c r="CC299" i="1"/>
  <c r="BG273" i="1"/>
  <c r="AC273" i="1"/>
  <c r="AJ240" i="1"/>
  <c r="AJ241" i="1" s="1"/>
  <c r="Z240" i="1"/>
  <c r="Z241" i="1" s="1"/>
  <c r="AT239" i="1"/>
  <c r="O233" i="1"/>
  <c r="BV231" i="1"/>
  <c r="BV305" i="1" s="1"/>
  <c r="BR233" i="1"/>
  <c r="AX233" i="1"/>
  <c r="X233" i="1"/>
  <c r="S231" i="1"/>
  <c r="BM232" i="1"/>
  <c r="AN232" i="1"/>
  <c r="AF225" i="1"/>
  <c r="L225" i="1"/>
  <c r="BY223" i="1"/>
  <c r="AF222" i="1"/>
  <c r="AF221" i="1"/>
  <c r="AF247" i="1" s="1"/>
  <c r="AF220" i="1"/>
  <c r="L220" i="1"/>
  <c r="BY219" i="1"/>
  <c r="AF218" i="1"/>
  <c r="AF217" i="1"/>
  <c r="BY216" i="1"/>
  <c r="BQ216" i="1"/>
  <c r="AP215" i="1"/>
  <c r="V215" i="1"/>
  <c r="BJ214" i="1"/>
  <c r="AP214" i="1"/>
  <c r="V214" i="1"/>
  <c r="BO212" i="1"/>
  <c r="BO245" i="1" s="1"/>
  <c r="BO248" i="1" s="1"/>
  <c r="AU212" i="1"/>
  <c r="AU245" i="1" s="1"/>
  <c r="AU248" i="1" s="1"/>
  <c r="BJ210" i="1"/>
  <c r="BJ246" i="1" s="1"/>
  <c r="BJ248" i="1" s="1"/>
  <c r="AP210" i="1"/>
  <c r="AP246" i="1" s="1"/>
  <c r="AP248" i="1" s="1"/>
  <c r="V210" i="1"/>
  <c r="V246" i="1" s="1"/>
  <c r="V248" i="1" s="1"/>
  <c r="AP206" i="1"/>
  <c r="V206" i="1"/>
  <c r="CD202" i="1"/>
  <c r="M193" i="1"/>
  <c r="M194" i="1" s="1"/>
  <c r="L193" i="1"/>
  <c r="L194" i="1" s="1"/>
  <c r="AY185" i="1"/>
  <c r="BF188" i="1"/>
  <c r="BF191" i="1" s="1"/>
  <c r="AP182" i="1"/>
  <c r="BS175" i="1"/>
  <c r="BY191" i="1"/>
  <c r="BE302" i="1"/>
  <c r="BD161" i="1"/>
  <c r="BH154" i="1"/>
  <c r="AK152" i="1"/>
  <c r="CI149" i="1"/>
  <c r="CN149" i="1" s="1"/>
  <c r="CP149" i="1" s="1"/>
  <c r="CQ149" i="1" s="1"/>
  <c r="CR149" i="1" s="1"/>
  <c r="CS149" i="1" s="1"/>
  <c r="CT149" i="1" s="1"/>
  <c r="CU149" i="1" s="1"/>
  <c r="CV149" i="1" s="1"/>
  <c r="CW149" i="1" s="1"/>
  <c r="CX149" i="1" s="1"/>
  <c r="CY149" i="1" s="1"/>
  <c r="CZ149" i="1" s="1"/>
  <c r="DA149" i="1" s="1"/>
  <c r="DB149" i="1" s="1"/>
  <c r="DC149" i="1" s="1"/>
  <c r="DD149" i="1" s="1"/>
  <c r="DE149" i="1" s="1"/>
  <c r="DF149" i="1" s="1"/>
  <c r="DG149" i="1" s="1"/>
  <c r="DH149" i="1" s="1"/>
  <c r="DI149" i="1" s="1"/>
  <c r="DJ149" i="1" s="1"/>
  <c r="DK149" i="1" s="1"/>
  <c r="DL149" i="1" s="1"/>
  <c r="DM149" i="1" s="1"/>
  <c r="AP152" i="1"/>
  <c r="S154" i="1"/>
  <c r="S156" i="1" s="1"/>
  <c r="AP223" i="1"/>
  <c r="BV154" i="1"/>
  <c r="BV156" i="1" s="1"/>
  <c r="BR154" i="1"/>
  <c r="BR156" i="1" s="1"/>
  <c r="AL154" i="1"/>
  <c r="AL156" i="1" s="1"/>
  <c r="AG154" i="1"/>
  <c r="AG156" i="1" s="1"/>
  <c r="Z154" i="1"/>
  <c r="Z156" i="1" s="1"/>
  <c r="U154" i="1"/>
  <c r="U156" i="1" s="1"/>
  <c r="N154" i="1"/>
  <c r="N156" i="1" s="1"/>
  <c r="I154" i="1"/>
  <c r="I156" i="1" s="1"/>
  <c r="BF130" i="1"/>
  <c r="BF236" i="1" s="1"/>
  <c r="CD213" i="1"/>
  <c r="BY210" i="1"/>
  <c r="BY246" i="1" s="1"/>
  <c r="BY248" i="1" s="1"/>
  <c r="AP121" i="1"/>
  <c r="AP130" i="1" s="1"/>
  <c r="V230" i="1"/>
  <c r="AA233" i="1" s="1"/>
  <c r="AH102" i="1"/>
  <c r="AD102" i="1"/>
  <c r="BK102" i="1"/>
  <c r="BD98" i="1"/>
  <c r="BK98" i="1"/>
  <c r="Z73" i="1"/>
  <c r="Z77" i="1" s="1"/>
  <c r="BW71" i="1"/>
  <c r="AW71" i="1"/>
  <c r="CC69" i="1"/>
  <c r="BD69" i="1"/>
  <c r="J69" i="1"/>
  <c r="W61" i="1"/>
  <c r="W62" i="1" s="1"/>
  <c r="BV56" i="1"/>
  <c r="BI55" i="1"/>
  <c r="BI239" i="1" s="1"/>
  <c r="C55" i="1"/>
  <c r="BJ46" i="1"/>
  <c r="BO48" i="1" s="1"/>
  <c r="AW43" i="1"/>
  <c r="AP40" i="1"/>
  <c r="AP41" i="1" s="1"/>
  <c r="AG40" i="1"/>
  <c r="AG42" i="1" s="1"/>
  <c r="AM26" i="1"/>
  <c r="AE24" i="1"/>
  <c r="AN20" i="1"/>
  <c r="AP18" i="1"/>
  <c r="CA11" i="1"/>
  <c r="AC174" i="67"/>
  <c r="Z137" i="67"/>
  <c r="BD134" i="67"/>
  <c r="AO123" i="67"/>
  <c r="CC180" i="1"/>
  <c r="BX171" i="1"/>
  <c r="BX303" i="1" s="1"/>
  <c r="BX161" i="1"/>
  <c r="AJ154" i="1"/>
  <c r="AJ156" i="1" s="1"/>
  <c r="BQ154" i="1"/>
  <c r="BQ156" i="1" s="1"/>
  <c r="AT156" i="1"/>
  <c r="AE154" i="1"/>
  <c r="AE156" i="1" s="1"/>
  <c r="V255" i="1"/>
  <c r="V256" i="1" s="1"/>
  <c r="AH61" i="1"/>
  <c r="AH62" i="1" s="1"/>
  <c r="AD61" i="1"/>
  <c r="AD62" i="1" s="1"/>
  <c r="AT17" i="67"/>
  <c r="AT4" i="67"/>
  <c r="AT373" i="67" s="1"/>
  <c r="AT193" i="67"/>
  <c r="BH63" i="67"/>
  <c r="BI67" i="67"/>
  <c r="AP6" i="67"/>
  <c r="BE204" i="67"/>
  <c r="BC204" i="67"/>
  <c r="BB204" i="67"/>
  <c r="BH30" i="67"/>
  <c r="BI35" i="67"/>
  <c r="BH34" i="67"/>
  <c r="BH32" i="67"/>
  <c r="BD17" i="67"/>
  <c r="BH33" i="67"/>
  <c r="BI36" i="67"/>
  <c r="AU204" i="67"/>
  <c r="AZ204" i="67"/>
  <c r="AT191" i="67"/>
  <c r="BG30" i="67"/>
  <c r="AZ5" i="67"/>
  <c r="BA204" i="67"/>
  <c r="BF204" i="67"/>
  <c r="BB206" i="67"/>
  <c r="BD193" i="67"/>
  <c r="AY159" i="67"/>
  <c r="BD159" i="67"/>
  <c r="AT220" i="67"/>
  <c r="AT377" i="67"/>
  <c r="AT159" i="67"/>
  <c r="AV205" i="67"/>
  <c r="BA205" i="67"/>
  <c r="AV204" i="67"/>
  <c r="BN274" i="1"/>
  <c r="AD192" i="67"/>
  <c r="AI205" i="67" s="1"/>
  <c r="AC7" i="67"/>
  <c r="BC5" i="1" s="1"/>
  <c r="BC210" i="1" s="1"/>
  <c r="BC246" i="1" s="1"/>
  <c r="BC248" i="1" s="1"/>
  <c r="BI274" i="1"/>
  <c r="T192" i="67"/>
  <c r="AQ205" i="67"/>
  <c r="Y6" i="67"/>
  <c r="AZ205" i="67"/>
  <c r="BC205" i="67"/>
  <c r="AS205" i="67"/>
  <c r="AX205" i="67"/>
  <c r="Z67" i="67"/>
  <c r="Z62" i="67"/>
  <c r="AZ274" i="1" s="1"/>
  <c r="CE37" i="67"/>
  <c r="BK37" i="67"/>
  <c r="CK32" i="67"/>
  <c r="CE32" i="67"/>
  <c r="BY32" i="67"/>
  <c r="BQ32" i="67"/>
  <c r="AW204" i="67"/>
  <c r="BY37" i="67"/>
  <c r="AL274" i="1"/>
  <c r="CJ68" i="67"/>
  <c r="CD68" i="67"/>
  <c r="BP68" i="67"/>
  <c r="BB151" i="67"/>
  <c r="AO61" i="67"/>
  <c r="U61" i="67"/>
  <c r="AO68" i="67"/>
  <c r="CJ37" i="67"/>
  <c r="CD37" i="67"/>
  <c r="CI32" i="67"/>
  <c r="CA32" i="67"/>
  <c r="BU32" i="67"/>
  <c r="BO32" i="67"/>
  <c r="S7" i="67"/>
  <c r="S144" i="67" s="1"/>
  <c r="BV32" i="67"/>
  <c r="AG274" i="1"/>
  <c r="AE37" i="67"/>
  <c r="AC6" i="67"/>
  <c r="BL32" i="67"/>
  <c r="U272" i="67"/>
  <c r="AQ185" i="67"/>
  <c r="AC225" i="67"/>
  <c r="BD29" i="67"/>
  <c r="BD18" i="67" s="1"/>
  <c r="AZ20" i="67"/>
  <c r="AU18" i="67"/>
  <c r="AU370" i="67"/>
  <c r="AU371" i="67" s="1"/>
  <c r="AY17" i="67"/>
  <c r="AZ194" i="67"/>
  <c r="AV178" i="67"/>
  <c r="BK273" i="1"/>
  <c r="AG273" i="1"/>
  <c r="AX370" i="67"/>
  <c r="AX371" i="67" s="1"/>
  <c r="AX18" i="67"/>
  <c r="AT369" i="67"/>
  <c r="AV370" i="67"/>
  <c r="AV371" i="67" s="1"/>
  <c r="AV18" i="67"/>
  <c r="BA206" i="67"/>
  <c r="BQ193" i="67"/>
  <c r="BV193" i="67" s="1"/>
  <c r="CA193" i="67" s="1"/>
  <c r="CF193" i="67" s="1"/>
  <c r="CK193" i="67" s="1"/>
  <c r="AW370" i="67"/>
  <c r="AW371" i="67" s="1"/>
  <c r="AW18" i="67"/>
  <c r="BF337" i="67"/>
  <c r="BC338" i="67"/>
  <c r="BB338" i="67"/>
  <c r="AV174" i="67"/>
  <c r="AV175" i="67"/>
  <c r="AK184" i="67"/>
  <c r="AK185" i="67"/>
  <c r="AM192" i="67"/>
  <c r="AM205" i="67" s="1"/>
  <c r="BM274" i="1"/>
  <c r="AC192" i="67"/>
  <c r="AH205" i="67" s="1"/>
  <c r="BC274" i="1"/>
  <c r="S192" i="67"/>
  <c r="AS274" i="1"/>
  <c r="CB274" i="1"/>
  <c r="BF330" i="67"/>
  <c r="BF332" i="67" s="1"/>
  <c r="BF333" i="67" s="1"/>
  <c r="AE272" i="67"/>
  <c r="AE271" i="67"/>
  <c r="AU176" i="67"/>
  <c r="L174" i="67"/>
  <c r="AJ219" i="67"/>
  <c r="X192" i="67"/>
  <c r="X174" i="67"/>
  <c r="S218" i="67"/>
  <c r="N218" i="67"/>
  <c r="BA178" i="67"/>
  <c r="BA177" i="67"/>
  <c r="AQ182" i="67"/>
  <c r="AQ226" i="67"/>
  <c r="AO165" i="67"/>
  <c r="AO177" i="67" s="1"/>
  <c r="AN175" i="67"/>
  <c r="AN177" i="67"/>
  <c r="Q176" i="67"/>
  <c r="Q169" i="67"/>
  <c r="E144" i="67"/>
  <c r="AV173" i="67"/>
  <c r="AN173" i="67"/>
  <c r="BA175" i="67"/>
  <c r="Y7" i="67"/>
  <c r="Y140" i="67" s="1"/>
  <c r="Q178" i="67"/>
  <c r="AV177" i="67"/>
  <c r="AN176" i="67"/>
  <c r="U68" i="67"/>
  <c r="B194" i="67"/>
  <c r="G207" i="67" s="1"/>
  <c r="BH65" i="67"/>
  <c r="U62" i="67"/>
  <c r="U192" i="67" s="1"/>
  <c r="AC223" i="67"/>
  <c r="Z166" i="67"/>
  <c r="P107" i="67"/>
  <c r="P106" i="67"/>
  <c r="AP194" i="67"/>
  <c r="AU207" i="67" s="1"/>
  <c r="BP273" i="1"/>
  <c r="BA273" i="1"/>
  <c r="AA194" i="67"/>
  <c r="P73" i="67"/>
  <c r="P74" i="67"/>
  <c r="T79" i="67"/>
  <c r="BU273" i="1"/>
  <c r="CD134" i="67"/>
  <c r="AV176" i="67"/>
  <c r="AN174" i="67"/>
  <c r="AN169" i="67"/>
  <c r="O5" i="67"/>
  <c r="O7" i="67" s="1"/>
  <c r="BA200" i="67"/>
  <c r="BA199" i="67"/>
  <c r="BH274" i="1"/>
  <c r="BD37" i="67"/>
  <c r="AL6" i="67"/>
  <c r="AD7" i="67"/>
  <c r="AD199" i="67" s="1"/>
  <c r="P4" i="67"/>
  <c r="CI91" i="67"/>
  <c r="CE80" i="67"/>
  <c r="AQ206" i="67"/>
  <c r="BP37" i="67"/>
  <c r="AJ323" i="67"/>
  <c r="AS184" i="67"/>
  <c r="M184" i="67"/>
  <c r="G222" i="67"/>
  <c r="AO30" i="67"/>
  <c r="AK7" i="67"/>
  <c r="AS6" i="67"/>
  <c r="AW205" i="67"/>
  <c r="AZ209" i="67"/>
  <c r="BE209" i="67"/>
  <c r="AR204" i="67"/>
  <c r="AY211" i="67"/>
  <c r="T7" i="67"/>
  <c r="T145" i="67" s="1"/>
  <c r="E199" i="67"/>
  <c r="J176" i="67"/>
  <c r="Y177" i="67"/>
  <c r="I169" i="67"/>
  <c r="U30" i="67"/>
  <c r="E145" i="67"/>
  <c r="BB205" i="67"/>
  <c r="P37" i="67"/>
  <c r="BQ68" i="67"/>
  <c r="AJ37" i="67"/>
  <c r="E6" i="67"/>
  <c r="AY191" i="67"/>
  <c r="AY37" i="67"/>
  <c r="BR273" i="1"/>
  <c r="E142" i="67"/>
  <c r="E200" i="67"/>
  <c r="AE30" i="67"/>
  <c r="J7" i="67"/>
  <c r="J146" i="67" s="1"/>
  <c r="AL7" i="67"/>
  <c r="AL199" i="67" s="1"/>
  <c r="AS7" i="67"/>
  <c r="E140" i="67"/>
  <c r="Z73" i="67"/>
  <c r="E141" i="67"/>
  <c r="V183" i="67"/>
  <c r="CJ113" i="67"/>
  <c r="BD113" i="67"/>
  <c r="CK102" i="67"/>
  <c r="CE102" i="67"/>
  <c r="BY102" i="67"/>
  <c r="CA91" i="67"/>
  <c r="BE91" i="67"/>
  <c r="BE82" i="67" s="1"/>
  <c r="BE83" i="67" s="1"/>
  <c r="BE85" i="67" s="1"/>
  <c r="AO91" i="67"/>
  <c r="BD80" i="67"/>
  <c r="CI68" i="67"/>
  <c r="CA68" i="67"/>
  <c r="BO68" i="67"/>
  <c r="BH64" i="67"/>
  <c r="BD68" i="67"/>
  <c r="BL37" i="67"/>
  <c r="O36" i="67"/>
  <c r="CI37" i="67"/>
  <c r="BO37" i="67"/>
  <c r="AD6" i="67"/>
  <c r="T6" i="67"/>
  <c r="AN7" i="67"/>
  <c r="AN142" i="67" s="1"/>
  <c r="BE330" i="67"/>
  <c r="BE332" i="67" s="1"/>
  <c r="BE333" i="67" s="1"/>
  <c r="AN210" i="67"/>
  <c r="V192" i="67"/>
  <c r="AA191" i="67"/>
  <c r="AA204" i="67" s="1"/>
  <c r="Z118" i="67"/>
  <c r="AQ209" i="67"/>
  <c r="AG196" i="67"/>
  <c r="AL209" i="67" s="1"/>
  <c r="AB196" i="67"/>
  <c r="AB209" i="67" s="1"/>
  <c r="K193" i="67"/>
  <c r="CK37" i="67"/>
  <c r="BQ37" i="67"/>
  <c r="P30" i="67"/>
  <c r="AJ5" i="67"/>
  <c r="AA6" i="67"/>
  <c r="AI7" i="67"/>
  <c r="AI141" i="67" s="1"/>
  <c r="AE4" i="67"/>
  <c r="Z4" i="67"/>
  <c r="R6" i="67"/>
  <c r="K4" i="67"/>
  <c r="K6" i="67" s="1"/>
  <c r="AB206" i="67"/>
  <c r="O31" i="67"/>
  <c r="O191" i="67" s="1"/>
  <c r="CI134" i="67"/>
  <c r="AC178" i="67"/>
  <c r="BT80" i="67"/>
  <c r="AJ322" i="67"/>
  <c r="AZ175" i="67"/>
  <c r="X175" i="67"/>
  <c r="AC218" i="67"/>
  <c r="O112" i="67"/>
  <c r="AF173" i="67"/>
  <c r="BB156" i="67"/>
  <c r="AY223" i="67"/>
  <c r="AA178" i="67"/>
  <c r="AY219" i="67"/>
  <c r="N173" i="67"/>
  <c r="J174" i="67"/>
  <c r="CJ123" i="67"/>
  <c r="BZ123" i="67"/>
  <c r="BP123" i="67"/>
  <c r="CF123" i="67"/>
  <c r="BV123" i="67"/>
  <c r="BL123" i="67"/>
  <c r="L197" i="67"/>
  <c r="G197" i="67"/>
  <c r="B197" i="67"/>
  <c r="U118" i="67"/>
  <c r="AE106" i="67"/>
  <c r="AY113" i="67"/>
  <c r="AE113" i="67"/>
  <c r="BV102" i="67"/>
  <c r="BP102" i="67"/>
  <c r="BV80" i="67"/>
  <c r="AJ273" i="1"/>
  <c r="AB197" i="67"/>
  <c r="AG210" i="67" s="1"/>
  <c r="N178" i="67"/>
  <c r="X177" i="67"/>
  <c r="X218" i="67"/>
  <c r="AF174" i="67"/>
  <c r="BB155" i="67"/>
  <c r="BC208" i="67"/>
  <c r="AG192" i="67"/>
  <c r="AL205" i="67" s="1"/>
  <c r="BC101" i="67"/>
  <c r="AF177" i="67"/>
  <c r="X178" i="67"/>
  <c r="AY123" i="67"/>
  <c r="AP209" i="67"/>
  <c r="AB173" i="67"/>
  <c r="E143" i="67"/>
  <c r="I177" i="67"/>
  <c r="BH86" i="67"/>
  <c r="AJ74" i="67"/>
  <c r="AJ193" i="67" s="1"/>
  <c r="Z123" i="67"/>
  <c r="AT273" i="1"/>
  <c r="BD84" i="67"/>
  <c r="P85" i="67"/>
  <c r="AP273" i="1" s="1"/>
  <c r="CF113" i="67"/>
  <c r="P31" i="67"/>
  <c r="BI273" i="1"/>
  <c r="AT106" i="67"/>
  <c r="BU102" i="67"/>
  <c r="AZ99" i="67"/>
  <c r="CK91" i="67"/>
  <c r="AJ85" i="67"/>
  <c r="AI315" i="67" s="1"/>
  <c r="AI325" i="67" s="1"/>
  <c r="BD91" i="67"/>
  <c r="AJ91" i="67"/>
  <c r="AJ90" i="67" s="1"/>
  <c r="CJ80" i="67"/>
  <c r="BP80" i="67"/>
  <c r="CI80" i="67"/>
  <c r="CA80" i="67"/>
  <c r="AT74" i="67"/>
  <c r="U91" i="67"/>
  <c r="AC177" i="67"/>
  <c r="AH175" i="67"/>
  <c r="L222" i="67"/>
  <c r="AW31" i="67"/>
  <c r="BL274" i="1"/>
  <c r="AI206" i="67"/>
  <c r="AO223" i="67"/>
  <c r="N223" i="67"/>
  <c r="AO219" i="67"/>
  <c r="L178" i="67"/>
  <c r="BD137" i="67"/>
  <c r="CD123" i="67"/>
  <c r="BT123" i="67"/>
  <c r="I197" i="67"/>
  <c r="I210" i="67" s="1"/>
  <c r="AT107" i="67"/>
  <c r="AE107" i="67"/>
  <c r="J177" i="67"/>
  <c r="V209" i="67"/>
  <c r="I173" i="67"/>
  <c r="AA7" i="67"/>
  <c r="BZ113" i="67"/>
  <c r="AJ68" i="67"/>
  <c r="BD273" i="1"/>
  <c r="AN205" i="67"/>
  <c r="AY106" i="67"/>
  <c r="BC178" i="67"/>
  <c r="BC174" i="67"/>
  <c r="AX178" i="67"/>
  <c r="AX173" i="67"/>
  <c r="AX176" i="67"/>
  <c r="J178" i="67"/>
  <c r="O223" i="67"/>
  <c r="J197" i="67"/>
  <c r="O210" i="67" s="1"/>
  <c r="N175" i="67"/>
  <c r="N219" i="67"/>
  <c r="AD217" i="67"/>
  <c r="AD169" i="67"/>
  <c r="AO4" i="67"/>
  <c r="AM7" i="67"/>
  <c r="AF197" i="67"/>
  <c r="AK210" i="67" s="1"/>
  <c r="AJ118" i="67"/>
  <c r="AJ197" i="67" s="1"/>
  <c r="O79" i="67"/>
  <c r="P80" i="67"/>
  <c r="BT63" i="67"/>
  <c r="BA151" i="67"/>
  <c r="CA274" i="1"/>
  <c r="AE62" i="67"/>
  <c r="BE274" i="1" s="1"/>
  <c r="AI274" i="1"/>
  <c r="I192" i="67"/>
  <c r="N62" i="67"/>
  <c r="N5" i="67"/>
  <c r="CA37" i="67"/>
  <c r="CF37" i="67"/>
  <c r="AL191" i="67"/>
  <c r="AQ204" i="67" s="1"/>
  <c r="AO31" i="67"/>
  <c r="Q7" i="67"/>
  <c r="Q141" i="67" s="1"/>
  <c r="Q6" i="67"/>
  <c r="AU209" i="67"/>
  <c r="AV206" i="67"/>
  <c r="BC211" i="67"/>
  <c r="P271" i="67"/>
  <c r="P272" i="67"/>
  <c r="AA173" i="67"/>
  <c r="I175" i="67"/>
  <c r="AC175" i="67"/>
  <c r="J175" i="67"/>
  <c r="AH174" i="67"/>
  <c r="AH173" i="67"/>
  <c r="AC222" i="67"/>
  <c r="AT174" i="67"/>
  <c r="AA174" i="67"/>
  <c r="BC173" i="67"/>
  <c r="AX177" i="67"/>
  <c r="S177" i="67"/>
  <c r="I176" i="67"/>
  <c r="BB274" i="1"/>
  <c r="CF97" i="67"/>
  <c r="CF102" i="67"/>
  <c r="CE91" i="67"/>
  <c r="BU80" i="67"/>
  <c r="BD74" i="67"/>
  <c r="AT173" i="67"/>
  <c r="N177" i="67"/>
  <c r="AA177" i="67"/>
  <c r="AC173" i="67"/>
  <c r="AA175" i="67"/>
  <c r="J173" i="67"/>
  <c r="AH176" i="67"/>
  <c r="AI174" i="67"/>
  <c r="BC175" i="67"/>
  <c r="AX174" i="67"/>
  <c r="N174" i="67"/>
  <c r="BA156" i="67"/>
  <c r="BA150" i="67"/>
  <c r="BA144" i="67"/>
  <c r="AR274" i="1"/>
  <c r="Z271" i="67"/>
  <c r="Z272" i="67"/>
  <c r="BA173" i="67"/>
  <c r="BA174" i="67"/>
  <c r="BA176" i="67"/>
  <c r="AQ184" i="67"/>
  <c r="AQ186" i="67"/>
  <c r="AK187" i="67"/>
  <c r="AK186" i="67"/>
  <c r="AK183" i="67"/>
  <c r="M223" i="67"/>
  <c r="H197" i="67"/>
  <c r="M210" i="67" s="1"/>
  <c r="AF222" i="67"/>
  <c r="AF175" i="67"/>
  <c r="AF176" i="67"/>
  <c r="X222" i="67"/>
  <c r="X173" i="67"/>
  <c r="X176" i="67"/>
  <c r="M364" i="67"/>
  <c r="M376" i="67" s="1"/>
  <c r="AO220" i="67"/>
  <c r="S174" i="67"/>
  <c r="Y174" i="67"/>
  <c r="H174" i="67"/>
  <c r="W175" i="67"/>
  <c r="CK123" i="67"/>
  <c r="CE123" i="67"/>
  <c r="BQ123" i="67"/>
  <c r="BK123" i="67"/>
  <c r="BH120" i="67"/>
  <c r="CA123" i="67"/>
  <c r="BU123" i="67"/>
  <c r="X197" i="67"/>
  <c r="N197" i="67"/>
  <c r="X196" i="67"/>
  <c r="X209" i="67" s="1"/>
  <c r="N176" i="67"/>
  <c r="I174" i="67"/>
  <c r="AC176" i="67"/>
  <c r="AH178" i="67"/>
  <c r="AI173" i="67"/>
  <c r="BC176" i="67"/>
  <c r="X220" i="67"/>
  <c r="AX175" i="67"/>
  <c r="N193" i="67"/>
  <c r="N206" i="67" s="1"/>
  <c r="O67" i="67"/>
  <c r="AE137" i="67"/>
  <c r="AJ80" i="67"/>
  <c r="AJ79" i="67" s="1"/>
  <c r="AR137" i="67"/>
  <c r="BA143" i="67"/>
  <c r="BV274" i="1"/>
  <c r="BT196" i="67"/>
  <c r="BY196" i="67" s="1"/>
  <c r="CD196" i="67" s="1"/>
  <c r="CI196" i="67" s="1"/>
  <c r="AY225" i="67"/>
  <c r="BD223" i="67"/>
  <c r="BD222" i="67"/>
  <c r="AY193" i="67"/>
  <c r="BD206" i="67" s="1"/>
  <c r="AY74" i="67"/>
  <c r="CF68" i="67"/>
  <c r="BZ68" i="67"/>
  <c r="AT123" i="67"/>
  <c r="AJ106" i="67"/>
  <c r="AY222" i="67"/>
  <c r="F165" i="67"/>
  <c r="F196" i="67" s="1"/>
  <c r="AE31" i="67"/>
  <c r="AB7" i="67"/>
  <c r="BJ331" i="67"/>
  <c r="AZ273" i="1"/>
  <c r="AT217" i="67"/>
  <c r="AT176" i="67"/>
  <c r="AY217" i="67"/>
  <c r="AT178" i="67"/>
  <c r="BI136" i="67"/>
  <c r="BI137" i="67" s="1"/>
  <c r="BA155" i="67"/>
  <c r="BT97" i="67"/>
  <c r="BT102" i="67"/>
  <c r="BQ86" i="67"/>
  <c r="BQ91" i="67"/>
  <c r="BB194" i="67"/>
  <c r="CB273" i="1"/>
  <c r="AX273" i="1"/>
  <c r="X194" i="67"/>
  <c r="AC144" i="67"/>
  <c r="AA272" i="67"/>
  <c r="Y194" i="67"/>
  <c r="Y207" i="67" s="1"/>
  <c r="AD220" i="67"/>
  <c r="Q173" i="67"/>
  <c r="V220" i="67"/>
  <c r="U163" i="67"/>
  <c r="Q177" i="67"/>
  <c r="Q220" i="67"/>
  <c r="Q175" i="67"/>
  <c r="Y173" i="67"/>
  <c r="AG176" i="67"/>
  <c r="AL217" i="67"/>
  <c r="AG217" i="67"/>
  <c r="AG173" i="67"/>
  <c r="W174" i="67"/>
  <c r="W176" i="67"/>
  <c r="W178" i="67"/>
  <c r="W177" i="67"/>
  <c r="W191" i="67"/>
  <c r="W204" i="67" s="1"/>
  <c r="AF137" i="67"/>
  <c r="AJ136" i="67"/>
  <c r="AJ137" i="67" s="1"/>
  <c r="AK137" i="67"/>
  <c r="AF4" i="67"/>
  <c r="AO118" i="67"/>
  <c r="AO197" i="67" s="1"/>
  <c r="AM197" i="67"/>
  <c r="AM210" i="67" s="1"/>
  <c r="L107" i="67"/>
  <c r="L196" i="67" s="1"/>
  <c r="Q209" i="67" s="1"/>
  <c r="L106" i="67"/>
  <c r="AI273" i="1"/>
  <c r="I194" i="67"/>
  <c r="N207" i="67" s="1"/>
  <c r="Y175" i="67"/>
  <c r="CF32" i="67"/>
  <c r="U162" i="67"/>
  <c r="Z219" i="67" s="1"/>
  <c r="S219" i="67"/>
  <c r="X219" i="67"/>
  <c r="S173" i="67"/>
  <c r="S176" i="67"/>
  <c r="S175" i="67"/>
  <c r="S178" i="67"/>
  <c r="AO192" i="67"/>
  <c r="AT218" i="67"/>
  <c r="AO218" i="67"/>
  <c r="O173" i="67"/>
  <c r="O177" i="67"/>
  <c r="O175" i="67"/>
  <c r="T218" i="67"/>
  <c r="O176" i="67"/>
  <c r="O178" i="67"/>
  <c r="O174" i="67"/>
  <c r="H169" i="67"/>
  <c r="M226" i="67" s="1"/>
  <c r="H176" i="67"/>
  <c r="M218" i="67"/>
  <c r="H173" i="67"/>
  <c r="AB191" i="67"/>
  <c r="AB175" i="67"/>
  <c r="AB174" i="67"/>
  <c r="L177" i="67"/>
  <c r="L169" i="67"/>
  <c r="L173" i="67"/>
  <c r="AT113" i="67"/>
  <c r="AO113" i="67"/>
  <c r="AO106" i="67"/>
  <c r="U107" i="67"/>
  <c r="U196" i="67" s="1"/>
  <c r="U106" i="67"/>
  <c r="U113" i="67"/>
  <c r="BZ75" i="67"/>
  <c r="BZ80" i="67"/>
  <c r="BT32" i="67"/>
  <c r="AG174" i="67"/>
  <c r="AG169" i="67"/>
  <c r="AL226" i="67" s="1"/>
  <c r="AD218" i="67"/>
  <c r="AZ177" i="67"/>
  <c r="AZ173" i="67"/>
  <c r="AU177" i="67"/>
  <c r="AU173" i="67"/>
  <c r="AP187" i="67"/>
  <c r="AP184" i="67"/>
  <c r="AP183" i="67"/>
  <c r="AP226" i="67"/>
  <c r="AP186" i="67"/>
  <c r="AP185" i="67"/>
  <c r="V182" i="67"/>
  <c r="V187" i="67"/>
  <c r="V184" i="67"/>
  <c r="AG225" i="67"/>
  <c r="AB225" i="67"/>
  <c r="T197" i="67"/>
  <c r="T210" i="67" s="1"/>
  <c r="T173" i="67"/>
  <c r="T175" i="67"/>
  <c r="T174" i="67"/>
  <c r="Q223" i="67"/>
  <c r="P166" i="67"/>
  <c r="G178" i="67"/>
  <c r="G175" i="67"/>
  <c r="K166" i="67"/>
  <c r="G174" i="67"/>
  <c r="G173" i="67"/>
  <c r="AI175" i="67"/>
  <c r="AI177" i="67"/>
  <c r="AI178" i="67"/>
  <c r="AD173" i="67"/>
  <c r="AD176" i="67"/>
  <c r="AD175" i="67"/>
  <c r="M222" i="67"/>
  <c r="H177" i="67"/>
  <c r="BD220" i="67"/>
  <c r="BI220" i="67"/>
  <c r="BQ80" i="67"/>
  <c r="AA193" i="67"/>
  <c r="Z74" i="67"/>
  <c r="Z193" i="67" s="1"/>
  <c r="CK63" i="67"/>
  <c r="CK68" i="67"/>
  <c r="BY63" i="67"/>
  <c r="BY68" i="67"/>
  <c r="BD62" i="67"/>
  <c r="CD274" i="1" s="1"/>
  <c r="BZ274" i="1"/>
  <c r="AT62" i="67"/>
  <c r="BT274" i="1" s="1"/>
  <c r="BP274" i="1"/>
  <c r="AK192" i="67"/>
  <c r="AP205" i="67" s="1"/>
  <c r="BK274" i="1"/>
  <c r="AA192" i="67"/>
  <c r="BA274" i="1"/>
  <c r="Q192" i="67"/>
  <c r="AQ274" i="1"/>
  <c r="CK86" i="67"/>
  <c r="AT177" i="67"/>
  <c r="AD174" i="67"/>
  <c r="Y176" i="67"/>
  <c r="O192" i="67"/>
  <c r="Q174" i="67"/>
  <c r="T177" i="67"/>
  <c r="AZ176" i="67"/>
  <c r="L175" i="67"/>
  <c r="W173" i="67"/>
  <c r="AB217" i="67"/>
  <c r="G177" i="67"/>
  <c r="AB177" i="67"/>
  <c r="AU174" i="67"/>
  <c r="AN206" i="67"/>
  <c r="H192" i="67"/>
  <c r="T178" i="67"/>
  <c r="BH231" i="67"/>
  <c r="BD123" i="67"/>
  <c r="AT118" i="67"/>
  <c r="AT197" i="67" s="1"/>
  <c r="AO62" i="67"/>
  <c r="BO274" i="1" s="1"/>
  <c r="BZ102" i="67"/>
  <c r="BM273" i="1"/>
  <c r="AN222" i="67"/>
  <c r="H222" i="67"/>
  <c r="AO85" i="67"/>
  <c r="BO273" i="1" s="1"/>
  <c r="AN273" i="1"/>
  <c r="AT175" i="67"/>
  <c r="AD178" i="67"/>
  <c r="AB176" i="67"/>
  <c r="AG178" i="67"/>
  <c r="Q194" i="67"/>
  <c r="T176" i="67"/>
  <c r="AE166" i="67"/>
  <c r="AJ223" i="67" s="1"/>
  <c r="AZ178" i="67"/>
  <c r="L176" i="67"/>
  <c r="AI176" i="67"/>
  <c r="AB178" i="67"/>
  <c r="AB169" i="67"/>
  <c r="G176" i="67"/>
  <c r="AU178" i="67"/>
  <c r="BD219" i="67"/>
  <c r="H175" i="67"/>
  <c r="CE68" i="67"/>
  <c r="BD225" i="67"/>
  <c r="AO74" i="67"/>
  <c r="AE74" i="67"/>
  <c r="AE193" i="67" s="1"/>
  <c r="AY62" i="67"/>
  <c r="BY274" i="1" s="1"/>
  <c r="P160" i="67"/>
  <c r="AP182" i="67"/>
  <c r="S193" i="67"/>
  <c r="Y169" i="67"/>
  <c r="V186" i="67"/>
  <c r="CD113" i="67"/>
  <c r="Y220" i="67"/>
  <c r="AJ317" i="67"/>
  <c r="AN217" i="67"/>
  <c r="AI169" i="67"/>
  <c r="AM137" i="67"/>
  <c r="AO136" i="67"/>
  <c r="AT137" i="67" s="1"/>
  <c r="N107" i="67"/>
  <c r="N196" i="67" s="1"/>
  <c r="S209" i="67" s="1"/>
  <c r="N106" i="67"/>
  <c r="BF273" i="1"/>
  <c r="AF194" i="67"/>
  <c r="AK207" i="67" s="1"/>
  <c r="L194" i="67"/>
  <c r="L207" i="67" s="1"/>
  <c r="AL273" i="1"/>
  <c r="BA154" i="67"/>
  <c r="BA146" i="67"/>
  <c r="BA141" i="67"/>
  <c r="BA152" i="67"/>
  <c r="BA142" i="67"/>
  <c r="BA153" i="67"/>
  <c r="AR184" i="67"/>
  <c r="AR183" i="67"/>
  <c r="AL183" i="67"/>
  <c r="AL186" i="67"/>
  <c r="Y223" i="67"/>
  <c r="Y197" i="67"/>
  <c r="AD210" i="67" s="1"/>
  <c r="AG177" i="67"/>
  <c r="J196" i="67"/>
  <c r="AH206" i="67"/>
  <c r="I206" i="67"/>
  <c r="M30" i="67"/>
  <c r="M5" i="67"/>
  <c r="M6" i="67" s="1"/>
  <c r="AE36" i="67"/>
  <c r="Z36" i="67"/>
  <c r="AG6" i="67"/>
  <c r="AG7" i="67"/>
  <c r="G6" i="67"/>
  <c r="G7" i="67"/>
  <c r="G140" i="67" s="1"/>
  <c r="BQ102" i="67"/>
  <c r="AJ31" i="67"/>
  <c r="AD191" i="67"/>
  <c r="Y191" i="67"/>
  <c r="Z30" i="67"/>
  <c r="AJ324" i="67"/>
  <c r="AK222" i="67"/>
  <c r="U168" i="67"/>
  <c r="P168" i="67"/>
  <c r="F168" i="67"/>
  <c r="AY196" i="67"/>
  <c r="AY220" i="67"/>
  <c r="Z163" i="67"/>
  <c r="AY137" i="67"/>
  <c r="AY128" i="67"/>
  <c r="AZ210" i="67"/>
  <c r="BD107" i="67"/>
  <c r="AY107" i="67"/>
  <c r="AJ107" i="67"/>
  <c r="AH316" i="67" s="1"/>
  <c r="AH326" i="67" s="1"/>
  <c r="CJ102" i="67"/>
  <c r="CD102" i="67"/>
  <c r="CK80" i="67"/>
  <c r="CF80" i="67"/>
  <c r="CD80" i="67"/>
  <c r="AK6" i="67"/>
  <c r="BL68" i="67"/>
  <c r="R226" i="67"/>
  <c r="Z31" i="67"/>
  <c r="CI113" i="67"/>
  <c r="AX210" i="67"/>
  <c r="BC210" i="67"/>
  <c r="AG206" i="67"/>
  <c r="BP113" i="67"/>
  <c r="AW194" i="67"/>
  <c r="AW207" i="67" s="1"/>
  <c r="BW273" i="1"/>
  <c r="AH194" i="67"/>
  <c r="AM207" i="67" s="1"/>
  <c r="BH273" i="1"/>
  <c r="AS273" i="1"/>
  <c r="S194" i="67"/>
  <c r="S207" i="67" s="1"/>
  <c r="P118" i="67"/>
  <c r="U123" i="67"/>
  <c r="BU108" i="67"/>
  <c r="AN191" i="67"/>
  <c r="AS204" i="67" s="1"/>
  <c r="AZ31" i="67"/>
  <c r="BD31" i="67" s="1"/>
  <c r="AY29" i="67"/>
  <c r="AU31" i="67"/>
  <c r="BY123" i="67"/>
  <c r="CI123" i="67"/>
  <c r="BO123" i="67"/>
  <c r="BD118" i="67"/>
  <c r="BD197" i="67" s="1"/>
  <c r="BH234" i="67" s="1"/>
  <c r="BA145" i="67"/>
  <c r="BA197" i="67"/>
  <c r="AW197" i="67"/>
  <c r="AY118" i="67"/>
  <c r="AY197" i="67" s="1"/>
  <c r="AC197" i="67"/>
  <c r="AE118" i="67"/>
  <c r="AJ123" i="67"/>
  <c r="AJ122" i="67" s="1"/>
  <c r="AE123" i="67"/>
  <c r="L206" i="67"/>
  <c r="AT80" i="67"/>
  <c r="AY80" i="67"/>
  <c r="Z80" i="67"/>
  <c r="AE80" i="67"/>
  <c r="Z79" i="67"/>
  <c r="AJ62" i="67"/>
  <c r="AH313" i="67" s="1"/>
  <c r="AH323" i="67" s="1"/>
  <c r="AF192" i="67"/>
  <c r="M61" i="67"/>
  <c r="M62" i="67"/>
  <c r="AY68" i="67"/>
  <c r="AT61" i="67"/>
  <c r="AT68" i="67"/>
  <c r="AE65" i="67"/>
  <c r="Z61" i="67"/>
  <c r="Z68" i="67"/>
  <c r="AE68" i="67"/>
  <c r="BZ37" i="67"/>
  <c r="BZ32" i="67"/>
  <c r="BA140" i="67"/>
  <c r="CA113" i="67"/>
  <c r="P117" i="67"/>
  <c r="W206" i="67"/>
  <c r="R206" i="67"/>
  <c r="H191" i="67"/>
  <c r="M204" i="67" s="1"/>
  <c r="AX226" i="67"/>
  <c r="AS182" i="67"/>
  <c r="AS183" i="67"/>
  <c r="AS186" i="67"/>
  <c r="AS187" i="67"/>
  <c r="AS185" i="67"/>
  <c r="AM187" i="67"/>
  <c r="AM185" i="67"/>
  <c r="M182" i="67"/>
  <c r="M187" i="67"/>
  <c r="M185" i="67"/>
  <c r="M183" i="67"/>
  <c r="M186" i="67"/>
  <c r="AA223" i="67"/>
  <c r="AA197" i="67"/>
  <c r="AF223" i="67"/>
  <c r="S223" i="67"/>
  <c r="S197" i="67"/>
  <c r="S169" i="67"/>
  <c r="E197" i="67"/>
  <c r="J210" i="67" s="1"/>
  <c r="F166" i="67"/>
  <c r="F197" i="67" s="1"/>
  <c r="AH222" i="67"/>
  <c r="AJ165" i="67"/>
  <c r="AH169" i="67"/>
  <c r="AH196" i="67"/>
  <c r="AC169" i="67"/>
  <c r="AE165" i="67"/>
  <c r="AC196" i="67"/>
  <c r="AC209" i="67" s="1"/>
  <c r="O222" i="67"/>
  <c r="P165" i="67"/>
  <c r="O196" i="67"/>
  <c r="T209" i="67" s="1"/>
  <c r="K165" i="67"/>
  <c r="K196" i="67" s="1"/>
  <c r="G196" i="67"/>
  <c r="G169" i="67"/>
  <c r="AB220" i="67"/>
  <c r="AE163" i="67"/>
  <c r="K364" i="67" s="1"/>
  <c r="O220" i="67"/>
  <c r="P163" i="67"/>
  <c r="H364" i="67" s="1"/>
  <c r="O194" i="67"/>
  <c r="T207" i="67" s="1"/>
  <c r="X169" i="67"/>
  <c r="AJ160" i="67"/>
  <c r="AF169" i="67"/>
  <c r="AK217" i="67"/>
  <c r="AF191" i="67"/>
  <c r="AK204" i="67" s="1"/>
  <c r="AA217" i="67"/>
  <c r="AE160" i="67"/>
  <c r="Y217" i="67"/>
  <c r="U160" i="67"/>
  <c r="T191" i="67"/>
  <c r="T169" i="67"/>
  <c r="K160" i="67"/>
  <c r="J191" i="67"/>
  <c r="AN196" i="67"/>
  <c r="AS209" i="67" s="1"/>
  <c r="AO107" i="67"/>
  <c r="M106" i="67"/>
  <c r="M107" i="67"/>
  <c r="M196" i="67" s="1"/>
  <c r="R209" i="67" s="1"/>
  <c r="Z107" i="67"/>
  <c r="Z196" i="67" s="1"/>
  <c r="Z106" i="67"/>
  <c r="Z113" i="67"/>
  <c r="CI97" i="67"/>
  <c r="CI102" i="67"/>
  <c r="CA97" i="67"/>
  <c r="CA102" i="67"/>
  <c r="L30" i="67"/>
  <c r="L31" i="67"/>
  <c r="L5" i="67"/>
  <c r="AT37" i="67"/>
  <c r="AO37" i="67"/>
  <c r="Z37" i="67"/>
  <c r="U37" i="67"/>
  <c r="U31" i="67"/>
  <c r="CA7" i="1"/>
  <c r="V7" i="67"/>
  <c r="V199" i="67" s="1"/>
  <c r="V6" i="67"/>
  <c r="AP7" i="67"/>
  <c r="H7" i="67"/>
  <c r="H141" i="67" s="1"/>
  <c r="H6" i="67"/>
  <c r="B6" i="67"/>
  <c r="B7" i="67"/>
  <c r="B142" i="67" s="1"/>
  <c r="B196" i="67"/>
  <c r="T219" i="67"/>
  <c r="BT127" i="67"/>
  <c r="BY127" i="67" s="1"/>
  <c r="CD127" i="67" s="1"/>
  <c r="CI127" i="67" s="1"/>
  <c r="W209" i="67"/>
  <c r="AL206" i="67"/>
  <c r="I178" i="67"/>
  <c r="AI191" i="67"/>
  <c r="W210" i="67"/>
  <c r="AE91" i="67"/>
  <c r="AS206" i="67"/>
  <c r="BJ37" i="67"/>
  <c r="BL331" i="67"/>
  <c r="BV130" i="67"/>
  <c r="BB144" i="67"/>
  <c r="BB146" i="67"/>
  <c r="BB142" i="67"/>
  <c r="BB150" i="67"/>
  <c r="BB200" i="67"/>
  <c r="BB145" i="67"/>
  <c r="BB140" i="67"/>
  <c r="AV210" i="67"/>
  <c r="AF316" i="67"/>
  <c r="AF326" i="67" s="1"/>
  <c r="L223" i="67"/>
  <c r="J222" i="67"/>
  <c r="AD206" i="67"/>
  <c r="M206" i="67"/>
  <c r="BD61" i="67"/>
  <c r="AJ61" i="67"/>
  <c r="AJ30" i="67"/>
  <c r="BF123" i="67"/>
  <c r="BF115" i="67" s="1"/>
  <c r="BF116" i="67" s="1"/>
  <c r="BF118" i="67" s="1"/>
  <c r="BJ91" i="67"/>
  <c r="BK331" i="67"/>
  <c r="BK330" i="67" s="1"/>
  <c r="CE130" i="67"/>
  <c r="AG222" i="67"/>
  <c r="AA220" i="67"/>
  <c r="H194" i="67"/>
  <c r="H207" i="67" s="1"/>
  <c r="AC206" i="67"/>
  <c r="AR226" i="67"/>
  <c r="AO225" i="67"/>
  <c r="BD196" i="67"/>
  <c r="AD177" i="67"/>
  <c r="AG191" i="67"/>
  <c r="BG123" i="67"/>
  <c r="BK91" i="67"/>
  <c r="BG68" i="67"/>
  <c r="BG330" i="67"/>
  <c r="BG332" i="67" s="1"/>
  <c r="BG333" i="67" s="1"/>
  <c r="H223" i="67"/>
  <c r="V194" i="67"/>
  <c r="BD192" i="67"/>
  <c r="BH230" i="67" s="1"/>
  <c r="D7" i="67"/>
  <c r="BK68" i="67"/>
  <c r="O367" i="67"/>
  <c r="R210" i="67"/>
  <c r="BJ123" i="67"/>
  <c r="AZ270" i="1"/>
  <c r="BI89" i="67"/>
  <c r="BI121" i="67"/>
  <c r="BE337" i="67"/>
  <c r="BE123" i="67"/>
  <c r="BE115" i="67" s="1"/>
  <c r="BE144" i="67"/>
  <c r="BE155" i="67"/>
  <c r="AM217" i="67"/>
  <c r="N169" i="67"/>
  <c r="U166" i="67"/>
  <c r="U197" i="67" s="1"/>
  <c r="G223" i="67"/>
  <c r="AE219" i="67"/>
  <c r="BJ68" i="67"/>
  <c r="AT225" i="67"/>
  <c r="V204" i="67"/>
  <c r="AE168" i="67"/>
  <c r="AE225" i="67" s="1"/>
  <c r="N217" i="67"/>
  <c r="BE156" i="67"/>
  <c r="BE174" i="67"/>
  <c r="BE150" i="67"/>
  <c r="BE140" i="67"/>
  <c r="BT198" i="67"/>
  <c r="BY198" i="67" s="1"/>
  <c r="CD198" i="67" s="1"/>
  <c r="CI198" i="67" s="1"/>
  <c r="BE176" i="67"/>
  <c r="BE226" i="67"/>
  <c r="BE141" i="67"/>
  <c r="BE146" i="67"/>
  <c r="BC226" i="67"/>
  <c r="AI210" i="67"/>
  <c r="AU226" i="67"/>
  <c r="AV226" i="67"/>
  <c r="X223" i="67"/>
  <c r="AH177" i="67"/>
  <c r="N61" i="67"/>
  <c r="BE211" i="67"/>
  <c r="BE175" i="67"/>
  <c r="BE177" i="67"/>
  <c r="BE142" i="67"/>
  <c r="BE152" i="67"/>
  <c r="BE199" i="67"/>
  <c r="R186" i="67"/>
  <c r="BC200" i="67"/>
  <c r="BC199" i="67"/>
  <c r="BC156" i="67"/>
  <c r="BC144" i="67"/>
  <c r="BE178" i="67"/>
  <c r="BE200" i="67"/>
  <c r="BE154" i="67"/>
  <c r="BE151" i="67"/>
  <c r="BE153" i="67"/>
  <c r="AZ207" i="67"/>
  <c r="BC150" i="67"/>
  <c r="BF270" i="1"/>
  <c r="AP270" i="1"/>
  <c r="BA207" i="67"/>
  <c r="AL207" i="67"/>
  <c r="I226" i="67"/>
  <c r="AM183" i="67"/>
  <c r="AM184" i="67"/>
  <c r="AM186" i="67"/>
  <c r="AM182" i="67"/>
  <c r="AA225" i="67"/>
  <c r="AF225" i="67"/>
  <c r="G364" i="67"/>
  <c r="K194" i="67"/>
  <c r="AT219" i="67"/>
  <c r="AY192" i="67"/>
  <c r="BD218" i="67"/>
  <c r="AY218" i="67"/>
  <c r="AB218" i="67"/>
  <c r="AB192" i="67"/>
  <c r="AG218" i="67"/>
  <c r="W192" i="67"/>
  <c r="W205" i="67" s="1"/>
  <c r="W218" i="67"/>
  <c r="W169" i="67"/>
  <c r="J169" i="67"/>
  <c r="K161" i="67"/>
  <c r="K192" i="67" s="1"/>
  <c r="J192" i="67"/>
  <c r="BD191" i="67"/>
  <c r="BD217" i="67"/>
  <c r="C4" i="67"/>
  <c r="F136" i="67"/>
  <c r="BD128" i="67"/>
  <c r="Z161" i="67"/>
  <c r="Z218" i="67" s="1"/>
  <c r="R204" i="67"/>
  <c r="AM206" i="67"/>
  <c r="AR206" i="67"/>
  <c r="H206" i="67"/>
  <c r="V185" i="67"/>
  <c r="AB194" i="67"/>
  <c r="AB207" i="67" s="1"/>
  <c r="AG220" i="67"/>
  <c r="O193" i="67"/>
  <c r="O206" i="67" s="1"/>
  <c r="O219" i="67"/>
  <c r="P162" i="67"/>
  <c r="AI222" i="67"/>
  <c r="AI196" i="67"/>
  <c r="N222" i="67"/>
  <c r="I196" i="67"/>
  <c r="T193" i="67"/>
  <c r="Y219" i="67"/>
  <c r="AA169" i="67"/>
  <c r="AE161" i="67"/>
  <c r="AF218" i="67"/>
  <c r="AH137" i="67"/>
  <c r="AH4" i="67"/>
  <c r="AH6" i="67" s="1"/>
  <c r="BB226" i="67"/>
  <c r="F162" i="67"/>
  <c r="G219" i="67"/>
  <c r="Y192" i="67"/>
  <c r="Y218" i="67"/>
  <c r="O218" i="67"/>
  <c r="O169" i="67"/>
  <c r="P161" i="67"/>
  <c r="W217" i="67"/>
  <c r="Z160" i="67"/>
  <c r="Q217" i="67"/>
  <c r="L217" i="67"/>
  <c r="AT223" i="67"/>
  <c r="AA176" i="67"/>
  <c r="AP210" i="67"/>
  <c r="AL210" i="67"/>
  <c r="AF196" i="67"/>
  <c r="H196" i="67"/>
  <c r="BI66" i="67"/>
  <c r="BF206" i="67"/>
  <c r="Y178" i="67"/>
  <c r="BP106" i="67"/>
  <c r="BU106" i="67" s="1"/>
  <c r="BZ106" i="67" s="1"/>
  <c r="CE106" i="67" s="1"/>
  <c r="CJ106" i="67" s="1"/>
  <c r="AY369" i="67"/>
  <c r="BF209" i="67"/>
  <c r="BT193" i="67"/>
  <c r="BY193" i="67" s="1"/>
  <c r="CD193" i="67" s="1"/>
  <c r="CI193" i="67" s="1"/>
  <c r="AS210" i="67"/>
  <c r="J206" i="67"/>
  <c r="I191" i="67"/>
  <c r="N204" i="67" s="1"/>
  <c r="BP331" i="67"/>
  <c r="BF211" i="67"/>
  <c r="BD198" i="67"/>
  <c r="BD211" i="67" s="1"/>
  <c r="BQ331" i="67"/>
  <c r="BO331" i="67"/>
  <c r="B193" i="67"/>
  <c r="G206" i="67" s="1"/>
  <c r="AY61" i="67"/>
  <c r="AO5" i="67"/>
  <c r="BF208" i="67"/>
  <c r="BF205" i="67"/>
  <c r="AU270" i="1"/>
  <c r="CL300" i="1"/>
  <c r="BR95" i="1"/>
  <c r="BR94" i="1" s="1"/>
  <c r="BR102" i="1"/>
  <c r="BT97" i="1"/>
  <c r="BT98" i="1" s="1"/>
  <c r="BS98" i="1"/>
  <c r="CB102" i="1"/>
  <c r="AP102" i="1"/>
  <c r="AE102" i="1"/>
  <c r="BJ98" i="1"/>
  <c r="CC101" i="1"/>
  <c r="BS101" i="1"/>
  <c r="BS95" i="1" s="1"/>
  <c r="BS94" i="1" s="1"/>
  <c r="BQ102" i="1"/>
  <c r="BF102" i="1"/>
  <c r="CG93" i="1"/>
  <c r="CG94" i="1" s="1"/>
  <c r="CG105" i="1" s="1"/>
  <c r="DE186" i="1"/>
  <c r="DG102" i="1"/>
  <c r="DF103" i="1"/>
  <c r="AR248" i="1"/>
  <c r="AU121" i="1"/>
  <c r="AU130" i="1" s="1"/>
  <c r="AU236" i="1" s="1"/>
  <c r="AA121" i="1"/>
  <c r="AA130" i="1" s="1"/>
  <c r="AA156" i="1" s="1"/>
  <c r="AB248" i="1"/>
  <c r="U248" i="1"/>
  <c r="H248" i="1"/>
  <c r="BY218" i="1"/>
  <c r="BU217" i="1"/>
  <c r="BJ191" i="1"/>
  <c r="BT198" i="1"/>
  <c r="BY196" i="1"/>
  <c r="BY197" i="1" s="1"/>
  <c r="BY198" i="1" s="1"/>
  <c r="AZ198" i="1"/>
  <c r="AZ202" i="1"/>
  <c r="CA198" i="1"/>
  <c r="CA202" i="1"/>
  <c r="BU198" i="1"/>
  <c r="BU202" i="1"/>
  <c r="BK191" i="1"/>
  <c r="AZ191" i="1"/>
  <c r="BT302" i="1"/>
  <c r="AV196" i="1"/>
  <c r="AV197" i="1" s="1"/>
  <c r="BU191" i="1"/>
  <c r="BT191" i="1"/>
  <c r="CI135" i="1"/>
  <c r="W233" i="1"/>
  <c r="T248" i="1"/>
  <c r="V121" i="1"/>
  <c r="V130" i="1" s="1"/>
  <c r="V284" i="1" s="1"/>
  <c r="W248" i="1"/>
  <c r="AP230" i="1"/>
  <c r="AU233" i="1" s="1"/>
  <c r="AQ248" i="1"/>
  <c r="AK121" i="1"/>
  <c r="AK130" i="1" s="1"/>
  <c r="AK284" i="1" s="1"/>
  <c r="CC248" i="1"/>
  <c r="AH248" i="1"/>
  <c r="Y248" i="1"/>
  <c r="M248" i="1"/>
  <c r="I248" i="1"/>
  <c r="BY211" i="1"/>
  <c r="BV248" i="1"/>
  <c r="AG248" i="1"/>
  <c r="AM248" i="1"/>
  <c r="AN248" i="1"/>
  <c r="AL248" i="1"/>
  <c r="AE248" i="1"/>
  <c r="AO248" i="1"/>
  <c r="BT212" i="1"/>
  <c r="BT245" i="1" s="1"/>
  <c r="BQ248" i="1"/>
  <c r="CE248" i="1"/>
  <c r="AX248" i="1"/>
  <c r="BM248" i="1"/>
  <c r="AW248" i="1"/>
  <c r="BZ248" i="1"/>
  <c r="BD248" i="1"/>
  <c r="AV248" i="1"/>
  <c r="K248" i="1"/>
  <c r="BX248" i="1"/>
  <c r="BG248" i="1"/>
  <c r="X248" i="1"/>
  <c r="P248" i="1"/>
  <c r="R248" i="1"/>
  <c r="BT217" i="1"/>
  <c r="CA248" i="1"/>
  <c r="AJ248" i="1"/>
  <c r="BT218" i="1"/>
  <c r="AD248" i="1"/>
  <c r="O248" i="1"/>
  <c r="BF248" i="1"/>
  <c r="BY209" i="1"/>
  <c r="CD138" i="1"/>
  <c r="CD143" i="1" s="1"/>
  <c r="BW248" i="1"/>
  <c r="BS248" i="1"/>
  <c r="BL248" i="1"/>
  <c r="BH248" i="1"/>
  <c r="AC248" i="1"/>
  <c r="Z248" i="1"/>
  <c r="N248" i="1"/>
  <c r="BU248" i="1"/>
  <c r="BK248" i="1"/>
  <c r="CB248" i="1"/>
  <c r="BW231" i="1"/>
  <c r="BW305" i="1" s="1"/>
  <c r="BW233" i="1"/>
  <c r="BX233" i="1"/>
  <c r="BD233" i="1"/>
  <c r="BD231" i="1"/>
  <c r="L231" i="1"/>
  <c r="H233" i="1"/>
  <c r="I233" i="1"/>
  <c r="H231" i="1"/>
  <c r="AY248" i="1"/>
  <c r="AI248" i="1"/>
  <c r="CD217" i="1"/>
  <c r="BZ217" i="1"/>
  <c r="CD218" i="1"/>
  <c r="BT209" i="1"/>
  <c r="BO121" i="1"/>
  <c r="BO130" i="1" s="1"/>
  <c r="BO236" i="1" s="1"/>
  <c r="BT210" i="1"/>
  <c r="BT246" i="1" s="1"/>
  <c r="AK231" i="1"/>
  <c r="Q230" i="1"/>
  <c r="Q121" i="1"/>
  <c r="Q130" i="1" s="1"/>
  <c r="Q284" i="1" s="1"/>
  <c r="CF60" i="1"/>
  <c r="BN248" i="1"/>
  <c r="J248" i="1"/>
  <c r="BR248" i="1"/>
  <c r="AT248" i="1"/>
  <c r="CF272" i="1"/>
  <c r="S248" i="1"/>
  <c r="AF230" i="1"/>
  <c r="BI248" i="1"/>
  <c r="L236" i="1"/>
  <c r="BP136" i="67"/>
  <c r="BU136" i="67" s="1"/>
  <c r="BZ136" i="67" s="1"/>
  <c r="CE136" i="67" s="1"/>
  <c r="CJ136" i="67" s="1"/>
  <c r="BU91" i="67"/>
  <c r="AI207" i="67"/>
  <c r="BA101" i="67"/>
  <c r="CD91" i="67"/>
  <c r="BY91" i="67"/>
  <c r="BO91" i="67"/>
  <c r="BV91" i="67"/>
  <c r="BZ91" i="67"/>
  <c r="CE84" i="67"/>
  <c r="CC273" i="1"/>
  <c r="BD85" i="67"/>
  <c r="BD194" i="67" s="1"/>
  <c r="BC194" i="67"/>
  <c r="W207" i="67"/>
  <c r="BG91" i="67"/>
  <c r="BH87" i="67"/>
  <c r="AS194" i="67"/>
  <c r="BS273" i="1"/>
  <c r="AT85" i="67"/>
  <c r="AC194" i="67"/>
  <c r="AE85" i="67"/>
  <c r="BE273" i="1" s="1"/>
  <c r="BC273" i="1"/>
  <c r="BC208" i="1"/>
  <c r="BN273" i="1"/>
  <c r="BL86" i="67"/>
  <c r="BL91" i="67"/>
  <c r="BX273" i="1"/>
  <c r="AX194" i="67"/>
  <c r="AY85" i="67"/>
  <c r="BC6" i="1"/>
  <c r="AN194" i="67"/>
  <c r="CF86" i="67"/>
  <c r="CF91" i="67"/>
  <c r="M194" i="67"/>
  <c r="AM273" i="1"/>
  <c r="D194" i="67"/>
  <c r="AD273" i="1"/>
  <c r="AY86" i="67"/>
  <c r="AT91" i="67"/>
  <c r="AY91" i="67"/>
  <c r="X6" i="67"/>
  <c r="X7" i="67"/>
  <c r="AC13" i="67" s="1"/>
  <c r="U5" i="67"/>
  <c r="S6" i="67"/>
  <c r="CJ86" i="67"/>
  <c r="CJ91" i="67"/>
  <c r="I7" i="67"/>
  <c r="I6" i="67"/>
  <c r="BT91" i="67"/>
  <c r="BF91" i="67"/>
  <c r="BF82" i="67" s="1"/>
  <c r="BH88" i="67"/>
  <c r="AI6" i="67"/>
  <c r="AB6" i="67"/>
  <c r="W6" i="67"/>
  <c r="W7" i="67"/>
  <c r="U4" i="67"/>
  <c r="R7" i="67"/>
  <c r="R199" i="67" s="1"/>
  <c r="AM6" i="67"/>
  <c r="BB101" i="67"/>
  <c r="Z5" i="67"/>
  <c r="BP91" i="67"/>
  <c r="U85" i="67"/>
  <c r="AE5" i="67"/>
  <c r="AV41" i="1"/>
  <c r="AV42" i="1"/>
  <c r="AJ40" i="1"/>
  <c r="AJ41" i="1" s="1"/>
  <c r="BJ52" i="1"/>
  <c r="AC42" i="1"/>
  <c r="AV25" i="1"/>
  <c r="AV24" i="1"/>
  <c r="AV26" i="1" s="1"/>
  <c r="Z24" i="1"/>
  <c r="AE26" i="1" s="1"/>
  <c r="BA25" i="1"/>
  <c r="AA23" i="1"/>
  <c r="AA24" i="1" s="1"/>
  <c r="AW42" i="1"/>
  <c r="AF40" i="1"/>
  <c r="AI42" i="1"/>
  <c r="AY23" i="1"/>
  <c r="AY25" i="1" s="1"/>
  <c r="AE42" i="1"/>
  <c r="BJ51" i="1"/>
  <c r="BO53" i="1" s="1"/>
  <c r="AQ42" i="1"/>
  <c r="AA40" i="1"/>
  <c r="AA41" i="1" s="1"/>
  <c r="CD37" i="1"/>
  <c r="AW26" i="1"/>
  <c r="AT25" i="1"/>
  <c r="AL26" i="1"/>
  <c r="AG26" i="1"/>
  <c r="AR43" i="1"/>
  <c r="AB42" i="1"/>
  <c r="AT40" i="1"/>
  <c r="AU40" i="1" s="1"/>
  <c r="AS42" i="1"/>
  <c r="AE41" i="1"/>
  <c r="AE43" i="1" s="1"/>
  <c r="AU51" i="1"/>
  <c r="AX43" i="1"/>
  <c r="AV43" i="1"/>
  <c r="AI41" i="1"/>
  <c r="AI43" i="1" s="1"/>
  <c r="AB41" i="1"/>
  <c r="W41" i="1"/>
  <c r="AT24" i="1"/>
  <c r="AJ25" i="1"/>
  <c r="AU23" i="1"/>
  <c r="BT48" i="1"/>
  <c r="BA40" i="1"/>
  <c r="BA42" i="1" s="1"/>
  <c r="AK28" i="1"/>
  <c r="AK24" i="1"/>
  <c r="AP25" i="1"/>
  <c r="CH95" i="1"/>
  <c r="CE202" i="1"/>
  <c r="CE198" i="1"/>
  <c r="CE143" i="1"/>
  <c r="CE322" i="1"/>
  <c r="CE191" i="1"/>
  <c r="CE230" i="1"/>
  <c r="CE269" i="1"/>
  <c r="CH300" i="1"/>
  <c r="BX156" i="1"/>
  <c r="BW172" i="1"/>
  <c r="BW302" i="1"/>
  <c r="BX165" i="1"/>
  <c r="CB216" i="1"/>
  <c r="DA216" i="1" s="1"/>
  <c r="DF216" i="1" s="1"/>
  <c r="DK216" i="1" s="1"/>
  <c r="CB304" i="1"/>
  <c r="CB215" i="1"/>
  <c r="BR305" i="1"/>
  <c r="J207" i="67"/>
  <c r="H210" i="67"/>
  <c r="BS217" i="1"/>
  <c r="BS60" i="1"/>
  <c r="BZ156" i="1"/>
  <c r="AP284" i="1"/>
  <c r="BV94" i="1"/>
  <c r="BV97" i="1"/>
  <c r="R187" i="67"/>
  <c r="BT136" i="67"/>
  <c r="AZ264" i="1"/>
  <c r="BE264" i="1"/>
  <c r="BJ198" i="1"/>
  <c r="AJ200" i="1"/>
  <c r="AJ198" i="1"/>
  <c r="AJ202" i="1"/>
  <c r="BR201" i="1"/>
  <c r="BR188" i="1"/>
  <c r="BD187" i="1"/>
  <c r="CB181" i="1"/>
  <c r="CB272" i="1"/>
  <c r="BI169" i="1"/>
  <c r="BH302" i="1"/>
  <c r="CC165" i="1"/>
  <c r="CB302" i="1"/>
  <c r="AM236" i="1"/>
  <c r="AI156" i="1"/>
  <c r="AB156" i="1"/>
  <c r="AB236" i="1"/>
  <c r="AF255" i="1" s="1"/>
  <c r="AF256" i="1" s="1"/>
  <c r="X156" i="1"/>
  <c r="X236" i="1"/>
  <c r="BQ198" i="1"/>
  <c r="BQ199" i="1" s="1"/>
  <c r="BQ202" i="1"/>
  <c r="BT133" i="1"/>
  <c r="BT114" i="1" s="1"/>
  <c r="CC178" i="1"/>
  <c r="Q210" i="67"/>
  <c r="S204" i="67"/>
  <c r="BC24" i="1"/>
  <c r="BC26" i="1" s="1"/>
  <c r="BC225" i="1"/>
  <c r="AP236" i="1"/>
  <c r="BO95" i="1"/>
  <c r="BY93" i="1"/>
  <c r="BU94" i="1"/>
  <c r="BM303" i="1"/>
  <c r="BN171" i="1"/>
  <c r="BN303" i="1" s="1"/>
  <c r="CC108" i="1"/>
  <c r="AR207" i="67"/>
  <c r="AC199" i="67"/>
  <c r="AC140" i="67"/>
  <c r="AC142" i="67"/>
  <c r="AC143" i="67"/>
  <c r="AC141" i="67"/>
  <c r="AC146" i="67"/>
  <c r="AC145" i="67"/>
  <c r="CD106" i="67"/>
  <c r="AY188" i="1"/>
  <c r="AY103" i="1"/>
  <c r="AY102" i="1" s="1"/>
  <c r="BT61" i="67"/>
  <c r="BL202" i="1"/>
  <c r="BH102" i="1"/>
  <c r="BV117" i="67"/>
  <c r="R185" i="67"/>
  <c r="BC143" i="67"/>
  <c r="BC153" i="67"/>
  <c r="BC142" i="67"/>
  <c r="BC146" i="67"/>
  <c r="BC152" i="67"/>
  <c r="BC145" i="67"/>
  <c r="BC151" i="67"/>
  <c r="BC141" i="67"/>
  <c r="BC140" i="67"/>
  <c r="BC154" i="67"/>
  <c r="BC155" i="67"/>
  <c r="AA143" i="67"/>
  <c r="AE222" i="67"/>
  <c r="Z222" i="67"/>
  <c r="BB153" i="67"/>
  <c r="BB154" i="67"/>
  <c r="BB141" i="67"/>
  <c r="BB152" i="67"/>
  <c r="BB143" i="67"/>
  <c r="Q285" i="1"/>
  <c r="AK15" i="1"/>
  <c r="AO169" i="67"/>
  <c r="AK239" i="1"/>
  <c r="AT202" i="1"/>
  <c r="BK198" i="1"/>
  <c r="N192" i="1"/>
  <c r="N193" i="1" s="1"/>
  <c r="BW201" i="1"/>
  <c r="BX187" i="1"/>
  <c r="BL188" i="1"/>
  <c r="BL191" i="1" s="1"/>
  <c r="BM184" i="1"/>
  <c r="BN184" i="1" s="1"/>
  <c r="BN176" i="1"/>
  <c r="BH272" i="1"/>
  <c r="BI175" i="1"/>
  <c r="AW196" i="1"/>
  <c r="AW197" i="1" s="1"/>
  <c r="BU156" i="1"/>
  <c r="AV236" i="1"/>
  <c r="AV156" i="1"/>
  <c r="CS269" i="1"/>
  <c r="CS286" i="1"/>
  <c r="BK202" i="1"/>
  <c r="AH202" i="1"/>
  <c r="BZ198" i="1"/>
  <c r="BZ199" i="1" s="1"/>
  <c r="BF202" i="1"/>
  <c r="BF198" i="1"/>
  <c r="AU202" i="1"/>
  <c r="AU198" i="1"/>
  <c r="AQ198" i="1"/>
  <c r="AQ202" i="1"/>
  <c r="AM198" i="1"/>
  <c r="AR199" i="1" s="1"/>
  <c r="AM202" i="1"/>
  <c r="AI202" i="1"/>
  <c r="AI198" i="1"/>
  <c r="AE202" i="1"/>
  <c r="AE198" i="1"/>
  <c r="AE199" i="1" s="1"/>
  <c r="BW106" i="1"/>
  <c r="BX185" i="1"/>
  <c r="BX106" i="1" s="1"/>
  <c r="BX108" i="1" s="1"/>
  <c r="BL106" i="1"/>
  <c r="BM185" i="1"/>
  <c r="BQ181" i="1"/>
  <c r="BR176" i="1"/>
  <c r="BR181" i="1" s="1"/>
  <c r="BH176" i="1"/>
  <c r="BH181" i="1" s="1"/>
  <c r="BD169" i="1"/>
  <c r="BM156" i="1"/>
  <c r="BF156" i="1"/>
  <c r="AO156" i="1"/>
  <c r="AO236" i="1"/>
  <c r="CB98" i="1"/>
  <c r="AY60" i="1"/>
  <c r="AY217" i="1"/>
  <c r="AY218" i="1"/>
  <c r="BJ202" i="1"/>
  <c r="AK199" i="1"/>
  <c r="BO198" i="1"/>
  <c r="BO202" i="1"/>
  <c r="BA202" i="1"/>
  <c r="BA198" i="1"/>
  <c r="AT198" i="1"/>
  <c r="AT199" i="1" s="1"/>
  <c r="AP199" i="1"/>
  <c r="AL202" i="1"/>
  <c r="AL198" i="1"/>
  <c r="AL199" i="1" s="1"/>
  <c r="AH198" i="1"/>
  <c r="AH199" i="1" s="1"/>
  <c r="AD202" i="1"/>
  <c r="AD198" i="1"/>
  <c r="AD199" i="1" s="1"/>
  <c r="S202" i="1"/>
  <c r="S198" i="1"/>
  <c r="R192" i="1"/>
  <c r="Q194" i="1"/>
  <c r="BW188" i="1"/>
  <c r="BX184" i="1"/>
  <c r="AX272" i="1"/>
  <c r="AY179" i="1"/>
  <c r="BH216" i="1"/>
  <c r="BH304" i="1"/>
  <c r="BI178" i="1"/>
  <c r="BH182" i="1"/>
  <c r="BH215" i="1"/>
  <c r="BR303" i="1"/>
  <c r="BS171" i="1"/>
  <c r="BS303" i="1" s="1"/>
  <c r="O156" i="1"/>
  <c r="O236" i="1"/>
  <c r="Q255" i="1" s="1"/>
  <c r="Q256" i="1" s="1"/>
  <c r="Z200" i="1"/>
  <c r="Z227" i="1"/>
  <c r="Z79" i="1"/>
  <c r="AG269" i="1"/>
  <c r="AG240" i="1"/>
  <c r="AG207" i="1"/>
  <c r="CC177" i="1"/>
  <c r="BS177" i="1"/>
  <c r="BS272" i="1" s="1"/>
  <c r="CB57" i="1"/>
  <c r="CB69" i="1"/>
  <c r="BP57" i="1"/>
  <c r="BP56" i="1"/>
  <c r="BT55" i="1"/>
  <c r="BT239" i="1" s="1"/>
  <c r="AR20" i="1"/>
  <c r="AW20" i="1"/>
  <c r="BT19" i="1"/>
  <c r="BT50" i="1"/>
  <c r="BT18" i="1"/>
  <c r="BY19" i="1"/>
  <c r="BW56" i="1"/>
  <c r="BW57" i="1"/>
  <c r="E14" i="1"/>
  <c r="E55" i="1"/>
  <c r="AN11" i="1"/>
  <c r="AI11" i="1"/>
  <c r="L6" i="1"/>
  <c r="L35" i="1"/>
  <c r="L13" i="1"/>
  <c r="Q6" i="1"/>
  <c r="AK206" i="67"/>
  <c r="AP206" i="67"/>
  <c r="BQ61" i="1"/>
  <c r="V199" i="1"/>
  <c r="AQ231" i="1"/>
  <c r="AM231" i="1"/>
  <c r="S232" i="1"/>
  <c r="AX166" i="1"/>
  <c r="BQ95" i="1"/>
  <c r="BY99" i="1"/>
  <c r="BG98" i="1"/>
  <c r="AQ61" i="1"/>
  <c r="AI57" i="1"/>
  <c r="AI61" i="1"/>
  <c r="AI69" i="1"/>
  <c r="AI56" i="1"/>
  <c r="AI58" i="1" s="1"/>
  <c r="AD57" i="1"/>
  <c r="O56" i="1"/>
  <c r="O57" i="1"/>
  <c r="O61" i="1"/>
  <c r="O69" i="1"/>
  <c r="AQ43" i="1"/>
  <c r="BU20" i="1"/>
  <c r="L18" i="1"/>
  <c r="CC14" i="1"/>
  <c r="BO13" i="1"/>
  <c r="BO14" i="1" s="1"/>
  <c r="BL55" i="1"/>
  <c r="BL239" i="1" s="1"/>
  <c r="AX14" i="1"/>
  <c r="AX55" i="1"/>
  <c r="AB14" i="1"/>
  <c r="AB55" i="1"/>
  <c r="T14" i="1"/>
  <c r="T55" i="1"/>
  <c r="H14" i="1"/>
  <c r="M15" i="1" s="1"/>
  <c r="H55" i="1"/>
  <c r="AA6" i="1"/>
  <c r="AA10" i="1"/>
  <c r="AA13" i="1"/>
  <c r="AF6" i="1"/>
  <c r="AA35" i="1"/>
  <c r="BG185" i="1"/>
  <c r="BR170" i="1"/>
  <c r="AX170" i="1"/>
  <c r="AY170" i="1" s="1"/>
  <c r="BX169" i="1"/>
  <c r="BD167" i="1"/>
  <c r="BM162" i="1"/>
  <c r="AG83" i="1"/>
  <c r="AG73" i="1"/>
  <c r="AG77" i="1" s="1"/>
  <c r="CB56" i="1"/>
  <c r="BZ56" i="1"/>
  <c r="BZ61" i="1"/>
  <c r="BZ69" i="1"/>
  <c r="CD55" i="1"/>
  <c r="CD239" i="1" s="1"/>
  <c r="BR57" i="1"/>
  <c r="BR56" i="1"/>
  <c r="BR69" i="1"/>
  <c r="I69" i="1"/>
  <c r="AH26" i="1"/>
  <c r="AS26" i="1"/>
  <c r="AX26" i="1"/>
  <c r="BJ18" i="1"/>
  <c r="BO19" i="1"/>
  <c r="AU19" i="1"/>
  <c r="AH15" i="1"/>
  <c r="AM15" i="1"/>
  <c r="CC58" i="1"/>
  <c r="BY13" i="1"/>
  <c r="BT13" i="1"/>
  <c r="AZ55" i="1"/>
  <c r="AZ239" i="1" s="1"/>
  <c r="AS14" i="1"/>
  <c r="AS55" i="1"/>
  <c r="AL14" i="1"/>
  <c r="AL15" i="1" s="1"/>
  <c r="AL55" i="1"/>
  <c r="AQ57" i="1" s="1"/>
  <c r="AE14" i="1"/>
  <c r="AE55" i="1"/>
  <c r="S15" i="1"/>
  <c r="K14" i="1"/>
  <c r="P15" i="1" s="1"/>
  <c r="K55" i="1"/>
  <c r="BT11" i="1"/>
  <c r="BO11" i="1"/>
  <c r="L205" i="67"/>
  <c r="K233" i="1"/>
  <c r="BE172" i="1"/>
  <c r="BZ108" i="1"/>
  <c r="BP108" i="1"/>
  <c r="BP69" i="1"/>
  <c r="AY56" i="1"/>
  <c r="AY69" i="1"/>
  <c r="AT57" i="1"/>
  <c r="AT56" i="1"/>
  <c r="AT69" i="1"/>
  <c r="AM61" i="1"/>
  <c r="AM62" i="1" s="1"/>
  <c r="AM69" i="1"/>
  <c r="AM57" i="1"/>
  <c r="AU37" i="1"/>
  <c r="BS20" i="1"/>
  <c r="BX20" i="1"/>
  <c r="W20" i="1"/>
  <c r="AB20" i="1"/>
  <c r="AA19" i="1"/>
  <c r="AF19" i="1"/>
  <c r="BS56" i="1"/>
  <c r="BS69" i="1"/>
  <c r="BN14" i="1"/>
  <c r="BN55" i="1"/>
  <c r="BJ13" i="1"/>
  <c r="BJ14" i="1" s="1"/>
  <c r="BG55" i="1"/>
  <c r="BG239" i="1" s="1"/>
  <c r="AV14" i="1"/>
  <c r="AV15" i="1" s="1"/>
  <c r="AV55" i="1"/>
  <c r="AN14" i="1"/>
  <c r="AN15" i="1" s="1"/>
  <c r="AN55" i="1"/>
  <c r="R14" i="1"/>
  <c r="R15" i="1" s="1"/>
  <c r="R55" i="1"/>
  <c r="BR11" i="1"/>
  <c r="BW11" i="1"/>
  <c r="AF69" i="1"/>
  <c r="AF56" i="1"/>
  <c r="AZ18" i="1"/>
  <c r="AZ35" i="1"/>
  <c r="AZ46" i="1"/>
  <c r="AZ48" i="1" s="1"/>
  <c r="AK6" i="1"/>
  <c r="AP6" i="1"/>
  <c r="AK10" i="1"/>
  <c r="AK18" i="1"/>
  <c r="AK35" i="1"/>
  <c r="AZ10" i="1"/>
  <c r="AZ11" i="1" s="1"/>
  <c r="AB223" i="67"/>
  <c r="AL222" i="67"/>
  <c r="T217" i="67"/>
  <c r="O217" i="67"/>
  <c r="D196" i="67"/>
  <c r="BD127" i="67"/>
  <c r="BZ7" i="1"/>
  <c r="AZ226" i="67"/>
  <c r="T223" i="67"/>
  <c r="AD222" i="67"/>
  <c r="I222" i="67"/>
  <c r="AT196" i="67"/>
  <c r="AD196" i="67"/>
  <c r="AO193" i="67"/>
  <c r="AO191" i="67"/>
  <c r="AE61" i="67"/>
  <c r="AV31" i="67"/>
  <c r="BD343" i="67"/>
  <c r="W220" i="67"/>
  <c r="AY134" i="67"/>
  <c r="AJ67" i="67"/>
  <c r="P62" i="67"/>
  <c r="CE220" i="1"/>
  <c r="CT220" i="1" s="1"/>
  <c r="CY220" i="1" s="1"/>
  <c r="DD220" i="1" s="1"/>
  <c r="DI220" i="1" s="1"/>
  <c r="BX101" i="1"/>
  <c r="BW227" i="1" l="1"/>
  <c r="BW85" i="1"/>
  <c r="BW87" i="1" s="1"/>
  <c r="R183" i="67"/>
  <c r="P73" i="1"/>
  <c r="P77" i="1" s="1"/>
  <c r="P71" i="1"/>
  <c r="U69" i="1"/>
  <c r="U239" i="1"/>
  <c r="BM239" i="1"/>
  <c r="BM299" i="1"/>
  <c r="BM57" i="1"/>
  <c r="P56" i="1"/>
  <c r="P61" i="1"/>
  <c r="P62" i="1" s="1"/>
  <c r="P239" i="1"/>
  <c r="S58" i="1"/>
  <c r="V154" i="1"/>
  <c r="AZ98" i="1"/>
  <c r="AK251" i="1"/>
  <c r="AM56" i="1"/>
  <c r="AM58" i="1" s="1"/>
  <c r="AM239" i="1"/>
  <c r="J56" i="1"/>
  <c r="O58" i="1" s="1"/>
  <c r="J239" i="1"/>
  <c r="BT30" i="67"/>
  <c r="BY30" i="67" s="1"/>
  <c r="CD30" i="67" s="1"/>
  <c r="CI30" i="67" s="1"/>
  <c r="CQ300" i="1"/>
  <c r="AP24" i="1"/>
  <c r="AZ51" i="1"/>
  <c r="BO37" i="1"/>
  <c r="BE52" i="1"/>
  <c r="AZ20" i="1"/>
  <c r="CP140" i="1"/>
  <c r="CP136" i="1"/>
  <c r="CQ136" i="1" s="1"/>
  <c r="CR136" i="1" s="1"/>
  <c r="CS136" i="1" s="1"/>
  <c r="CU136" i="1" s="1"/>
  <c r="CV136" i="1" s="1"/>
  <c r="CW136" i="1" s="1"/>
  <c r="CX136" i="1" s="1"/>
  <c r="CZ136" i="1" s="1"/>
  <c r="DA136" i="1" s="1"/>
  <c r="DB136" i="1" s="1"/>
  <c r="DC136" i="1" s="1"/>
  <c r="DE136" i="1" s="1"/>
  <c r="DF136" i="1" s="1"/>
  <c r="DG136" i="1" s="1"/>
  <c r="DH136" i="1" s="1"/>
  <c r="DJ136" i="1" s="1"/>
  <c r="DK136" i="1" s="1"/>
  <c r="DL136" i="1" s="1"/>
  <c r="DM136" i="1" s="1"/>
  <c r="S69" i="1"/>
  <c r="S239" i="1"/>
  <c r="AK20" i="1"/>
  <c r="BT20" i="1"/>
  <c r="CP115" i="1"/>
  <c r="BY37" i="1"/>
  <c r="AF294" i="1"/>
  <c r="AB233" i="1"/>
  <c r="Q233" i="1"/>
  <c r="AF233" i="1"/>
  <c r="AU231" i="1"/>
  <c r="BG305" i="1"/>
  <c r="BE236" i="1"/>
  <c r="BE284" i="1"/>
  <c r="CA191" i="1"/>
  <c r="BM71" i="1"/>
  <c r="BM73" i="1"/>
  <c r="BM77" i="1" s="1"/>
  <c r="BX15" i="1"/>
  <c r="BL156" i="1"/>
  <c r="BC217" i="1"/>
  <c r="BD162" i="1"/>
  <c r="BS176" i="1"/>
  <c r="BO98" i="1"/>
  <c r="BO266" i="1"/>
  <c r="BO265" i="1" s="1"/>
  <c r="BM181" i="1"/>
  <c r="AG56" i="1"/>
  <c r="AG239" i="1"/>
  <c r="AG241" i="1" s="1"/>
  <c r="AF284" i="1"/>
  <c r="AP233" i="1"/>
  <c r="L156" i="1"/>
  <c r="CE240" i="1"/>
  <c r="CE241" i="1" s="1"/>
  <c r="BH71" i="1"/>
  <c r="BH269" i="1" s="1"/>
  <c r="M71" i="1"/>
  <c r="M240" i="1" s="1"/>
  <c r="M241" i="1" s="1"/>
  <c r="AO227" i="1"/>
  <c r="AO84" i="1"/>
  <c r="AO85" i="1" s="1"/>
  <c r="AO87" i="1" s="1"/>
  <c r="AO79" i="1"/>
  <c r="AO80" i="1" s="1"/>
  <c r="BM58" i="1"/>
  <c r="CH184" i="1"/>
  <c r="CH188" i="1" s="1"/>
  <c r="M200" i="1"/>
  <c r="BM182" i="1"/>
  <c r="BJ103" i="1"/>
  <c r="BJ102" i="1" s="1"/>
  <c r="CB108" i="1"/>
  <c r="F364" i="67"/>
  <c r="AN184" i="67"/>
  <c r="AY178" i="1"/>
  <c r="AY216" i="1" s="1"/>
  <c r="V232" i="1"/>
  <c r="BA232" i="1"/>
  <c r="BP301" i="1"/>
  <c r="AK61" i="1"/>
  <c r="AK62" i="1" s="1"/>
  <c r="CH177" i="1"/>
  <c r="CH272" i="1" s="1"/>
  <c r="AO56" i="1"/>
  <c r="AO58" i="1" s="1"/>
  <c r="AO57" i="1"/>
  <c r="AO61" i="1"/>
  <c r="AO62" i="1" s="1"/>
  <c r="AO239" i="1"/>
  <c r="AC71" i="1"/>
  <c r="AC83" i="1"/>
  <c r="AC73" i="1"/>
  <c r="AC77" i="1" s="1"/>
  <c r="CH176" i="1"/>
  <c r="N57" i="1"/>
  <c r="BN178" i="1"/>
  <c r="BM304" i="1"/>
  <c r="AZ255" i="1"/>
  <c r="AZ256" i="1" s="1"/>
  <c r="BC188" i="1"/>
  <c r="BC201" i="1"/>
  <c r="BC202" i="1" s="1"/>
  <c r="K220" i="67"/>
  <c r="AK69" i="1"/>
  <c r="AK57" i="1"/>
  <c r="BK57" i="1"/>
  <c r="BF239" i="1"/>
  <c r="BI201" i="1"/>
  <c r="N61" i="1"/>
  <c r="N62" i="1" s="1"/>
  <c r="CE73" i="1"/>
  <c r="CE77" i="1" s="1"/>
  <c r="AW83" i="1"/>
  <c r="AW73" i="1"/>
  <c r="AW77" i="1" s="1"/>
  <c r="AW200" i="1" s="1"/>
  <c r="BS57" i="1"/>
  <c r="BN239" i="1"/>
  <c r="AA11" i="1"/>
  <c r="AK236" i="1"/>
  <c r="V236" i="1"/>
  <c r="CD154" i="1"/>
  <c r="BR195" i="67"/>
  <c r="BW195" i="67" s="1"/>
  <c r="CB195" i="67" s="1"/>
  <c r="CG195" i="67" s="1"/>
  <c r="CL195" i="67" s="1"/>
  <c r="BR136" i="67"/>
  <c r="BW136" i="67" s="1"/>
  <c r="CB136" i="67" s="1"/>
  <c r="CG136" i="67" s="1"/>
  <c r="CL136" i="67" s="1"/>
  <c r="BH123" i="67"/>
  <c r="AB186" i="67"/>
  <c r="S57" i="1"/>
  <c r="BR84" i="67"/>
  <c r="BW84" i="67" s="1"/>
  <c r="CB84" i="67" s="1"/>
  <c r="CG84" i="67" s="1"/>
  <c r="CL84" i="67" s="1"/>
  <c r="BR117" i="67"/>
  <c r="BW117" i="67" s="1"/>
  <c r="CB117" i="67" s="1"/>
  <c r="CG117" i="67" s="1"/>
  <c r="CL117" i="67" s="1"/>
  <c r="BD239" i="1"/>
  <c r="BG82" i="67"/>
  <c r="BL82" i="67" s="1"/>
  <c r="BG115" i="67"/>
  <c r="BL30" i="67"/>
  <c r="AC204" i="67"/>
  <c r="CV66" i="1"/>
  <c r="DA66" i="1" s="1"/>
  <c r="DF66" i="1" s="1"/>
  <c r="CR66" i="1"/>
  <c r="BL28" i="67"/>
  <c r="BQ28" i="67" s="1"/>
  <c r="AZ284" i="1"/>
  <c r="AZ236" i="1"/>
  <c r="BJ28" i="67"/>
  <c r="BJ59" i="67"/>
  <c r="BE233" i="1"/>
  <c r="CA156" i="1"/>
  <c r="CA62" i="1"/>
  <c r="BK301" i="1"/>
  <c r="BU301" i="1"/>
  <c r="AG41" i="1"/>
  <c r="AG43" i="1" s="1"/>
  <c r="AD142" i="67"/>
  <c r="AS146" i="67"/>
  <c r="AH204" i="67"/>
  <c r="S145" i="67"/>
  <c r="BD204" i="67"/>
  <c r="S141" i="67"/>
  <c r="AP207" i="67"/>
  <c r="Z6" i="67"/>
  <c r="T140" i="67"/>
  <c r="T141" i="67"/>
  <c r="CG97" i="1"/>
  <c r="CG98" i="1" s="1"/>
  <c r="AZ233" i="1"/>
  <c r="AZ156" i="1"/>
  <c r="AA207" i="67"/>
  <c r="BH68" i="67"/>
  <c r="BM30" i="67"/>
  <c r="AY26" i="67"/>
  <c r="O142" i="67"/>
  <c r="AA140" i="67"/>
  <c r="J142" i="67"/>
  <c r="BH37" i="67"/>
  <c r="AJ43" i="1"/>
  <c r="CD98" i="1"/>
  <c r="BF61" i="1"/>
  <c r="AJ42" i="1"/>
  <c r="G61" i="1"/>
  <c r="G62" i="1" s="1"/>
  <c r="G69" i="1"/>
  <c r="AO71" i="1"/>
  <c r="AO83" i="1"/>
  <c r="BI60" i="1"/>
  <c r="BI219" i="1" s="1"/>
  <c r="BI217" i="1"/>
  <c r="AY201" i="1"/>
  <c r="G56" i="1"/>
  <c r="BF232" i="1"/>
  <c r="BF56" i="1"/>
  <c r="BF69" i="1"/>
  <c r="BF299" i="1"/>
  <c r="D73" i="1"/>
  <c r="D77" i="1" s="1"/>
  <c r="D79" i="1" s="1"/>
  <c r="D71" i="1"/>
  <c r="BH207" i="1"/>
  <c r="BU71" i="1"/>
  <c r="BU73" i="1"/>
  <c r="BU77" i="1" s="1"/>
  <c r="BM216" i="1"/>
  <c r="BM215" i="1"/>
  <c r="BY20" i="1"/>
  <c r="BI176" i="1"/>
  <c r="AO43" i="1"/>
  <c r="CC187" i="1"/>
  <c r="CC201" i="1" s="1"/>
  <c r="V37" i="1"/>
  <c r="BZ232" i="1"/>
  <c r="AJ207" i="1"/>
  <c r="AJ269" i="1"/>
  <c r="BZ299" i="1"/>
  <c r="BZ57" i="1"/>
  <c r="AZ231" i="1"/>
  <c r="AF156" i="1"/>
  <c r="BI104" i="67"/>
  <c r="BT73" i="67"/>
  <c r="BY73" i="67" s="1"/>
  <c r="CD73" i="67" s="1"/>
  <c r="CI73" i="67" s="1"/>
  <c r="J71" i="1"/>
  <c r="J73" i="1"/>
  <c r="J77" i="1" s="1"/>
  <c r="AF24" i="1"/>
  <c r="AF26" i="1" s="1"/>
  <c r="AF28" i="1"/>
  <c r="AF29" i="1" s="1"/>
  <c r="BJ156" i="1"/>
  <c r="BJ284" i="1"/>
  <c r="CB218" i="1"/>
  <c r="CB60" i="1"/>
  <c r="CB217" i="1"/>
  <c r="CQ217" i="1" s="1"/>
  <c r="CV217" i="1" s="1"/>
  <c r="DA217" i="1" s="1"/>
  <c r="DF217" i="1" s="1"/>
  <c r="DK217" i="1" s="1"/>
  <c r="CN117" i="1"/>
  <c r="AO200" i="1"/>
  <c r="AL42" i="1"/>
  <c r="CC15" i="1"/>
  <c r="CC181" i="1"/>
  <c r="BX188" i="1"/>
  <c r="AG314" i="67"/>
  <c r="AG324" i="67" s="1"/>
  <c r="AK146" i="67"/>
  <c r="R182" i="67"/>
  <c r="CF219" i="1"/>
  <c r="BY156" i="1"/>
  <c r="V231" i="1"/>
  <c r="AN186" i="67"/>
  <c r="F194" i="67"/>
  <c r="K207" i="67" s="1"/>
  <c r="AD144" i="67"/>
  <c r="BO59" i="67"/>
  <c r="V207" i="67"/>
  <c r="BG59" i="67"/>
  <c r="AT190" i="67"/>
  <c r="BI57" i="1"/>
  <c r="BI69" i="1"/>
  <c r="BI56" i="1"/>
  <c r="BI299" i="1"/>
  <c r="BD73" i="1"/>
  <c r="BD77" i="1" s="1"/>
  <c r="BD227" i="1" s="1"/>
  <c r="BD71" i="1"/>
  <c r="BD83" i="1"/>
  <c r="BG196" i="1"/>
  <c r="BG197" i="1" s="1"/>
  <c r="BR106" i="1"/>
  <c r="BS185" i="1"/>
  <c r="AO26" i="1"/>
  <c r="AJ26" i="1"/>
  <c r="Z58" i="1"/>
  <c r="U58" i="1"/>
  <c r="BV61" i="1"/>
  <c r="AP55" i="1"/>
  <c r="AU57" i="1" s="1"/>
  <c r="AP14" i="1"/>
  <c r="AR57" i="1"/>
  <c r="AR56" i="1"/>
  <c r="AR61" i="1"/>
  <c r="AR62" i="1" s="1"/>
  <c r="AR69" i="1"/>
  <c r="AR239" i="1"/>
  <c r="AW57" i="1"/>
  <c r="BK73" i="1"/>
  <c r="BK77" i="1" s="1"/>
  <c r="BK71" i="1"/>
  <c r="BK83" i="1"/>
  <c r="BG156" i="1"/>
  <c r="AP154" i="1"/>
  <c r="AP156" i="1" s="1"/>
  <c r="CA231" i="1"/>
  <c r="CA305" i="1" s="1"/>
  <c r="Q227" i="1"/>
  <c r="Q79" i="1"/>
  <c r="T199" i="1"/>
  <c r="O199" i="1"/>
  <c r="AH73" i="1"/>
  <c r="AH77" i="1" s="1"/>
  <c r="AH71" i="1"/>
  <c r="AH83" i="1"/>
  <c r="BV58" i="1"/>
  <c r="CC73" i="1"/>
  <c r="CC77" i="1" s="1"/>
  <c r="CC71" i="1"/>
  <c r="AU20" i="1"/>
  <c r="CE301" i="1"/>
  <c r="CE62" i="1"/>
  <c r="V14" i="1"/>
  <c r="V15" i="1" s="1"/>
  <c r="V55" i="1"/>
  <c r="CI128" i="1"/>
  <c r="CN128" i="1" s="1"/>
  <c r="CP128" i="1" s="1"/>
  <c r="CQ128" i="1" s="1"/>
  <c r="CR128" i="1" s="1"/>
  <c r="CS128" i="1" s="1"/>
  <c r="CT128" i="1" s="1"/>
  <c r="CU128" i="1" s="1"/>
  <c r="CV128" i="1" s="1"/>
  <c r="CW128" i="1" s="1"/>
  <c r="CX128" i="1" s="1"/>
  <c r="CY128" i="1" s="1"/>
  <c r="CZ128" i="1" s="1"/>
  <c r="DA128" i="1" s="1"/>
  <c r="DB128" i="1" s="1"/>
  <c r="DC128" i="1" s="1"/>
  <c r="DD128" i="1" s="1"/>
  <c r="DE128" i="1" s="1"/>
  <c r="DF128" i="1" s="1"/>
  <c r="DG128" i="1" s="1"/>
  <c r="DH128" i="1" s="1"/>
  <c r="DI128" i="1" s="1"/>
  <c r="DJ128" i="1" s="1"/>
  <c r="DK128" i="1" s="1"/>
  <c r="DL128" i="1" s="1"/>
  <c r="DM128" i="1" s="1"/>
  <c r="CH319" i="1"/>
  <c r="CB229" i="1"/>
  <c r="CC232" i="1" s="1"/>
  <c r="CB138" i="1"/>
  <c r="BJ231" i="1"/>
  <c r="BJ305" i="1" s="1"/>
  <c r="BO232" i="1"/>
  <c r="CB15" i="1"/>
  <c r="CD20" i="1"/>
  <c r="BV73" i="1"/>
  <c r="BV77" i="1" s="1"/>
  <c r="BY69" i="1"/>
  <c r="BV71" i="1"/>
  <c r="CG321" i="1"/>
  <c r="Q154" i="1"/>
  <c r="BE154" i="1"/>
  <c r="BE156" i="1" s="1"/>
  <c r="BW182" i="1"/>
  <c r="BW216" i="1"/>
  <c r="BX178" i="1"/>
  <c r="BX181" i="1" s="1"/>
  <c r="BW215" i="1"/>
  <c r="BW304" i="1"/>
  <c r="BW181" i="1"/>
  <c r="BW191" i="1" s="1"/>
  <c r="BD186" i="1"/>
  <c r="BD188" i="1" s="1"/>
  <c r="CI129" i="1"/>
  <c r="CN129" i="1" s="1"/>
  <c r="CP129" i="1" s="1"/>
  <c r="CQ129" i="1" s="1"/>
  <c r="CR129" i="1" s="1"/>
  <c r="CS129" i="1" s="1"/>
  <c r="CT129" i="1" s="1"/>
  <c r="CU129" i="1" s="1"/>
  <c r="CV129" i="1" s="1"/>
  <c r="CW129" i="1" s="1"/>
  <c r="CX129" i="1" s="1"/>
  <c r="CY129" i="1" s="1"/>
  <c r="CZ129" i="1" s="1"/>
  <c r="DA129" i="1" s="1"/>
  <c r="DB129" i="1" s="1"/>
  <c r="DC129" i="1" s="1"/>
  <c r="DD129" i="1" s="1"/>
  <c r="DE129" i="1" s="1"/>
  <c r="DF129" i="1" s="1"/>
  <c r="DG129" i="1" s="1"/>
  <c r="DH129" i="1" s="1"/>
  <c r="DI129" i="1" s="1"/>
  <c r="DJ129" i="1" s="1"/>
  <c r="DK129" i="1" s="1"/>
  <c r="DL129" i="1" s="1"/>
  <c r="DM129" i="1" s="1"/>
  <c r="CH320" i="1"/>
  <c r="BQ83" i="1"/>
  <c r="BQ73" i="1"/>
  <c r="BQ71" i="1"/>
  <c r="W73" i="1"/>
  <c r="W77" i="1" s="1"/>
  <c r="W71" i="1"/>
  <c r="BC181" i="1"/>
  <c r="BC191" i="1" s="1"/>
  <c r="AU56" i="1"/>
  <c r="AU239" i="1"/>
  <c r="AU69" i="1"/>
  <c r="AU251" i="1"/>
  <c r="AD71" i="1"/>
  <c r="AD83" i="1"/>
  <c r="AD73" i="1"/>
  <c r="AD77" i="1" s="1"/>
  <c r="AZ103" i="1"/>
  <c r="AZ102" i="1" s="1"/>
  <c r="CI95" i="1"/>
  <c r="CI226" i="1"/>
  <c r="K209" i="67"/>
  <c r="AU274" i="1"/>
  <c r="CC162" i="1"/>
  <c r="K192" i="1"/>
  <c r="K193" i="1" s="1"/>
  <c r="K194" i="1" s="1"/>
  <c r="J194" i="1"/>
  <c r="BX272" i="1"/>
  <c r="P240" i="1"/>
  <c r="P241" i="1" s="1"/>
  <c r="P207" i="1"/>
  <c r="AZ53" i="1"/>
  <c r="BQ191" i="1"/>
  <c r="AD141" i="67"/>
  <c r="O199" i="67"/>
  <c r="J141" i="67"/>
  <c r="R184" i="67"/>
  <c r="AK40" i="1"/>
  <c r="AP42" i="1" s="1"/>
  <c r="AO42" i="1"/>
  <c r="AK25" i="1"/>
  <c r="AD143" i="67"/>
  <c r="CG272" i="1"/>
  <c r="BY199" i="1"/>
  <c r="AR210" i="67"/>
  <c r="BJ82" i="67"/>
  <c r="AJ326" i="67"/>
  <c r="AG316" i="67"/>
  <c r="AG326" i="67" s="1"/>
  <c r="AJ196" i="67"/>
  <c r="V205" i="67"/>
  <c r="AK200" i="67"/>
  <c r="AW269" i="1"/>
  <c r="AW240" i="1"/>
  <c r="AW241" i="1" s="1"/>
  <c r="AW207" i="1"/>
  <c r="CN135" i="1"/>
  <c r="CP135" i="1"/>
  <c r="CQ135" i="1" s="1"/>
  <c r="CR135" i="1" s="1"/>
  <c r="CB121" i="1"/>
  <c r="CD208" i="1"/>
  <c r="CB208" i="1"/>
  <c r="CB230" i="1"/>
  <c r="AY215" i="1"/>
  <c r="BS103" i="1"/>
  <c r="BS201" i="1"/>
  <c r="AX182" i="1"/>
  <c r="AX215" i="1"/>
  <c r="AX216" i="1"/>
  <c r="CK272" i="1"/>
  <c r="BV191" i="1"/>
  <c r="BV196" i="1"/>
  <c r="BV197" i="1" s="1"/>
  <c r="X57" i="1"/>
  <c r="X61" i="1"/>
  <c r="X62" i="1" s="1"/>
  <c r="X239" i="1"/>
  <c r="X56" i="1"/>
  <c r="AC57" i="1"/>
  <c r="X69" i="1"/>
  <c r="CN75" i="1"/>
  <c r="BQ127" i="67"/>
  <c r="BV127" i="67" s="1"/>
  <c r="CA127" i="67" s="1"/>
  <c r="CF127" i="67" s="1"/>
  <c r="CK127" i="67" s="1"/>
  <c r="N73" i="1"/>
  <c r="N77" i="1" s="1"/>
  <c r="N71" i="1"/>
  <c r="BJ255" i="1"/>
  <c r="BJ256" i="1" s="1"/>
  <c r="BH156" i="1"/>
  <c r="BT221" i="1"/>
  <c r="BT247" i="1" s="1"/>
  <c r="BT248" i="1" s="1"/>
  <c r="BO138" i="1"/>
  <c r="BO143" i="1" s="1"/>
  <c r="BO154" i="1" s="1"/>
  <c r="BO156" i="1" s="1"/>
  <c r="BT220" i="1"/>
  <c r="CC184" i="1"/>
  <c r="CB188" i="1"/>
  <c r="CA73" i="1"/>
  <c r="CA77" i="1" s="1"/>
  <c r="CA71" i="1"/>
  <c r="CB172" i="1"/>
  <c r="CB196" i="1" s="1"/>
  <c r="CB197" i="1" s="1"/>
  <c r="CB202" i="1" s="1"/>
  <c r="BX73" i="1"/>
  <c r="BX77" i="1" s="1"/>
  <c r="BX227" i="1" s="1"/>
  <c r="BX71" i="1"/>
  <c r="Q71" i="1"/>
  <c r="BH196" i="1"/>
  <c r="BH197" i="1" s="1"/>
  <c r="BH202" i="1" s="1"/>
  <c r="U199" i="1"/>
  <c r="P199" i="1"/>
  <c r="BG29" i="67"/>
  <c r="C69" i="1"/>
  <c r="C61" i="1"/>
  <c r="C62" i="1" s="1"/>
  <c r="BW207" i="1"/>
  <c r="BW240" i="1"/>
  <c r="BW241" i="1" s="1"/>
  <c r="BW269" i="1"/>
  <c r="BS304" i="1"/>
  <c r="BS182" i="1"/>
  <c r="BS215" i="1"/>
  <c r="BS216" i="1"/>
  <c r="BQ106" i="67"/>
  <c r="BV106" i="67" s="1"/>
  <c r="CA106" i="67" s="1"/>
  <c r="CF106" i="67" s="1"/>
  <c r="CK106" i="67" s="1"/>
  <c r="AQ239" i="1"/>
  <c r="AQ56" i="1"/>
  <c r="AQ69" i="1"/>
  <c r="AF248" i="1"/>
  <c r="BB191" i="1"/>
  <c r="BB196" i="1"/>
  <c r="BB197" i="1" s="1"/>
  <c r="Y69" i="1"/>
  <c r="Y56" i="1"/>
  <c r="AD58" i="1" s="1"/>
  <c r="Y61" i="1"/>
  <c r="Y239" i="1"/>
  <c r="CI127" i="1"/>
  <c r="CN127" i="1" s="1"/>
  <c r="CP127" i="1" s="1"/>
  <c r="CQ127" i="1" s="1"/>
  <c r="CR127" i="1" s="1"/>
  <c r="CS127" i="1" s="1"/>
  <c r="CT127" i="1" s="1"/>
  <c r="CU127" i="1" s="1"/>
  <c r="CV127" i="1" s="1"/>
  <c r="CW127" i="1" s="1"/>
  <c r="CX127" i="1" s="1"/>
  <c r="CY127" i="1" s="1"/>
  <c r="CZ127" i="1" s="1"/>
  <c r="DA127" i="1" s="1"/>
  <c r="DB127" i="1" s="1"/>
  <c r="DC127" i="1" s="1"/>
  <c r="DD127" i="1" s="1"/>
  <c r="DE127" i="1" s="1"/>
  <c r="DF127" i="1" s="1"/>
  <c r="DG127" i="1" s="1"/>
  <c r="DH127" i="1" s="1"/>
  <c r="DI127" i="1" s="1"/>
  <c r="DJ127" i="1" s="1"/>
  <c r="DK127" i="1" s="1"/>
  <c r="DL127" i="1" s="1"/>
  <c r="DM127" i="1" s="1"/>
  <c r="CH318" i="1"/>
  <c r="AK154" i="1"/>
  <c r="AK156" i="1" s="1"/>
  <c r="BW217" i="1"/>
  <c r="BW218" i="1"/>
  <c r="BX162" i="1"/>
  <c r="BW60" i="1"/>
  <c r="AW219" i="1"/>
  <c r="AW61" i="1"/>
  <c r="AW62" i="1" s="1"/>
  <c r="BV15" i="1"/>
  <c r="CA58" i="1"/>
  <c r="CN147" i="1"/>
  <c r="CP147" i="1" s="1"/>
  <c r="CD11" i="1"/>
  <c r="CC208" i="1"/>
  <c r="CC230" i="1"/>
  <c r="CC233" i="1" s="1"/>
  <c r="CC121" i="1"/>
  <c r="CC130" i="1" s="1"/>
  <c r="CC236" i="1" s="1"/>
  <c r="BY299" i="1"/>
  <c r="BY56" i="1"/>
  <c r="BY61" i="1"/>
  <c r="BY251" i="1"/>
  <c r="BD169" i="67"/>
  <c r="BD182" i="67" s="1"/>
  <c r="BD216" i="67"/>
  <c r="X186" i="67"/>
  <c r="AY169" i="67"/>
  <c r="AY183" i="67" s="1"/>
  <c r="AY216" i="67"/>
  <c r="AF186" i="67"/>
  <c r="L187" i="67"/>
  <c r="AC205" i="67"/>
  <c r="B144" i="67"/>
  <c r="T199" i="67"/>
  <c r="AE191" i="67"/>
  <c r="AT169" i="67"/>
  <c r="AT185" i="67" s="1"/>
  <c r="AO176" i="67"/>
  <c r="AY204" i="67"/>
  <c r="AJ225" i="67"/>
  <c r="AO196" i="67"/>
  <c r="AO174" i="67"/>
  <c r="AT222" i="67"/>
  <c r="AV20" i="67"/>
  <c r="BA25" i="67" s="1"/>
  <c r="AV5" i="67"/>
  <c r="AV374" i="67" s="1"/>
  <c r="AV375" i="67" s="1"/>
  <c r="T205" i="67"/>
  <c r="AW20" i="67"/>
  <c r="BB24" i="67" s="1"/>
  <c r="AW5" i="67"/>
  <c r="BD190" i="67"/>
  <c r="AU20" i="67"/>
  <c r="AZ25" i="67" s="1"/>
  <c r="AU5" i="67"/>
  <c r="AU374" i="67" s="1"/>
  <c r="AU375" i="67" s="1"/>
  <c r="AP199" i="67"/>
  <c r="AT204" i="67"/>
  <c r="AX20" i="67"/>
  <c r="BC23" i="67" s="1"/>
  <c r="AX5" i="67"/>
  <c r="AX7" i="67" s="1"/>
  <c r="AZ6" i="67"/>
  <c r="AZ7" i="67"/>
  <c r="BE13" i="67" s="1"/>
  <c r="BD5" i="67"/>
  <c r="BD6" i="67" s="1"/>
  <c r="AY190" i="67"/>
  <c r="AT181" i="67"/>
  <c r="BC209" i="1"/>
  <c r="BC182" i="1"/>
  <c r="BC41" i="1"/>
  <c r="BC43" i="1" s="1"/>
  <c r="BC219" i="1"/>
  <c r="BC292" i="1"/>
  <c r="BC216" i="1"/>
  <c r="BC214" i="1"/>
  <c r="BC206" i="1"/>
  <c r="BH6" i="1"/>
  <c r="AY181" i="67"/>
  <c r="AY182" i="67"/>
  <c r="BD174" i="67"/>
  <c r="BC215" i="1"/>
  <c r="BC224" i="1"/>
  <c r="BC10" i="1"/>
  <c r="BC11" i="1" s="1"/>
  <c r="BC18" i="1"/>
  <c r="BH20" i="1" s="1"/>
  <c r="BC205" i="1"/>
  <c r="BC13" i="1"/>
  <c r="BC223" i="1"/>
  <c r="BC213" i="1"/>
  <c r="BC222" i="1"/>
  <c r="AY184" i="67"/>
  <c r="AT187" i="67"/>
  <c r="AL142" i="67"/>
  <c r="Y144" i="67"/>
  <c r="O141" i="67"/>
  <c r="O144" i="67"/>
  <c r="O145" i="67"/>
  <c r="AN199" i="67"/>
  <c r="AI144" i="67"/>
  <c r="AI140" i="67"/>
  <c r="O140" i="67"/>
  <c r="T13" i="67"/>
  <c r="O143" i="67"/>
  <c r="O13" i="67"/>
  <c r="AI145" i="67"/>
  <c r="O146" i="67"/>
  <c r="AN144" i="67"/>
  <c r="BD20" i="67"/>
  <c r="H143" i="67"/>
  <c r="H146" i="67"/>
  <c r="AD140" i="67"/>
  <c r="J13" i="67"/>
  <c r="AM142" i="67"/>
  <c r="AK142" i="67"/>
  <c r="AM200" i="67"/>
  <c r="T143" i="67"/>
  <c r="Y141" i="67"/>
  <c r="AD13" i="67"/>
  <c r="BD30" i="67"/>
  <c r="AD146" i="67"/>
  <c r="J145" i="67"/>
  <c r="J199" i="67"/>
  <c r="AK199" i="67"/>
  <c r="AK141" i="67"/>
  <c r="AK144" i="67"/>
  <c r="T146" i="67"/>
  <c r="V143" i="67"/>
  <c r="AD145" i="67"/>
  <c r="AF205" i="67"/>
  <c r="Y142" i="67"/>
  <c r="AA141" i="67"/>
  <c r="J143" i="67"/>
  <c r="J140" i="67"/>
  <c r="J144" i="67"/>
  <c r="AK145" i="67"/>
  <c r="AK143" i="67"/>
  <c r="T142" i="67"/>
  <c r="T144" i="67"/>
  <c r="AK140" i="67"/>
  <c r="AS144" i="67"/>
  <c r="Y143" i="67"/>
  <c r="Y13" i="67"/>
  <c r="Y199" i="67"/>
  <c r="AD212" i="67" s="1"/>
  <c r="Y146" i="67"/>
  <c r="Y145" i="67"/>
  <c r="O6" i="67"/>
  <c r="X205" i="67"/>
  <c r="S199" i="67"/>
  <c r="S146" i="67"/>
  <c r="S143" i="67"/>
  <c r="S200" i="67"/>
  <c r="P191" i="67"/>
  <c r="AG313" i="67"/>
  <c r="AG323" i="67" s="1"/>
  <c r="S142" i="67"/>
  <c r="AS142" i="67"/>
  <c r="AA205" i="67"/>
  <c r="AS140" i="67"/>
  <c r="BD26" i="67"/>
  <c r="S140" i="67"/>
  <c r="BO28" i="67"/>
  <c r="Z192" i="67"/>
  <c r="Z205" i="67" s="1"/>
  <c r="AO137" i="67"/>
  <c r="X187" i="67"/>
  <c r="AO222" i="67"/>
  <c r="AL200" i="67"/>
  <c r="AN182" i="67"/>
  <c r="AE196" i="67"/>
  <c r="AJ209" i="67" s="1"/>
  <c r="AO178" i="67"/>
  <c r="AO175" i="67"/>
  <c r="AR205" i="67"/>
  <c r="Z197" i="67"/>
  <c r="Z210" i="67" s="1"/>
  <c r="AU19" i="67"/>
  <c r="AW19" i="67"/>
  <c r="AX19" i="67"/>
  <c r="BN136" i="67"/>
  <c r="BN137" i="67" s="1"/>
  <c r="AN183" i="67"/>
  <c r="AO173" i="67"/>
  <c r="AN226" i="67"/>
  <c r="V226" i="67"/>
  <c r="AX6" i="67"/>
  <c r="AZ19" i="67"/>
  <c r="AB210" i="67"/>
  <c r="AE218" i="67"/>
  <c r="P193" i="67"/>
  <c r="AS226" i="67"/>
  <c r="AY18" i="67"/>
  <c r="AY20" i="67" s="1"/>
  <c r="AY30" i="67"/>
  <c r="Q200" i="67"/>
  <c r="AV19" i="67"/>
  <c r="BD19" i="67"/>
  <c r="BQ93" i="67"/>
  <c r="BQ94" i="67" s="1"/>
  <c r="BQ96" i="67" s="1"/>
  <c r="AN187" i="67"/>
  <c r="AN185" i="67"/>
  <c r="AG209" i="67"/>
  <c r="AH226" i="67"/>
  <c r="AI200" i="67"/>
  <c r="AD207" i="67"/>
  <c r="X183" i="67"/>
  <c r="AI13" i="67"/>
  <c r="AI146" i="67"/>
  <c r="AS145" i="67"/>
  <c r="AF207" i="67"/>
  <c r="BJ330" i="67"/>
  <c r="BJ332" i="67" s="1"/>
  <c r="BJ333" i="67" s="1"/>
  <c r="AS141" i="67"/>
  <c r="G210" i="67"/>
  <c r="AL145" i="67"/>
  <c r="G142" i="67"/>
  <c r="AE194" i="67"/>
  <c r="AF314" i="67"/>
  <c r="AF324" i="67" s="1"/>
  <c r="AI313" i="67"/>
  <c r="AI323" i="67" s="1"/>
  <c r="P194" i="67"/>
  <c r="P207" i="67" s="1"/>
  <c r="I207" i="67"/>
  <c r="AS200" i="67"/>
  <c r="AL144" i="67"/>
  <c r="AS143" i="67"/>
  <c r="AI142" i="67"/>
  <c r="AI199" i="67"/>
  <c r="AI212" i="67" s="1"/>
  <c r="AI143" i="67"/>
  <c r="AL143" i="67"/>
  <c r="AF312" i="67"/>
  <c r="AF322" i="67" s="1"/>
  <c r="Z209" i="67"/>
  <c r="AL141" i="67"/>
  <c r="AO210" i="67"/>
  <c r="AH314" i="67"/>
  <c r="AH324" i="67" s="1"/>
  <c r="I184" i="67"/>
  <c r="AS199" i="67"/>
  <c r="AN145" i="67"/>
  <c r="AN141" i="67"/>
  <c r="AN146" i="67"/>
  <c r="AE220" i="67"/>
  <c r="AI226" i="67"/>
  <c r="AJ191" i="67"/>
  <c r="AI314" i="67"/>
  <c r="AI324" i="67" s="1"/>
  <c r="AN200" i="67"/>
  <c r="AD200" i="67"/>
  <c r="X185" i="67"/>
  <c r="AL146" i="67"/>
  <c r="AN13" i="67"/>
  <c r="AN143" i="67"/>
  <c r="AF204" i="67"/>
  <c r="AL140" i="67"/>
  <c r="AI312" i="67"/>
  <c r="AI322" i="67" s="1"/>
  <c r="BT71" i="67"/>
  <c r="BY71" i="67" s="1"/>
  <c r="BY162" i="67" s="1"/>
  <c r="AI316" i="67"/>
  <c r="AI326" i="67" s="1"/>
  <c r="AN140" i="67"/>
  <c r="H226" i="67"/>
  <c r="Z178" i="67"/>
  <c r="Y204" i="67"/>
  <c r="AS13" i="67"/>
  <c r="AG184" i="67"/>
  <c r="S186" i="67"/>
  <c r="AF183" i="67"/>
  <c r="AI184" i="67"/>
  <c r="Q205" i="67"/>
  <c r="B200" i="67"/>
  <c r="P197" i="67"/>
  <c r="U210" i="67" s="1"/>
  <c r="L186" i="67"/>
  <c r="BQ195" i="67"/>
  <c r="B146" i="67"/>
  <c r="AE6" i="67"/>
  <c r="AP141" i="67"/>
  <c r="AO6" i="67"/>
  <c r="AO209" i="67"/>
  <c r="AJ206" i="67"/>
  <c r="BB207" i="67"/>
  <c r="AP13" i="67"/>
  <c r="AH315" i="67"/>
  <c r="AH325" i="67" s="1"/>
  <c r="AP143" i="67"/>
  <c r="AJ4" i="67"/>
  <c r="AJ6" i="67" s="1"/>
  <c r="AG182" i="67"/>
  <c r="BL115" i="67"/>
  <c r="AT205" i="67"/>
  <c r="AF182" i="67"/>
  <c r="AC182" i="67"/>
  <c r="H183" i="67"/>
  <c r="Q183" i="67"/>
  <c r="AH187" i="67"/>
  <c r="L210" i="67"/>
  <c r="BJ107" i="67"/>
  <c r="AM199" i="67"/>
  <c r="Q142" i="67"/>
  <c r="CA270" i="1"/>
  <c r="H144" i="67"/>
  <c r="H145" i="67"/>
  <c r="AJ222" i="67"/>
  <c r="U193" i="67"/>
  <c r="Z206" i="67" s="1"/>
  <c r="S183" i="67"/>
  <c r="BJ337" i="67"/>
  <c r="BJ338" i="67" s="1"/>
  <c r="Y183" i="67"/>
  <c r="AT210" i="67"/>
  <c r="Q185" i="67"/>
  <c r="T185" i="67"/>
  <c r="AB200" i="67"/>
  <c r="S184" i="67"/>
  <c r="AC187" i="67"/>
  <c r="BQ196" i="67"/>
  <c r="BV196" i="67" s="1"/>
  <c r="CA196" i="67" s="1"/>
  <c r="CF196" i="67" s="1"/>
  <c r="CK196" i="67" s="1"/>
  <c r="AA144" i="67"/>
  <c r="BA5" i="1"/>
  <c r="BA224" i="1" s="1"/>
  <c r="AO7" i="67"/>
  <c r="AO200" i="67" s="1"/>
  <c r="AO194" i="67"/>
  <c r="AM144" i="67"/>
  <c r="AM140" i="67"/>
  <c r="AM146" i="67"/>
  <c r="AM141" i="67"/>
  <c r="O207" i="67"/>
  <c r="N209" i="67"/>
  <c r="H200" i="67"/>
  <c r="H142" i="67"/>
  <c r="AA199" i="67"/>
  <c r="AA212" i="67" s="1"/>
  <c r="BT93" i="67"/>
  <c r="BT94" i="67" s="1"/>
  <c r="BT96" i="67" s="1"/>
  <c r="AG13" i="67"/>
  <c r="AG12" i="67" s="1"/>
  <c r="P5" i="67"/>
  <c r="P6" i="67" s="1"/>
  <c r="AA142" i="67"/>
  <c r="AG186" i="67"/>
  <c r="I183" i="67"/>
  <c r="S182" i="67"/>
  <c r="AM143" i="67"/>
  <c r="AA146" i="67"/>
  <c r="S187" i="67"/>
  <c r="AM145" i="67"/>
  <c r="AA200" i="67"/>
  <c r="X207" i="67"/>
  <c r="H199" i="67"/>
  <c r="AY206" i="67"/>
  <c r="N185" i="67"/>
  <c r="AI204" i="67"/>
  <c r="V13" i="67"/>
  <c r="AH184" i="67"/>
  <c r="AC210" i="67"/>
  <c r="Z177" i="67"/>
  <c r="AF315" i="67"/>
  <c r="AF325" i="67" s="1"/>
  <c r="L182" i="67"/>
  <c r="AB204" i="67"/>
  <c r="AG315" i="67"/>
  <c r="AG325" i="67" s="1"/>
  <c r="AI183" i="67"/>
  <c r="AJ192" i="67"/>
  <c r="AO205" i="67" s="1"/>
  <c r="L185" i="67"/>
  <c r="H182" i="67"/>
  <c r="X184" i="67"/>
  <c r="AM226" i="67"/>
  <c r="K222" i="67"/>
  <c r="T186" i="67"/>
  <c r="BE338" i="67"/>
  <c r="BE340" i="67" s="1"/>
  <c r="BK337" i="67"/>
  <c r="BP337" i="67" s="1"/>
  <c r="BP338" i="67" s="1"/>
  <c r="AH7" i="67"/>
  <c r="AM13" i="67" s="1"/>
  <c r="AX207" i="67"/>
  <c r="V145" i="67"/>
  <c r="AG185" i="67"/>
  <c r="S185" i="67"/>
  <c r="Q186" i="67"/>
  <c r="BL330" i="67"/>
  <c r="BQ330" i="67" s="1"/>
  <c r="BQ332" i="67" s="1"/>
  <c r="BQ333" i="67" s="1"/>
  <c r="N210" i="67"/>
  <c r="Q187" i="67"/>
  <c r="Q226" i="67"/>
  <c r="BJ273" i="1"/>
  <c r="AJ194" i="67"/>
  <c r="L183" i="67"/>
  <c r="Q184" i="67"/>
  <c r="AE223" i="67"/>
  <c r="BJ29" i="67"/>
  <c r="AA13" i="67"/>
  <c r="AF313" i="67"/>
  <c r="AF323" i="67" s="1"/>
  <c r="T187" i="67"/>
  <c r="H187" i="67"/>
  <c r="X182" i="67"/>
  <c r="P222" i="67"/>
  <c r="M7" i="67"/>
  <c r="M207" i="67"/>
  <c r="V146" i="67"/>
  <c r="O205" i="67"/>
  <c r="BJ274" i="1"/>
  <c r="H365" i="67"/>
  <c r="I187" i="67"/>
  <c r="AG183" i="67"/>
  <c r="Q182" i="67"/>
  <c r="AG204" i="67"/>
  <c r="AE197" i="67"/>
  <c r="AJ210" i="67" s="1"/>
  <c r="AD204" i="67"/>
  <c r="Y210" i="67"/>
  <c r="AA145" i="67"/>
  <c r="AG142" i="67"/>
  <c r="AG200" i="67"/>
  <c r="AL13" i="67"/>
  <c r="O209" i="67"/>
  <c r="J209" i="67"/>
  <c r="AB145" i="67"/>
  <c r="AB144" i="67"/>
  <c r="BB5" i="1"/>
  <c r="AB143" i="67"/>
  <c r="AB199" i="67"/>
  <c r="AB146" i="67"/>
  <c r="AB142" i="67"/>
  <c r="AB140" i="67"/>
  <c r="AE7" i="67"/>
  <c r="AH185" i="67"/>
  <c r="AH183" i="67"/>
  <c r="AH186" i="67"/>
  <c r="AH182" i="67"/>
  <c r="N6" i="67"/>
  <c r="N7" i="67"/>
  <c r="N144" i="67" s="1"/>
  <c r="AB141" i="67"/>
  <c r="AY194" i="67"/>
  <c r="BY273" i="1"/>
  <c r="G143" i="67"/>
  <c r="G13" i="67"/>
  <c r="P223" i="67"/>
  <c r="K174" i="67"/>
  <c r="K157" i="67" s="1"/>
  <c r="K197" i="67"/>
  <c r="H186" i="67"/>
  <c r="H185" i="67"/>
  <c r="H184" i="67"/>
  <c r="BT273" i="1"/>
  <c r="AT194" i="67"/>
  <c r="B140" i="67"/>
  <c r="B145" i="67"/>
  <c r="B199" i="67"/>
  <c r="B143" i="67"/>
  <c r="B141" i="67"/>
  <c r="AP140" i="67"/>
  <c r="AP144" i="67"/>
  <c r="AP142" i="67"/>
  <c r="AP145" i="67"/>
  <c r="AP146" i="67"/>
  <c r="AP200" i="67"/>
  <c r="Y226" i="67"/>
  <c r="T182" i="67"/>
  <c r="T184" i="67"/>
  <c r="T183" i="67"/>
  <c r="AF184" i="67"/>
  <c r="AF185" i="67"/>
  <c r="AF187" i="67"/>
  <c r="AF226" i="67"/>
  <c r="AK226" i="67"/>
  <c r="P220" i="67"/>
  <c r="U220" i="67"/>
  <c r="P147" i="67"/>
  <c r="AC185" i="67"/>
  <c r="AC183" i="67"/>
  <c r="AC184" i="67"/>
  <c r="AC186" i="67"/>
  <c r="AC200" i="67"/>
  <c r="BA210" i="67"/>
  <c r="AB183" i="67"/>
  <c r="AB185" i="67"/>
  <c r="AB187" i="67"/>
  <c r="AB184" i="67"/>
  <c r="AB182" i="67"/>
  <c r="AD185" i="67"/>
  <c r="AD187" i="67"/>
  <c r="AA206" i="67"/>
  <c r="AF206" i="67"/>
  <c r="Y187" i="67"/>
  <c r="Y184" i="67"/>
  <c r="Y182" i="67"/>
  <c r="Y186" i="67"/>
  <c r="Y185" i="67"/>
  <c r="M365" i="67"/>
  <c r="N365" i="67"/>
  <c r="N369" i="67"/>
  <c r="N376" i="67"/>
  <c r="M369" i="67"/>
  <c r="O182" i="67"/>
  <c r="V144" i="67"/>
  <c r="V200" i="67"/>
  <c r="AI186" i="67"/>
  <c r="AY210" i="67"/>
  <c r="AE206" i="67"/>
  <c r="I185" i="67"/>
  <c r="I182" i="67"/>
  <c r="AN274" i="1"/>
  <c r="N192" i="67"/>
  <c r="Z191" i="67"/>
  <c r="AI182" i="67"/>
  <c r="AB13" i="67"/>
  <c r="AA187" i="67"/>
  <c r="AI185" i="67"/>
  <c r="AI187" i="67"/>
  <c r="Q140" i="67"/>
  <c r="Q199" i="67"/>
  <c r="V212" i="67" s="1"/>
  <c r="Q146" i="67"/>
  <c r="Q143" i="67"/>
  <c r="Q145" i="67"/>
  <c r="Q144" i="67"/>
  <c r="I186" i="67"/>
  <c r="H369" i="67"/>
  <c r="AG226" i="67"/>
  <c r="AG312" i="67"/>
  <c r="AG322" i="67" s="1"/>
  <c r="AH312" i="67"/>
  <c r="AH322" i="67" s="1"/>
  <c r="Y200" i="67"/>
  <c r="AD226" i="67"/>
  <c r="AD186" i="67"/>
  <c r="AD183" i="67"/>
  <c r="AD184" i="67"/>
  <c r="AD182" i="67"/>
  <c r="AG187" i="67"/>
  <c r="I364" i="67"/>
  <c r="I365" i="67" s="1"/>
  <c r="U147" i="67"/>
  <c r="BC207" i="67"/>
  <c r="AJ175" i="67"/>
  <c r="AK205" i="67"/>
  <c r="X206" i="67"/>
  <c r="S206" i="67"/>
  <c r="U169" i="67"/>
  <c r="AH210" i="67"/>
  <c r="H140" i="67"/>
  <c r="Z147" i="67"/>
  <c r="J364" i="67"/>
  <c r="K365" i="67" s="1"/>
  <c r="Z220" i="67"/>
  <c r="Z194" i="67"/>
  <c r="Q207" i="67"/>
  <c r="L184" i="67"/>
  <c r="G146" i="67"/>
  <c r="G144" i="67"/>
  <c r="G199" i="67"/>
  <c r="G141" i="67"/>
  <c r="G145" i="67"/>
  <c r="AG145" i="67"/>
  <c r="AG199" i="67"/>
  <c r="AG141" i="67"/>
  <c r="AG144" i="67"/>
  <c r="AG143" i="67"/>
  <c r="AG140" i="67"/>
  <c r="AG146" i="67"/>
  <c r="AF6" i="67"/>
  <c r="AF7" i="67"/>
  <c r="G209" i="67"/>
  <c r="L209" i="67"/>
  <c r="BB210" i="67"/>
  <c r="AW210" i="67"/>
  <c r="T226" i="67"/>
  <c r="S226" i="67"/>
  <c r="O187" i="67"/>
  <c r="BJ74" i="67"/>
  <c r="K223" i="67"/>
  <c r="N183" i="67"/>
  <c r="X226" i="67"/>
  <c r="V140" i="67"/>
  <c r="V141" i="67"/>
  <c r="V142" i="67"/>
  <c r="L7" i="67"/>
  <c r="L6" i="67"/>
  <c r="O204" i="67"/>
  <c r="U191" i="67"/>
  <c r="U217" i="67"/>
  <c r="AJ220" i="67"/>
  <c r="AE147" i="67"/>
  <c r="T204" i="67"/>
  <c r="AO217" i="67"/>
  <c r="AJ176" i="67"/>
  <c r="AJ173" i="67"/>
  <c r="AJ174" i="67"/>
  <c r="AM209" i="67"/>
  <c r="AH209" i="67"/>
  <c r="AJ178" i="67"/>
  <c r="Z174" i="67"/>
  <c r="AY370" i="67"/>
  <c r="AY371" i="67" s="1"/>
  <c r="AN209" i="67"/>
  <c r="AJ169" i="67"/>
  <c r="N226" i="67"/>
  <c r="N182" i="67"/>
  <c r="L191" i="67"/>
  <c r="K191" i="67"/>
  <c r="P217" i="67"/>
  <c r="AJ177" i="67"/>
  <c r="AA210" i="67"/>
  <c r="AF210" i="67"/>
  <c r="AM274" i="1"/>
  <c r="M192" i="67"/>
  <c r="BS136" i="67"/>
  <c r="AJ217" i="67"/>
  <c r="AY178" i="67"/>
  <c r="AN204" i="67"/>
  <c r="T200" i="67"/>
  <c r="G226" i="67"/>
  <c r="G183" i="67"/>
  <c r="L226" i="67"/>
  <c r="G184" i="67"/>
  <c r="G200" i="67"/>
  <c r="G182" i="67"/>
  <c r="G186" i="67"/>
  <c r="G187" i="67"/>
  <c r="G185" i="67"/>
  <c r="P196" i="67"/>
  <c r="U222" i="67"/>
  <c r="AC226" i="67"/>
  <c r="X210" i="67"/>
  <c r="S210" i="67"/>
  <c r="D140" i="67"/>
  <c r="D141" i="67"/>
  <c r="D199" i="67"/>
  <c r="D143" i="67"/>
  <c r="D200" i="67"/>
  <c r="D146" i="67"/>
  <c r="D142" i="67"/>
  <c r="I209" i="67"/>
  <c r="W140" i="67"/>
  <c r="AY175" i="67"/>
  <c r="AY174" i="67"/>
  <c r="BK115" i="67"/>
  <c r="BP115" i="67" s="1"/>
  <c r="AL204" i="67"/>
  <c r="D145" i="67"/>
  <c r="CF130" i="67"/>
  <c r="CE134" i="67"/>
  <c r="AY173" i="67"/>
  <c r="AY176" i="67"/>
  <c r="BD209" i="67"/>
  <c r="BH233" i="67"/>
  <c r="D144" i="67"/>
  <c r="Z173" i="67"/>
  <c r="Z175" i="67"/>
  <c r="AY177" i="67"/>
  <c r="BD210" i="67"/>
  <c r="BJ115" i="67"/>
  <c r="BE116" i="67"/>
  <c r="BE118" i="67" s="1"/>
  <c r="O185" i="67"/>
  <c r="AG207" i="67"/>
  <c r="K177" i="67"/>
  <c r="O186" i="67"/>
  <c r="O184" i="67"/>
  <c r="AE217" i="67"/>
  <c r="N184" i="67"/>
  <c r="N186" i="67"/>
  <c r="N187" i="67"/>
  <c r="K173" i="67"/>
  <c r="U175" i="67"/>
  <c r="U174" i="67"/>
  <c r="U177" i="67"/>
  <c r="U176" i="67"/>
  <c r="Z223" i="67"/>
  <c r="U223" i="67"/>
  <c r="U173" i="67"/>
  <c r="U178" i="67"/>
  <c r="AK209" i="67"/>
  <c r="AF209" i="67"/>
  <c r="T206" i="67"/>
  <c r="Y206" i="67"/>
  <c r="P219" i="67"/>
  <c r="U219" i="67"/>
  <c r="P175" i="67"/>
  <c r="K175" i="67"/>
  <c r="K178" i="67"/>
  <c r="O200" i="67"/>
  <c r="O226" i="67"/>
  <c r="O183" i="67"/>
  <c r="AJ218" i="67"/>
  <c r="AE174" i="67"/>
  <c r="AE175" i="67"/>
  <c r="AE173" i="67"/>
  <c r="AE192" i="67"/>
  <c r="AE169" i="67"/>
  <c r="AE176" i="67"/>
  <c r="AE177" i="67"/>
  <c r="AE178" i="67"/>
  <c r="BD177" i="67"/>
  <c r="J183" i="67"/>
  <c r="J226" i="67"/>
  <c r="J200" i="67"/>
  <c r="J213" i="67" s="1"/>
  <c r="J185" i="67"/>
  <c r="J186" i="67"/>
  <c r="J182" i="67"/>
  <c r="J187" i="67"/>
  <c r="J184" i="67"/>
  <c r="P169" i="67"/>
  <c r="U218" i="67"/>
  <c r="P218" i="67"/>
  <c r="P177" i="67"/>
  <c r="P174" i="67"/>
  <c r="P173" i="67"/>
  <c r="P178" i="67"/>
  <c r="AD205" i="67"/>
  <c r="Y205" i="67"/>
  <c r="C7" i="67"/>
  <c r="F4" i="67"/>
  <c r="F6" i="67" s="1"/>
  <c r="C6" i="67"/>
  <c r="P176" i="67"/>
  <c r="K176" i="67"/>
  <c r="K169" i="67"/>
  <c r="K226" i="67" s="1"/>
  <c r="H209" i="67"/>
  <c r="M209" i="67"/>
  <c r="Z217" i="67"/>
  <c r="Z169" i="67"/>
  <c r="Z176" i="67"/>
  <c r="F193" i="67"/>
  <c r="K206" i="67" s="1"/>
  <c r="K219" i="67"/>
  <c r="L373" i="67"/>
  <c r="L365" i="67"/>
  <c r="L381" i="67"/>
  <c r="L369" i="67"/>
  <c r="AA184" i="67"/>
  <c r="AA185" i="67"/>
  <c r="AA186" i="67"/>
  <c r="AA226" i="67"/>
  <c r="AA183" i="67"/>
  <c r="AA182" i="67"/>
  <c r="BH229" i="67"/>
  <c r="W226" i="67"/>
  <c r="W187" i="67"/>
  <c r="W183" i="67"/>
  <c r="W182" i="67"/>
  <c r="AB226" i="67"/>
  <c r="W184" i="67"/>
  <c r="W185" i="67"/>
  <c r="W186" i="67"/>
  <c r="AB205" i="67"/>
  <c r="AG205" i="67"/>
  <c r="G365" i="67"/>
  <c r="G369" i="67"/>
  <c r="BL29" i="67"/>
  <c r="CM300" i="1"/>
  <c r="BS102" i="1"/>
  <c r="CC102" i="1"/>
  <c r="CC95" i="1"/>
  <c r="CN226" i="1"/>
  <c r="BH331" i="67"/>
  <c r="BG338" i="67"/>
  <c r="BG339" i="67" s="1"/>
  <c r="BG342" i="67"/>
  <c r="BG344" i="67" s="1"/>
  <c r="AA284" i="1"/>
  <c r="DI102" i="1"/>
  <c r="DG103" i="1"/>
  <c r="CU146" i="1"/>
  <c r="DF186" i="1"/>
  <c r="AA236" i="1"/>
  <c r="V156" i="1"/>
  <c r="CI272" i="1"/>
  <c r="BY284" i="1"/>
  <c r="Q156" i="1"/>
  <c r="AU156" i="1"/>
  <c r="AU284" i="1"/>
  <c r="Q236" i="1"/>
  <c r="CD199" i="1"/>
  <c r="BY202" i="1"/>
  <c r="AV198" i="1"/>
  <c r="BA199" i="1" s="1"/>
  <c r="AV202" i="1"/>
  <c r="AP231" i="1"/>
  <c r="AQ233" i="1"/>
  <c r="BO284" i="1"/>
  <c r="CD229" i="1"/>
  <c r="CE232" i="1" s="1"/>
  <c r="AF231" i="1"/>
  <c r="AK233" i="1"/>
  <c r="AG233" i="1"/>
  <c r="Q231" i="1"/>
  <c r="V233" i="1"/>
  <c r="R233" i="1"/>
  <c r="BP330" i="67"/>
  <c r="BP332" i="67" s="1"/>
  <c r="BP333" i="67" s="1"/>
  <c r="BK332" i="67"/>
  <c r="BK333" i="67" s="1"/>
  <c r="BF96" i="67"/>
  <c r="BK74" i="67"/>
  <c r="BK59" i="67"/>
  <c r="BF338" i="67"/>
  <c r="BF340" i="67" s="1"/>
  <c r="W143" i="67"/>
  <c r="W141" i="67"/>
  <c r="W199" i="67"/>
  <c r="W142" i="67"/>
  <c r="W200" i="67"/>
  <c r="W13" i="67"/>
  <c r="W146" i="67"/>
  <c r="Z7" i="67"/>
  <c r="W144" i="67"/>
  <c r="W145" i="67"/>
  <c r="BF83" i="67"/>
  <c r="BF85" i="67" s="1"/>
  <c r="CF273" i="1" s="1"/>
  <c r="AS207" i="67"/>
  <c r="AN207" i="67"/>
  <c r="BH91" i="67"/>
  <c r="R207" i="67"/>
  <c r="CD273" i="1"/>
  <c r="AU273" i="1"/>
  <c r="U194" i="67"/>
  <c r="R144" i="67"/>
  <c r="R141" i="67"/>
  <c r="R140" i="67"/>
  <c r="R145" i="67"/>
  <c r="U7" i="67"/>
  <c r="R146" i="67"/>
  <c r="R200" i="67"/>
  <c r="R143" i="67"/>
  <c r="R142" i="67"/>
  <c r="U6" i="67"/>
  <c r="X146" i="67"/>
  <c r="X145" i="67"/>
  <c r="X144" i="67"/>
  <c r="X143" i="67"/>
  <c r="X142" i="67"/>
  <c r="X141" i="67"/>
  <c r="X140" i="67"/>
  <c r="X199" i="67"/>
  <c r="AC212" i="67" s="1"/>
  <c r="X13" i="67"/>
  <c r="X200" i="67"/>
  <c r="AC207" i="67"/>
  <c r="AH207" i="67"/>
  <c r="I146" i="67"/>
  <c r="K7" i="67"/>
  <c r="I145" i="67"/>
  <c r="I141" i="67"/>
  <c r="I143" i="67"/>
  <c r="I13" i="67"/>
  <c r="I199" i="67"/>
  <c r="I140" i="67"/>
  <c r="I144" i="67"/>
  <c r="I142" i="67"/>
  <c r="I200" i="67"/>
  <c r="BK82" i="67"/>
  <c r="CJ84" i="67"/>
  <c r="BK28" i="67"/>
  <c r="AF42" i="1"/>
  <c r="AF41" i="1"/>
  <c r="AF43" i="1" s="1"/>
  <c r="AB43" i="1"/>
  <c r="AY40" i="1"/>
  <c r="AY42" i="1" s="1"/>
  <c r="AZ23" i="1"/>
  <c r="AZ25" i="1" s="1"/>
  <c r="AY24" i="1"/>
  <c r="AY26" i="1" s="1"/>
  <c r="AA28" i="1"/>
  <c r="AF25" i="1"/>
  <c r="AU25" i="1"/>
  <c r="AU24" i="1"/>
  <c r="AU28" i="1"/>
  <c r="AT42" i="1"/>
  <c r="AT41" i="1"/>
  <c r="AN43" i="1"/>
  <c r="AT26" i="1"/>
  <c r="AU41" i="1"/>
  <c r="AU43" i="1" s="1"/>
  <c r="AU42" i="1"/>
  <c r="BL337" i="67"/>
  <c r="BT230" i="1"/>
  <c r="BT121" i="1"/>
  <c r="BT130" i="1" s="1"/>
  <c r="BT236" i="1" s="1"/>
  <c r="BY307" i="1"/>
  <c r="AY31" i="67"/>
  <c r="AD209" i="67"/>
  <c r="AI209" i="67"/>
  <c r="BD205" i="67"/>
  <c r="AY205" i="67"/>
  <c r="AK37" i="1"/>
  <c r="AK294" i="1"/>
  <c r="W15" i="1"/>
  <c r="CD251" i="1"/>
  <c r="CD299" i="1"/>
  <c r="CD61" i="1"/>
  <c r="CD56" i="1"/>
  <c r="CD57" i="1"/>
  <c r="CB58" i="1"/>
  <c r="BG106" i="1"/>
  <c r="BH185" i="1"/>
  <c r="BG188" i="1"/>
  <c r="BG191" i="1" s="1"/>
  <c r="AA37" i="1"/>
  <c r="AA294" i="1"/>
  <c r="T69" i="1"/>
  <c r="T56" i="1"/>
  <c r="T57" i="1"/>
  <c r="Y57" i="1"/>
  <c r="T61" i="1"/>
  <c r="T239" i="1"/>
  <c r="AX69" i="1"/>
  <c r="AX57" i="1"/>
  <c r="AX56" i="1"/>
  <c r="AX239" i="1"/>
  <c r="AX61" i="1"/>
  <c r="O73" i="1"/>
  <c r="O77" i="1" s="1"/>
  <c r="O71" i="1"/>
  <c r="AQ15" i="1"/>
  <c r="BT299" i="1"/>
  <c r="BT61" i="1"/>
  <c r="BT251" i="1"/>
  <c r="BY57" i="1"/>
  <c r="BT56" i="1"/>
  <c r="BN216" i="1"/>
  <c r="BN304" i="1"/>
  <c r="BN182" i="1"/>
  <c r="BN215" i="1"/>
  <c r="BI216" i="1"/>
  <c r="BI182" i="1"/>
  <c r="BI304" i="1"/>
  <c r="BI215" i="1"/>
  <c r="V192" i="1"/>
  <c r="V193" i="1" s="1"/>
  <c r="R193" i="1"/>
  <c r="BL108" i="1"/>
  <c r="AN199" i="1"/>
  <c r="AI199" i="1"/>
  <c r="BI272" i="1"/>
  <c r="BI181" i="1"/>
  <c r="BX201" i="1"/>
  <c r="O192" i="1"/>
  <c r="O193" i="1" s="1"/>
  <c r="N194" i="1"/>
  <c r="AF11" i="1"/>
  <c r="AT226" i="67"/>
  <c r="DH300" i="1"/>
  <c r="P206" i="67"/>
  <c r="BY136" i="67"/>
  <c r="BX136" i="67"/>
  <c r="BF218" i="67"/>
  <c r="BS219" i="1"/>
  <c r="BS61" i="1"/>
  <c r="BJ83" i="67"/>
  <c r="BJ85" i="67" s="1"/>
  <c r="BO82" i="67"/>
  <c r="CH93" i="1"/>
  <c r="CH94" i="1" s="1"/>
  <c r="AK29" i="1"/>
  <c r="AP30" i="1"/>
  <c r="BF342" i="67"/>
  <c r="BF344" i="67" s="1"/>
  <c r="BE342" i="67"/>
  <c r="AY209" i="67"/>
  <c r="AT209" i="67"/>
  <c r="AK58" i="1"/>
  <c r="R61" i="1"/>
  <c r="W57" i="1"/>
  <c r="R57" i="1"/>
  <c r="R239" i="1"/>
  <c r="R69" i="1"/>
  <c r="R56" i="1"/>
  <c r="AV69" i="1"/>
  <c r="AV239" i="1"/>
  <c r="AV57" i="1"/>
  <c r="AV61" i="1"/>
  <c r="AV56" i="1"/>
  <c r="BN56" i="1"/>
  <c r="BS58" i="1" s="1"/>
  <c r="BN69" i="1"/>
  <c r="BN57" i="1"/>
  <c r="BN299" i="1"/>
  <c r="BX58" i="1"/>
  <c r="AP37" i="1"/>
  <c r="AM73" i="1"/>
  <c r="AM77" i="1" s="1"/>
  <c r="AM71" i="1"/>
  <c r="AM83" i="1"/>
  <c r="BE196" i="1"/>
  <c r="BE197" i="1" s="1"/>
  <c r="BE191" i="1"/>
  <c r="K69" i="1"/>
  <c r="P57" i="1"/>
  <c r="K56" i="1"/>
  <c r="P58" i="1" s="1"/>
  <c r="K239" i="1"/>
  <c r="K61" i="1"/>
  <c r="AE56" i="1"/>
  <c r="AE61" i="1"/>
  <c r="AJ57" i="1"/>
  <c r="AE69" i="1"/>
  <c r="AE57" i="1"/>
  <c r="AE239" i="1"/>
  <c r="AS69" i="1"/>
  <c r="AS56" i="1"/>
  <c r="AS57" i="1"/>
  <c r="AS239" i="1"/>
  <c r="AS61" i="1"/>
  <c r="BT14" i="1"/>
  <c r="BT15" i="1" s="1"/>
  <c r="BO20" i="1"/>
  <c r="BR71" i="1"/>
  <c r="BR73" i="1"/>
  <c r="BR77" i="1" s="1"/>
  <c r="BR83" i="1"/>
  <c r="BZ71" i="1"/>
  <c r="BZ73" i="1"/>
  <c r="CD69" i="1"/>
  <c r="AG79" i="1"/>
  <c r="AG84" i="1"/>
  <c r="AG85" i="1" s="1"/>
  <c r="AG87" i="1" s="1"/>
  <c r="T15" i="1"/>
  <c r="Y15" i="1"/>
  <c r="AX15" i="1"/>
  <c r="O62" i="1"/>
  <c r="P234" i="1"/>
  <c r="Q234" i="1" s="1"/>
  <c r="AQ62" i="1"/>
  <c r="L14" i="1"/>
  <c r="L55" i="1"/>
  <c r="BU58" i="1"/>
  <c r="BP58" i="1"/>
  <c r="S199" i="1"/>
  <c r="X199" i="1"/>
  <c r="AM199" i="1"/>
  <c r="AZ199" i="1"/>
  <c r="AU199" i="1"/>
  <c r="BF199" i="1"/>
  <c r="CX269" i="1"/>
  <c r="CX286" i="1"/>
  <c r="AW198" i="1"/>
  <c r="AW202" i="1"/>
  <c r="BF219" i="67"/>
  <c r="BH232" i="67"/>
  <c r="BJ222" i="67"/>
  <c r="CI106" i="67"/>
  <c r="CC215" i="1"/>
  <c r="CC216" i="1"/>
  <c r="DB216" i="1" s="1"/>
  <c r="DG216" i="1" s="1"/>
  <c r="DL216" i="1" s="1"/>
  <c r="CC304" i="1"/>
  <c r="AA255" i="1"/>
  <c r="AA256" i="1" s="1"/>
  <c r="BO255" i="1"/>
  <c r="BO256" i="1" s="1"/>
  <c r="CC172" i="1"/>
  <c r="BD201" i="1"/>
  <c r="BV98" i="1"/>
  <c r="BY97" i="1"/>
  <c r="BY98" i="1" s="1"/>
  <c r="BV89" i="1"/>
  <c r="BY89" i="1" s="1"/>
  <c r="CE273" i="1"/>
  <c r="BE143" i="67"/>
  <c r="CC272" i="1"/>
  <c r="CE199" i="1"/>
  <c r="AP274" i="1"/>
  <c r="P192" i="67"/>
  <c r="BZ270" i="1"/>
  <c r="AP11" i="1"/>
  <c r="AK11" i="1"/>
  <c r="AF73" i="1"/>
  <c r="AF77" i="1" s="1"/>
  <c r="AF71" i="1"/>
  <c r="BN15" i="1"/>
  <c r="BS15" i="1"/>
  <c r="AY83" i="1"/>
  <c r="AY73" i="1"/>
  <c r="AY77" i="1" s="1"/>
  <c r="AY71" i="1"/>
  <c r="BP73" i="1"/>
  <c r="BP77" i="1" s="1"/>
  <c r="BP71" i="1"/>
  <c r="BP83" i="1"/>
  <c r="BT69" i="1"/>
  <c r="AE15" i="1"/>
  <c r="AJ15" i="1"/>
  <c r="AS15" i="1"/>
  <c r="BR58" i="1"/>
  <c r="BZ301" i="1"/>
  <c r="BZ62" i="1"/>
  <c r="AA14" i="1"/>
  <c r="AA55" i="1"/>
  <c r="H56" i="1"/>
  <c r="M58" i="1" s="1"/>
  <c r="H69" i="1"/>
  <c r="H239" i="1"/>
  <c r="M57" i="1"/>
  <c r="H61" i="1"/>
  <c r="AB69" i="1"/>
  <c r="AB57" i="1"/>
  <c r="AB61" i="1"/>
  <c r="AB56" i="1"/>
  <c r="AG57" i="1"/>
  <c r="AB239" i="1"/>
  <c r="BL56" i="1"/>
  <c r="BL299" i="1"/>
  <c r="BQ57" i="1"/>
  <c r="BO55" i="1"/>
  <c r="BL69" i="1"/>
  <c r="BL57" i="1"/>
  <c r="BL61" i="1"/>
  <c r="AI73" i="1"/>
  <c r="AI77" i="1" s="1"/>
  <c r="AI71" i="1"/>
  <c r="AI83" i="1"/>
  <c r="BQ94" i="1"/>
  <c r="BT94" i="1" s="1"/>
  <c r="BT95" i="1"/>
  <c r="BQ301" i="1"/>
  <c r="BS234" i="1"/>
  <c r="BT234" i="1" s="1"/>
  <c r="BQ62" i="1"/>
  <c r="L37" i="1"/>
  <c r="Q37" i="1"/>
  <c r="E69" i="1"/>
  <c r="E61" i="1"/>
  <c r="E62" i="1" s="1"/>
  <c r="E56" i="1"/>
  <c r="BW58" i="1"/>
  <c r="BT52" i="1"/>
  <c r="BT51" i="1"/>
  <c r="BT53" i="1" s="1"/>
  <c r="AF37" i="1"/>
  <c r="BO199" i="1"/>
  <c r="BT199" i="1"/>
  <c r="AY61" i="1"/>
  <c r="AY62" i="1" s="1"/>
  <c r="AY219" i="1"/>
  <c r="BY106" i="1"/>
  <c r="BW108" i="1"/>
  <c r="CP269" i="1"/>
  <c r="BY255" i="1"/>
  <c r="BY256" i="1" s="1"/>
  <c r="BM188" i="1"/>
  <c r="BK199" i="1"/>
  <c r="BP199" i="1"/>
  <c r="AK285" i="1"/>
  <c r="DC300" i="1"/>
  <c r="AJ199" i="1"/>
  <c r="AO199" i="1"/>
  <c r="CE231" i="1"/>
  <c r="BX95" i="1"/>
  <c r="BX102" i="1"/>
  <c r="AT206" i="67"/>
  <c r="AO206" i="67"/>
  <c r="AZ294" i="1"/>
  <c r="AZ37" i="1"/>
  <c r="AN56" i="1"/>
  <c r="AN58" i="1" s="1"/>
  <c r="AN57" i="1"/>
  <c r="AN69" i="1"/>
  <c r="AN239" i="1"/>
  <c r="AN61" i="1"/>
  <c r="BG56" i="1"/>
  <c r="BG69" i="1"/>
  <c r="BG299" i="1"/>
  <c r="BG61" i="1"/>
  <c r="BJ55" i="1"/>
  <c r="BJ239" i="1" s="1"/>
  <c r="BS73" i="1"/>
  <c r="BS77" i="1" s="1"/>
  <c r="BS71" i="1"/>
  <c r="BS83" i="1"/>
  <c r="AT71" i="1"/>
  <c r="AT73" i="1"/>
  <c r="AT77" i="1" s="1"/>
  <c r="AT83" i="1"/>
  <c r="AY58" i="1"/>
  <c r="BD58" i="1"/>
  <c r="AL57" i="1"/>
  <c r="AL56" i="1"/>
  <c r="AL61" i="1"/>
  <c r="AM234" i="1" s="1"/>
  <c r="AL239" i="1"/>
  <c r="AL69" i="1"/>
  <c r="AZ69" i="1"/>
  <c r="AZ57" i="1"/>
  <c r="AZ251" i="1"/>
  <c r="AZ61" i="1"/>
  <c r="AZ62" i="1" s="1"/>
  <c r="AZ56" i="1"/>
  <c r="BY14" i="1"/>
  <c r="I71" i="1"/>
  <c r="I73" i="1"/>
  <c r="I77" i="1" s="1"/>
  <c r="BZ58" i="1"/>
  <c r="CE58" i="1"/>
  <c r="BM218" i="1"/>
  <c r="BM60" i="1"/>
  <c r="BM217" i="1"/>
  <c r="BN162" i="1"/>
  <c r="BM302" i="1"/>
  <c r="BM172" i="1"/>
  <c r="BR172" i="1"/>
  <c r="BR302" i="1"/>
  <c r="AB15" i="1"/>
  <c r="AG15" i="1"/>
  <c r="BO15" i="1"/>
  <c r="L20" i="1"/>
  <c r="Q20" i="1"/>
  <c r="AI62" i="1"/>
  <c r="AJ234" i="1"/>
  <c r="AK234" i="1" s="1"/>
  <c r="AY166" i="1"/>
  <c r="AY172" i="1" s="1"/>
  <c r="AX172" i="1"/>
  <c r="AP20" i="1"/>
  <c r="AL43" i="1"/>
  <c r="CB73" i="1"/>
  <c r="CB71" i="1"/>
  <c r="AY272" i="1"/>
  <c r="BS170" i="1"/>
  <c r="BS181" i="1"/>
  <c r="BM106" i="1"/>
  <c r="BM108" i="1" s="1"/>
  <c r="BN185" i="1"/>
  <c r="BN106" i="1" s="1"/>
  <c r="BN108" i="1" s="1"/>
  <c r="AQ199" i="1"/>
  <c r="CQ269" i="1"/>
  <c r="BN181" i="1"/>
  <c r="AG200" i="1"/>
  <c r="CA117" i="67"/>
  <c r="BY61" i="67"/>
  <c r="BT229" i="1"/>
  <c r="BT138" i="1"/>
  <c r="BT143" i="1" s="1"/>
  <c r="BT154" i="1" s="1"/>
  <c r="AP255" i="1"/>
  <c r="AP256" i="1" s="1"/>
  <c r="BI302" i="1"/>
  <c r="BI172" i="1"/>
  <c r="CD106" i="1"/>
  <c r="BF221" i="67"/>
  <c r="BF62" i="67"/>
  <c r="BC198" i="1"/>
  <c r="BW196" i="1"/>
  <c r="BW197" i="1" s="1"/>
  <c r="BW202" i="1" s="1"/>
  <c r="AK42" i="1"/>
  <c r="CE154" i="1"/>
  <c r="AP26" i="1"/>
  <c r="AY185" i="67" l="1"/>
  <c r="U71" i="1"/>
  <c r="U73" i="1"/>
  <c r="U77" i="1" s="1"/>
  <c r="P227" i="1"/>
  <c r="P200" i="1"/>
  <c r="P79" i="1"/>
  <c r="BJ60" i="67"/>
  <c r="CQ115" i="1"/>
  <c r="CR115" i="1" s="1"/>
  <c r="CS115" i="1" s="1"/>
  <c r="CT115" i="1" s="1"/>
  <c r="CU115" i="1" s="1"/>
  <c r="CV115" i="1" s="1"/>
  <c r="CW115" i="1" s="1"/>
  <c r="CX115" i="1" s="1"/>
  <c r="S73" i="1"/>
  <c r="S77" i="1" s="1"/>
  <c r="S71" i="1"/>
  <c r="CQ140" i="1"/>
  <c r="CR140" i="1" s="1"/>
  <c r="CS140" i="1" s="1"/>
  <c r="CT140" i="1" s="1"/>
  <c r="CU140" i="1" s="1"/>
  <c r="CV140" i="1" s="1"/>
  <c r="CW140" i="1" s="1"/>
  <c r="CH321" i="1"/>
  <c r="BM240" i="1"/>
  <c r="BM241" i="1" s="1"/>
  <c r="BM269" i="1"/>
  <c r="BM207" i="1"/>
  <c r="BM227" i="1"/>
  <c r="BM79" i="1"/>
  <c r="BM84" i="1"/>
  <c r="BM85" i="1" s="1"/>
  <c r="BM87" i="1" s="1"/>
  <c r="BD218" i="1"/>
  <c r="BD60" i="1"/>
  <c r="BD217" i="1"/>
  <c r="AT58" i="1"/>
  <c r="BD172" i="1"/>
  <c r="AJ204" i="67"/>
  <c r="BA22" i="67"/>
  <c r="M207" i="1"/>
  <c r="BH240" i="1"/>
  <c r="BH241" i="1" s="1"/>
  <c r="CW94" i="1"/>
  <c r="DB94" i="1" s="1"/>
  <c r="DG94" i="1" s="1"/>
  <c r="DL94" i="1" s="1"/>
  <c r="CH105" i="1"/>
  <c r="CI94" i="1"/>
  <c r="BH115" i="67"/>
  <c r="AK73" i="1"/>
  <c r="AK77" i="1" s="1"/>
  <c r="AK71" i="1"/>
  <c r="AY181" i="1"/>
  <c r="AV199" i="1"/>
  <c r="AQ234" i="1"/>
  <c r="AK83" i="1"/>
  <c r="CB198" i="1"/>
  <c r="BH82" i="67"/>
  <c r="CC227" i="1"/>
  <c r="AY182" i="1"/>
  <c r="CB191" i="1"/>
  <c r="AW79" i="1"/>
  <c r="AW84" i="1"/>
  <c r="AW85" i="1" s="1"/>
  <c r="AW87" i="1" s="1"/>
  <c r="AW227" i="1"/>
  <c r="CH181" i="1"/>
  <c r="BT57" i="1"/>
  <c r="BO239" i="1"/>
  <c r="CC188" i="1"/>
  <c r="BR193" i="67"/>
  <c r="BW193" i="67" s="1"/>
  <c r="CB193" i="67" s="1"/>
  <c r="CG193" i="67" s="1"/>
  <c r="CL193" i="67" s="1"/>
  <c r="BR30" i="67"/>
  <c r="BW30" i="67" s="1"/>
  <c r="CB30" i="67" s="1"/>
  <c r="CG30" i="67" s="1"/>
  <c r="CL30" i="67" s="1"/>
  <c r="AC84" i="1"/>
  <c r="AC85" i="1" s="1"/>
  <c r="AC87" i="1" s="1"/>
  <c r="AC227" i="1"/>
  <c r="AC200" i="1"/>
  <c r="AC79" i="1"/>
  <c r="O234" i="1"/>
  <c r="AP213" i="67"/>
  <c r="BR196" i="67"/>
  <c r="BW196" i="67" s="1"/>
  <c r="CB196" i="67" s="1"/>
  <c r="CG196" i="67" s="1"/>
  <c r="CL196" i="67" s="1"/>
  <c r="AT184" i="67"/>
  <c r="BI61" i="1"/>
  <c r="BI301" i="1" s="1"/>
  <c r="CE227" i="1"/>
  <c r="CE200" i="1"/>
  <c r="CE79" i="1"/>
  <c r="CE85" i="1"/>
  <c r="CE87" i="1" s="1"/>
  <c r="AC269" i="1"/>
  <c r="AC207" i="1"/>
  <c r="AC240" i="1"/>
  <c r="AC241" i="1" s="1"/>
  <c r="BQ115" i="67"/>
  <c r="BV115" i="67" s="1"/>
  <c r="BG116" i="67"/>
  <c r="BG83" i="67"/>
  <c r="DA300" i="1"/>
  <c r="DF300" i="1"/>
  <c r="BQ30" i="67"/>
  <c r="BV30" i="67" s="1"/>
  <c r="CA30" i="67" s="1"/>
  <c r="CF30" i="67" s="1"/>
  <c r="CK30" i="67" s="1"/>
  <c r="CV300" i="1"/>
  <c r="DK66" i="1"/>
  <c r="CQ147" i="1"/>
  <c r="CR147" i="1" s="1"/>
  <c r="CS147" i="1" s="1"/>
  <c r="CT147" i="1" s="1"/>
  <c r="CU147" i="1" s="1"/>
  <c r="BL107" i="67"/>
  <c r="BJ62" i="67"/>
  <c r="AK41" i="1"/>
  <c r="AK43" i="1" s="1"/>
  <c r="AK26" i="1"/>
  <c r="AY203" i="67"/>
  <c r="AH140" i="67"/>
  <c r="AZ24" i="67"/>
  <c r="AE204" i="67"/>
  <c r="BH11" i="1"/>
  <c r="BA21" i="67"/>
  <c r="T212" i="67"/>
  <c r="BA24" i="67"/>
  <c r="BH74" i="67"/>
  <c r="BH28" i="67"/>
  <c r="CH271" i="1"/>
  <c r="BH59" i="67"/>
  <c r="BO60" i="67"/>
  <c r="AH199" i="67"/>
  <c r="AM212" i="67" s="1"/>
  <c r="AZ23" i="67"/>
  <c r="AZ22" i="67"/>
  <c r="BU85" i="1"/>
  <c r="BU87" i="1" s="1"/>
  <c r="BU200" i="1"/>
  <c r="BU79" i="1"/>
  <c r="BF73" i="1"/>
  <c r="BF77" i="1" s="1"/>
  <c r="BF83" i="1"/>
  <c r="BF71" i="1"/>
  <c r="AO269" i="1"/>
  <c r="AO207" i="1"/>
  <c r="AO240" i="1"/>
  <c r="AO241" i="1" s="1"/>
  <c r="G73" i="1"/>
  <c r="G77" i="1" s="1"/>
  <c r="G79" i="1" s="1"/>
  <c r="G71" i="1"/>
  <c r="BF301" i="1"/>
  <c r="BF62" i="1"/>
  <c r="BU207" i="1"/>
  <c r="BU269" i="1"/>
  <c r="BU240" i="1"/>
  <c r="BU241" i="1" s="1"/>
  <c r="BK58" i="1"/>
  <c r="BC55" i="1"/>
  <c r="BC14" i="1"/>
  <c r="Z234" i="1"/>
  <c r="AA234" i="1" s="1"/>
  <c r="BI71" i="67"/>
  <c r="BI80" i="67" s="1"/>
  <c r="CB77" i="1"/>
  <c r="CB85" i="1" s="1"/>
  <c r="Q286" i="1"/>
  <c r="Q287" i="1" s="1"/>
  <c r="Q288" i="1" s="1"/>
  <c r="Q207" i="1"/>
  <c r="Q252" i="1"/>
  <c r="Q259" i="1" s="1"/>
  <c r="Q240" i="1"/>
  <c r="Q241" i="1" s="1"/>
  <c r="Q242" i="1" s="1"/>
  <c r="N79" i="1"/>
  <c r="N227" i="1"/>
  <c r="N200" i="1"/>
  <c r="BD178" i="67"/>
  <c r="BD175" i="67"/>
  <c r="BG74" i="67"/>
  <c r="AX374" i="67"/>
  <c r="AX375" i="67" s="1"/>
  <c r="BD181" i="67"/>
  <c r="BY285" i="1"/>
  <c r="BY301" i="1"/>
  <c r="BY62" i="1"/>
  <c r="BX60" i="1"/>
  <c r="BX218" i="1"/>
  <c r="BX217" i="1"/>
  <c r="CV163" i="1"/>
  <c r="CS163" i="1"/>
  <c r="AD269" i="1"/>
  <c r="AD207" i="1"/>
  <c r="AD240" i="1"/>
  <c r="AD241" i="1" s="1"/>
  <c r="W79" i="1"/>
  <c r="W200" i="1"/>
  <c r="W227" i="1"/>
  <c r="BV240" i="1"/>
  <c r="BV241" i="1" s="1"/>
  <c r="BV269" i="1"/>
  <c r="BV207" i="1"/>
  <c r="CC240" i="1"/>
  <c r="CC241" i="1" s="1"/>
  <c r="CC269" i="1"/>
  <c r="CC207" i="1"/>
  <c r="AH227" i="1"/>
  <c r="AH200" i="1"/>
  <c r="AH79" i="1"/>
  <c r="AH84" i="1"/>
  <c r="AH85" i="1" s="1"/>
  <c r="AH87" i="1" s="1"/>
  <c r="BK79" i="1"/>
  <c r="BK84" i="1"/>
  <c r="BK85" i="1" s="1"/>
  <c r="BK87" i="1" s="1"/>
  <c r="BK200" i="1"/>
  <c r="BV62" i="1"/>
  <c r="BV301" i="1"/>
  <c r="BR108" i="1"/>
  <c r="BG60" i="67"/>
  <c r="BG62" i="67" s="1"/>
  <c r="CB219" i="1"/>
  <c r="CB61" i="1"/>
  <c r="BX302" i="1"/>
  <c r="AO146" i="67"/>
  <c r="AK30" i="1"/>
  <c r="BX172" i="1"/>
  <c r="BX196" i="1" s="1"/>
  <c r="BX197" i="1" s="1"/>
  <c r="BD226" i="67"/>
  <c r="BG107" i="67"/>
  <c r="AY226" i="67"/>
  <c r="BD173" i="67"/>
  <c r="BG31" i="67"/>
  <c r="BA23" i="67"/>
  <c r="BD183" i="67"/>
  <c r="BD187" i="67"/>
  <c r="CC156" i="1"/>
  <c r="BH200" i="1"/>
  <c r="BH198" i="1"/>
  <c r="BH199" i="1" s="1"/>
  <c r="N207" i="1"/>
  <c r="N240" i="1"/>
  <c r="N241" i="1" s="1"/>
  <c r="X71" i="1"/>
  <c r="X73" i="1"/>
  <c r="X77" i="1" s="1"/>
  <c r="CL272" i="1"/>
  <c r="CB130" i="1"/>
  <c r="CB236" i="1" s="1"/>
  <c r="AD79" i="1"/>
  <c r="AD84" i="1"/>
  <c r="AD85" i="1" s="1"/>
  <c r="AD87" i="1" s="1"/>
  <c r="AD200" i="1"/>
  <c r="AD227" i="1"/>
  <c r="AU73" i="1"/>
  <c r="AU77" i="1" s="1"/>
  <c r="AU71" i="1"/>
  <c r="AU252" i="1" s="1"/>
  <c r="CC231" i="1"/>
  <c r="BX216" i="1"/>
  <c r="BX215" i="1"/>
  <c r="BX182" i="1"/>
  <c r="BX304" i="1"/>
  <c r="BV79" i="1"/>
  <c r="BV85" i="1"/>
  <c r="BV87" i="1" s="1"/>
  <c r="BV227" i="1"/>
  <c r="AP251" i="1"/>
  <c r="AP61" i="1"/>
  <c r="AP62" i="1" s="1"/>
  <c r="AP69" i="1"/>
  <c r="AP57" i="1"/>
  <c r="AP56" i="1"/>
  <c r="AP58" i="1" s="1"/>
  <c r="AP239" i="1"/>
  <c r="AP285" i="1" s="1"/>
  <c r="BD240" i="1"/>
  <c r="BD241" i="1" s="1"/>
  <c r="BD269" i="1"/>
  <c r="BD207" i="1"/>
  <c r="BI71" i="1"/>
  <c r="BI83" i="1"/>
  <c r="BI73" i="1"/>
  <c r="BI77" i="1" s="1"/>
  <c r="J227" i="1"/>
  <c r="J200" i="1"/>
  <c r="J79" i="1"/>
  <c r="BW61" i="1"/>
  <c r="BW234" i="1" s="1"/>
  <c r="BW219" i="1"/>
  <c r="Y234" i="1"/>
  <c r="Y62" i="1"/>
  <c r="BT103" i="1"/>
  <c r="BT102" i="1" s="1"/>
  <c r="CB231" i="1"/>
  <c r="CB233" i="1"/>
  <c r="CD233" i="1"/>
  <c r="CS135" i="1"/>
  <c r="CT135" i="1"/>
  <c r="CU135" i="1" s="1"/>
  <c r="CV135" i="1" s="1"/>
  <c r="CW135" i="1" s="1"/>
  <c r="CC60" i="1"/>
  <c r="CC218" i="1"/>
  <c r="CC217" i="1"/>
  <c r="CR217" i="1" s="1"/>
  <c r="CW217" i="1" s="1"/>
  <c r="DB217" i="1" s="1"/>
  <c r="DG217" i="1" s="1"/>
  <c r="DL217" i="1" s="1"/>
  <c r="W207" i="1"/>
  <c r="W240" i="1"/>
  <c r="W241" i="1" s="1"/>
  <c r="AH240" i="1"/>
  <c r="AH241" i="1" s="1"/>
  <c r="AH269" i="1"/>
  <c r="AH207" i="1"/>
  <c r="BK240" i="1"/>
  <c r="BK241" i="1" s="1"/>
  <c r="BK269" i="1"/>
  <c r="BK207" i="1"/>
  <c r="AR73" i="1"/>
  <c r="AR77" i="1" s="1"/>
  <c r="AR83" i="1"/>
  <c r="AR71" i="1"/>
  <c r="BS106" i="1"/>
  <c r="BT106" i="1" s="1"/>
  <c r="BS188" i="1"/>
  <c r="BG198" i="1"/>
  <c r="BG202" i="1"/>
  <c r="BD84" i="1"/>
  <c r="BD85" i="1" s="1"/>
  <c r="BD87" i="1" s="1"/>
  <c r="BD79" i="1"/>
  <c r="J240" i="1"/>
  <c r="J241" i="1" s="1"/>
  <c r="J207" i="1"/>
  <c r="AT14" i="67"/>
  <c r="AP212" i="67"/>
  <c r="BB198" i="1"/>
  <c r="BB202" i="1"/>
  <c r="BX207" i="1"/>
  <c r="BX240" i="1"/>
  <c r="BX241" i="1" s="1"/>
  <c r="BX269" i="1"/>
  <c r="CA240" i="1"/>
  <c r="CA241" i="1" s="1"/>
  <c r="CA269" i="1"/>
  <c r="CA313" i="1"/>
  <c r="CA207" i="1"/>
  <c r="X58" i="1"/>
  <c r="AC58" i="1"/>
  <c r="AU285" i="1"/>
  <c r="BQ207" i="1"/>
  <c r="BQ240" i="1"/>
  <c r="BQ241" i="1" s="1"/>
  <c r="BQ269" i="1"/>
  <c r="CB143" i="1"/>
  <c r="CC302" i="1"/>
  <c r="CG271" i="1"/>
  <c r="BS137" i="67"/>
  <c r="BD176" i="67"/>
  <c r="BL59" i="67"/>
  <c r="O212" i="67"/>
  <c r="AZ149" i="67"/>
  <c r="Y71" i="1"/>
  <c r="Y73" i="1"/>
  <c r="Y77" i="1" s="1"/>
  <c r="AQ73" i="1"/>
  <c r="AQ77" i="1" s="1"/>
  <c r="AQ83" i="1"/>
  <c r="AQ71" i="1"/>
  <c r="C73" i="1"/>
  <c r="C77" i="1" s="1"/>
  <c r="C79" i="1" s="1"/>
  <c r="C71" i="1"/>
  <c r="BX85" i="1"/>
  <c r="BX87" i="1" s="1"/>
  <c r="BX79" i="1"/>
  <c r="CA85" i="1"/>
  <c r="CA87" i="1" s="1"/>
  <c r="CA79" i="1"/>
  <c r="CA200" i="1"/>
  <c r="CA227" i="1"/>
  <c r="CV75" i="1"/>
  <c r="CS75" i="1"/>
  <c r="BQ73" i="67"/>
  <c r="BV73" i="67" s="1"/>
  <c r="CA73" i="67" s="1"/>
  <c r="CF73" i="67" s="1"/>
  <c r="CK73" i="67" s="1"/>
  <c r="BV200" i="1"/>
  <c r="BV202" i="1"/>
  <c r="BV198" i="1"/>
  <c r="BQ77" i="1"/>
  <c r="BQ84" i="1"/>
  <c r="BY73" i="1"/>
  <c r="BY77" i="1" s="1"/>
  <c r="BY71" i="1"/>
  <c r="BY252" i="1" s="1"/>
  <c r="BY259" i="1" s="1"/>
  <c r="CB232" i="1"/>
  <c r="CD232" i="1"/>
  <c r="V57" i="1"/>
  <c r="V69" i="1"/>
  <c r="V61" i="1"/>
  <c r="V62" i="1" s="1"/>
  <c r="V239" i="1"/>
  <c r="V251" i="1"/>
  <c r="V56" i="1"/>
  <c r="V58" i="1" s="1"/>
  <c r="CC85" i="1"/>
  <c r="CC87" i="1" s="1"/>
  <c r="CC79" i="1"/>
  <c r="AW58" i="1"/>
  <c r="AR58" i="1"/>
  <c r="AU15" i="1"/>
  <c r="AP15" i="1"/>
  <c r="BI58" i="1"/>
  <c r="CP117" i="1"/>
  <c r="CQ117" i="1" s="1"/>
  <c r="CR117" i="1" s="1"/>
  <c r="BG221" i="67"/>
  <c r="BD184" i="67"/>
  <c r="BD185" i="67"/>
  <c r="BD186" i="67"/>
  <c r="AY186" i="67"/>
  <c r="AY187" i="67"/>
  <c r="AT182" i="67"/>
  <c r="AT183" i="67"/>
  <c r="AT186" i="67"/>
  <c r="AT379" i="67"/>
  <c r="AX149" i="67"/>
  <c r="BC22" i="67"/>
  <c r="BB21" i="67"/>
  <c r="BB23" i="67"/>
  <c r="BC20" i="1"/>
  <c r="AS212" i="67"/>
  <c r="BC25" i="67"/>
  <c r="BB25" i="67"/>
  <c r="AY5" i="67"/>
  <c r="AY6" i="67" s="1"/>
  <c r="AU7" i="67"/>
  <c r="AU199" i="67" s="1"/>
  <c r="AU212" i="67" s="1"/>
  <c r="AU6" i="67"/>
  <c r="BD203" i="67"/>
  <c r="AV7" i="67"/>
  <c r="AV149" i="67" s="1"/>
  <c r="AV6" i="67"/>
  <c r="BC24" i="67"/>
  <c r="BB22" i="67"/>
  <c r="AW7" i="67"/>
  <c r="AW6" i="67"/>
  <c r="AW374" i="67"/>
  <c r="AW375" i="67" s="1"/>
  <c r="AE209" i="67"/>
  <c r="BG219" i="67"/>
  <c r="BJ221" i="67"/>
  <c r="BJ219" i="67"/>
  <c r="BH221" i="67"/>
  <c r="BH222" i="67"/>
  <c r="AX13" i="67"/>
  <c r="AN212" i="67"/>
  <c r="J212" i="67"/>
  <c r="AH143" i="67"/>
  <c r="Y212" i="67"/>
  <c r="AE146" i="67"/>
  <c r="AE143" i="67"/>
  <c r="AE199" i="67"/>
  <c r="AE140" i="67"/>
  <c r="AE141" i="67"/>
  <c r="AE142" i="67"/>
  <c r="AE144" i="67"/>
  <c r="BO29" i="67"/>
  <c r="P204" i="67"/>
  <c r="BJ31" i="67"/>
  <c r="BQ29" i="67"/>
  <c r="AO141" i="67"/>
  <c r="AO142" i="67"/>
  <c r="X212" i="67"/>
  <c r="AO204" i="67"/>
  <c r="AO145" i="67"/>
  <c r="AJ205" i="67"/>
  <c r="AE145" i="67"/>
  <c r="AO199" i="67"/>
  <c r="AO143" i="67"/>
  <c r="BP28" i="67"/>
  <c r="BP29" i="67" s="1"/>
  <c r="AH141" i="67"/>
  <c r="AH146" i="67"/>
  <c r="X213" i="67"/>
  <c r="BL31" i="67"/>
  <c r="BI72" i="67"/>
  <c r="AX144" i="67"/>
  <c r="BC13" i="67"/>
  <c r="AX155" i="67"/>
  <c r="AX142" i="67"/>
  <c r="AX143" i="67"/>
  <c r="AX140" i="67"/>
  <c r="AX151" i="67"/>
  <c r="AX141" i="67"/>
  <c r="AX152" i="67"/>
  <c r="AX200" i="67"/>
  <c r="BC213" i="67" s="1"/>
  <c r="AX156" i="67"/>
  <c r="AX199" i="67"/>
  <c r="AX146" i="67"/>
  <c r="AX154" i="67"/>
  <c r="AX150" i="67"/>
  <c r="AX153" i="67"/>
  <c r="AX145" i="67"/>
  <c r="BA13" i="1"/>
  <c r="BA14" i="1" s="1"/>
  <c r="AJ7" i="67"/>
  <c r="AO13" i="67" s="1"/>
  <c r="AA213" i="67"/>
  <c r="AT207" i="67"/>
  <c r="AL213" i="67"/>
  <c r="AY19" i="67"/>
  <c r="BA222" i="1"/>
  <c r="Z207" i="67"/>
  <c r="AE13" i="67"/>
  <c r="AD213" i="67"/>
  <c r="AI213" i="67"/>
  <c r="BA292" i="1"/>
  <c r="BA205" i="1"/>
  <c r="BA225" i="1"/>
  <c r="BJ95" i="67"/>
  <c r="BO330" i="67"/>
  <c r="BO332" i="67" s="1"/>
  <c r="BO333" i="67" s="1"/>
  <c r="BL116" i="67"/>
  <c r="BH337" i="67"/>
  <c r="BH342" i="67" s="1"/>
  <c r="BJ342" i="67"/>
  <c r="BJ344" i="67" s="1"/>
  <c r="BG351" i="67"/>
  <c r="BJ340" i="67"/>
  <c r="AE200" i="67"/>
  <c r="AE210" i="67"/>
  <c r="AN213" i="67"/>
  <c r="K187" i="67"/>
  <c r="AB213" i="67"/>
  <c r="I213" i="67"/>
  <c r="P210" i="67"/>
  <c r="AS213" i="67"/>
  <c r="AH142" i="67"/>
  <c r="AH145" i="67"/>
  <c r="K369" i="67"/>
  <c r="G213" i="67"/>
  <c r="BO337" i="67"/>
  <c r="AI317" i="67"/>
  <c r="G212" i="67"/>
  <c r="AO140" i="67"/>
  <c r="AT15" i="67"/>
  <c r="BT7" i="1" s="1"/>
  <c r="BT270" i="1" s="1"/>
  <c r="AO144" i="67"/>
  <c r="AH144" i="67"/>
  <c r="K381" i="67"/>
  <c r="AH13" i="67"/>
  <c r="AH12" i="67" s="1"/>
  <c r="AH200" i="67"/>
  <c r="AM213" i="67" s="1"/>
  <c r="AJ207" i="67"/>
  <c r="BT162" i="67"/>
  <c r="M13" i="67"/>
  <c r="P226" i="67"/>
  <c r="V213" i="67"/>
  <c r="BT72" i="67"/>
  <c r="BT74" i="67" s="1"/>
  <c r="Z186" i="67"/>
  <c r="BA214" i="1"/>
  <c r="BA223" i="1"/>
  <c r="BA41" i="1"/>
  <c r="BA43" i="1" s="1"/>
  <c r="BE5" i="1"/>
  <c r="BE215" i="1" s="1"/>
  <c r="BA10" i="1"/>
  <c r="BA11" i="1" s="1"/>
  <c r="BA213" i="1"/>
  <c r="BA182" i="1"/>
  <c r="P7" i="67"/>
  <c r="P141" i="67" s="1"/>
  <c r="BK342" i="67"/>
  <c r="BK344" i="67" s="1"/>
  <c r="AF317" i="67"/>
  <c r="BA215" i="1"/>
  <c r="BA206" i="1"/>
  <c r="BA18" i="1"/>
  <c r="BF20" i="1" s="1"/>
  <c r="BA208" i="1"/>
  <c r="BA6" i="1"/>
  <c r="BF6" i="1"/>
  <c r="BP340" i="67"/>
  <c r="K200" i="67"/>
  <c r="BA216" i="1"/>
  <c r="BA219" i="1"/>
  <c r="BA210" i="1"/>
  <c r="BA246" i="1" s="1"/>
  <c r="BA248" i="1" s="1"/>
  <c r="BA209" i="1"/>
  <c r="BA24" i="1"/>
  <c r="BA26" i="1" s="1"/>
  <c r="BK338" i="67"/>
  <c r="BP339" i="67" s="1"/>
  <c r="BP351" i="67" s="1"/>
  <c r="AO207" i="67"/>
  <c r="BL332" i="67"/>
  <c r="AE205" i="67"/>
  <c r="U206" i="67"/>
  <c r="BE339" i="67"/>
  <c r="BE351" i="67" s="1"/>
  <c r="N199" i="67"/>
  <c r="S212" i="67" s="1"/>
  <c r="N145" i="67"/>
  <c r="N146" i="67"/>
  <c r="AG213" i="67"/>
  <c r="N143" i="67"/>
  <c r="N141" i="67"/>
  <c r="N13" i="67"/>
  <c r="AY207" i="67"/>
  <c r="BJ339" i="67"/>
  <c r="N200" i="67"/>
  <c r="S213" i="67" s="1"/>
  <c r="BD207" i="67"/>
  <c r="BQ104" i="67"/>
  <c r="M141" i="67"/>
  <c r="M199" i="67"/>
  <c r="M212" i="67" s="1"/>
  <c r="R13" i="67"/>
  <c r="M142" i="67"/>
  <c r="AG317" i="67"/>
  <c r="U207" i="67"/>
  <c r="BI113" i="67"/>
  <c r="M200" i="67"/>
  <c r="M213" i="67" s="1"/>
  <c r="AB212" i="67"/>
  <c r="S13" i="67"/>
  <c r="Y213" i="67"/>
  <c r="M144" i="67"/>
  <c r="M143" i="67"/>
  <c r="BV93" i="67"/>
  <c r="BV94" i="67" s="1"/>
  <c r="U226" i="67"/>
  <c r="AH317" i="67"/>
  <c r="M145" i="67"/>
  <c r="K210" i="67"/>
  <c r="M140" i="67"/>
  <c r="N142" i="67"/>
  <c r="M146" i="67"/>
  <c r="N205" i="67"/>
  <c r="S205" i="67"/>
  <c r="I369" i="67"/>
  <c r="AE207" i="67"/>
  <c r="BB219" i="1"/>
  <c r="BB224" i="1"/>
  <c r="BB18" i="1"/>
  <c r="BG6" i="1"/>
  <c r="BB222" i="1"/>
  <c r="BB210" i="1"/>
  <c r="BB246" i="1" s="1"/>
  <c r="BB248" i="1" s="1"/>
  <c r="BB6" i="1"/>
  <c r="BB216" i="1"/>
  <c r="BB209" i="1"/>
  <c r="BB214" i="1"/>
  <c r="BB292" i="1"/>
  <c r="BB223" i="1"/>
  <c r="BB24" i="1"/>
  <c r="BB26" i="1" s="1"/>
  <c r="BB182" i="1"/>
  <c r="BB205" i="1"/>
  <c r="BB215" i="1"/>
  <c r="BB225" i="1"/>
  <c r="BB208" i="1"/>
  <c r="BB41" i="1"/>
  <c r="BB43" i="1" s="1"/>
  <c r="BB206" i="1"/>
  <c r="BB10" i="1"/>
  <c r="BB213" i="1"/>
  <c r="BB13" i="1"/>
  <c r="N140" i="67"/>
  <c r="J381" i="67"/>
  <c r="J369" i="67"/>
  <c r="J365" i="67"/>
  <c r="U182" i="67"/>
  <c r="AJ186" i="67"/>
  <c r="AL212" i="67"/>
  <c r="AG212" i="67"/>
  <c r="O364" i="67"/>
  <c r="AF144" i="67"/>
  <c r="AF13" i="67"/>
  <c r="AF12" i="67" s="1"/>
  <c r="AF146" i="67"/>
  <c r="AF199" i="67"/>
  <c r="AF145" i="67"/>
  <c r="AF142" i="67"/>
  <c r="AF143" i="67"/>
  <c r="AF200" i="67"/>
  <c r="AF141" i="67"/>
  <c r="AF140" i="67"/>
  <c r="AK13" i="67"/>
  <c r="BP116" i="67"/>
  <c r="BP118" i="67" s="1"/>
  <c r="K183" i="67"/>
  <c r="K186" i="67"/>
  <c r="AJ182" i="67"/>
  <c r="AJ185" i="67"/>
  <c r="AJ183" i="67"/>
  <c r="AJ184" i="67"/>
  <c r="AO226" i="67"/>
  <c r="Z185" i="67"/>
  <c r="Z157" i="67"/>
  <c r="Z187" i="67"/>
  <c r="Q204" i="67"/>
  <c r="L204" i="67"/>
  <c r="I212" i="67"/>
  <c r="BK116" i="67"/>
  <c r="BK118" i="67" s="1"/>
  <c r="AZ144" i="67"/>
  <c r="AZ145" i="67"/>
  <c r="AZ154" i="67"/>
  <c r="AZ146" i="67"/>
  <c r="AZ151" i="67"/>
  <c r="AZ153" i="67"/>
  <c r="AZ141" i="67"/>
  <c r="AZ142" i="67"/>
  <c r="AZ155" i="67"/>
  <c r="AZ152" i="67"/>
  <c r="AZ199" i="67"/>
  <c r="BE212" i="67" s="1"/>
  <c r="AZ140" i="67"/>
  <c r="AZ200" i="67"/>
  <c r="BE213" i="67" s="1"/>
  <c r="BD7" i="67"/>
  <c r="AZ156" i="67"/>
  <c r="AZ150" i="67"/>
  <c r="AZ143" i="67"/>
  <c r="R205" i="67"/>
  <c r="M205" i="67"/>
  <c r="Z226" i="67"/>
  <c r="Z182" i="67"/>
  <c r="Z183" i="67"/>
  <c r="Z184" i="67"/>
  <c r="AJ187" i="67"/>
  <c r="U204" i="67"/>
  <c r="Z204" i="67"/>
  <c r="BI105" i="67"/>
  <c r="P209" i="67"/>
  <c r="U209" i="67"/>
  <c r="L200" i="67"/>
  <c r="L140" i="67"/>
  <c r="L146" i="67"/>
  <c r="L199" i="67"/>
  <c r="L143" i="67"/>
  <c r="L13" i="67"/>
  <c r="L142" i="67"/>
  <c r="L145" i="67"/>
  <c r="L141" i="67"/>
  <c r="Q13" i="67"/>
  <c r="L144" i="67"/>
  <c r="W212" i="67"/>
  <c r="U183" i="67"/>
  <c r="CF134" i="67"/>
  <c r="BY93" i="67"/>
  <c r="BY94" i="67" s="1"/>
  <c r="BY96" i="67" s="1"/>
  <c r="BU115" i="67"/>
  <c r="BJ116" i="67"/>
  <c r="BJ118" i="67" s="1"/>
  <c r="BO115" i="67"/>
  <c r="BE145" i="67"/>
  <c r="U186" i="67"/>
  <c r="BI165" i="67"/>
  <c r="U184" i="67"/>
  <c r="U185" i="67"/>
  <c r="U157" i="67"/>
  <c r="U187" i="67"/>
  <c r="K185" i="67"/>
  <c r="K182" i="67"/>
  <c r="K184" i="67"/>
  <c r="AE183" i="67"/>
  <c r="AE184" i="67"/>
  <c r="AE226" i="67"/>
  <c r="AE185" i="67"/>
  <c r="AE182" i="67"/>
  <c r="AJ226" i="67"/>
  <c r="AE157" i="67"/>
  <c r="AE187" i="67"/>
  <c r="O213" i="67"/>
  <c r="T213" i="67"/>
  <c r="P186" i="67"/>
  <c r="C145" i="67"/>
  <c r="C141" i="67"/>
  <c r="C144" i="67"/>
  <c r="C140" i="67"/>
  <c r="C200" i="67"/>
  <c r="H213" i="67" s="1"/>
  <c r="H13" i="67"/>
  <c r="C142" i="67"/>
  <c r="C146" i="67"/>
  <c r="C199" i="67"/>
  <c r="H212" i="67" s="1"/>
  <c r="C143" i="67"/>
  <c r="F7" i="67"/>
  <c r="P157" i="67"/>
  <c r="P187" i="67"/>
  <c r="P183" i="67"/>
  <c r="P185" i="67"/>
  <c r="P184" i="67"/>
  <c r="P182" i="67"/>
  <c r="AE186" i="67"/>
  <c r="BH330" i="67"/>
  <c r="BI330" i="67" s="1"/>
  <c r="BI331" i="67" s="1"/>
  <c r="BG340" i="67"/>
  <c r="BY72" i="67"/>
  <c r="BY74" i="67" s="1"/>
  <c r="CD71" i="67"/>
  <c r="CW66" i="1"/>
  <c r="CR300" i="1"/>
  <c r="BH107" i="67"/>
  <c r="BT195" i="67"/>
  <c r="CD95" i="1"/>
  <c r="CC94" i="1"/>
  <c r="CD94" i="1" s="1"/>
  <c r="BQ198" i="67"/>
  <c r="BV198" i="67" s="1"/>
  <c r="CA198" i="67" s="1"/>
  <c r="CF198" i="67" s="1"/>
  <c r="CK198" i="67" s="1"/>
  <c r="CP226" i="1"/>
  <c r="CQ226" i="1" s="1"/>
  <c r="CR226" i="1" s="1"/>
  <c r="CT226" i="1" s="1"/>
  <c r="CU226" i="1" s="1"/>
  <c r="CV226" i="1" s="1"/>
  <c r="CW226" i="1" s="1"/>
  <c r="CX226" i="1" s="1"/>
  <c r="BI164" i="67"/>
  <c r="BQ337" i="67"/>
  <c r="BQ338" i="67" s="1"/>
  <c r="BL342" i="67"/>
  <c r="BI93" i="67"/>
  <c r="BI102" i="67" s="1"/>
  <c r="CF198" i="1"/>
  <c r="CF199" i="1" s="1"/>
  <c r="DG186" i="1"/>
  <c r="DH186" i="1" s="1"/>
  <c r="DH103" i="1"/>
  <c r="CV146" i="1"/>
  <c r="DJ102" i="1"/>
  <c r="DI103" i="1"/>
  <c r="CI307" i="1"/>
  <c r="CD121" i="1"/>
  <c r="CD130" i="1" s="1"/>
  <c r="CD236" i="1" s="1"/>
  <c r="CD230" i="1"/>
  <c r="BF222" i="67"/>
  <c r="BK107" i="67"/>
  <c r="BP104" i="67"/>
  <c r="BF107" i="67"/>
  <c r="BK95" i="67"/>
  <c r="BF339" i="67"/>
  <c r="BF351" i="67" s="1"/>
  <c r="BF95" i="67"/>
  <c r="BP93" i="67"/>
  <c r="BP71" i="67"/>
  <c r="BP72" i="67" s="1"/>
  <c r="BP74" i="67" s="1"/>
  <c r="BF74" i="67"/>
  <c r="BK60" i="67"/>
  <c r="BP59" i="67"/>
  <c r="BK29" i="67"/>
  <c r="BQ82" i="67"/>
  <c r="BL83" i="67"/>
  <c r="BP82" i="67"/>
  <c r="BK83" i="67"/>
  <c r="BK85" i="67" s="1"/>
  <c r="CK273" i="1" s="1"/>
  <c r="K146" i="67"/>
  <c r="K141" i="67"/>
  <c r="K145" i="67"/>
  <c r="K144" i="67"/>
  <c r="K199" i="67"/>
  <c r="K142" i="67"/>
  <c r="K143" i="67"/>
  <c r="K140" i="67"/>
  <c r="BI82" i="67"/>
  <c r="Z141" i="67"/>
  <c r="Z276" i="67"/>
  <c r="Z281" i="67"/>
  <c r="Z146" i="67"/>
  <c r="Z278" i="67"/>
  <c r="Z200" i="67"/>
  <c r="Z145" i="67"/>
  <c r="Z142" i="67"/>
  <c r="Z13" i="67"/>
  <c r="Z199" i="67"/>
  <c r="Z144" i="67"/>
  <c r="Z140" i="67"/>
  <c r="AA271" i="67"/>
  <c r="AA273" i="67" s="1"/>
  <c r="AA274" i="67" s="1"/>
  <c r="Z143" i="67"/>
  <c r="U199" i="67"/>
  <c r="U144" i="67"/>
  <c r="U142" i="67"/>
  <c r="U141" i="67"/>
  <c r="U140" i="67"/>
  <c r="U200" i="67"/>
  <c r="U143" i="67"/>
  <c r="U145" i="67"/>
  <c r="U146" i="67"/>
  <c r="AC213" i="67"/>
  <c r="W213" i="67"/>
  <c r="BL338" i="67"/>
  <c r="BL339" i="67" s="1"/>
  <c r="AF30" i="1"/>
  <c r="AA29" i="1"/>
  <c r="AF31" i="1" s="1"/>
  <c r="AZ28" i="1"/>
  <c r="AZ29" i="1" s="1"/>
  <c r="AZ24" i="1"/>
  <c r="AZ26" i="1" s="1"/>
  <c r="AY41" i="1"/>
  <c r="AY43" i="1" s="1"/>
  <c r="AZ40" i="1"/>
  <c r="AT43" i="1"/>
  <c r="AU30" i="1"/>
  <c r="AU29" i="1"/>
  <c r="AU26" i="1"/>
  <c r="CD61" i="67"/>
  <c r="AX196" i="1"/>
  <c r="AX197" i="1" s="1"/>
  <c r="AX191" i="1"/>
  <c r="AZ58" i="1"/>
  <c r="BO222" i="67"/>
  <c r="AB71" i="1"/>
  <c r="AB73" i="1"/>
  <c r="AB77" i="1" s="1"/>
  <c r="AB83" i="1"/>
  <c r="H73" i="1"/>
  <c r="H77" i="1" s="1"/>
  <c r="H71" i="1"/>
  <c r="BP207" i="1"/>
  <c r="BP240" i="1"/>
  <c r="BP241" i="1" s="1"/>
  <c r="BP269" i="1"/>
  <c r="AF200" i="1"/>
  <c r="AF79" i="1"/>
  <c r="AF227" i="1"/>
  <c r="DC269" i="1"/>
  <c r="DC286" i="1"/>
  <c r="AS62" i="1"/>
  <c r="AS234" i="1"/>
  <c r="AS73" i="1"/>
  <c r="AS77" i="1" s="1"/>
  <c r="AS71" i="1"/>
  <c r="AS83" i="1"/>
  <c r="AM79" i="1"/>
  <c r="AM227" i="1"/>
  <c r="AM84" i="1"/>
  <c r="AM85" i="1" s="1"/>
  <c r="AM87" i="1" s="1"/>
  <c r="AM200" i="1"/>
  <c r="AV58" i="1"/>
  <c r="AV73" i="1"/>
  <c r="AV77" i="1" s="1"/>
  <c r="AV71" i="1"/>
  <c r="AV83" i="1"/>
  <c r="AK31" i="1"/>
  <c r="AP31" i="1"/>
  <c r="BO83" i="67"/>
  <c r="BO85" i="67" s="1"/>
  <c r="BT82" i="67"/>
  <c r="BX137" i="67"/>
  <c r="V194" i="1"/>
  <c r="W192" i="1"/>
  <c r="BY58" i="1"/>
  <c r="BH106" i="1"/>
  <c r="BH108" i="1" s="1"/>
  <c r="BH188" i="1"/>
  <c r="BH191" i="1" s="1"/>
  <c r="BY233" i="1"/>
  <c r="BU233" i="1"/>
  <c r="CF117" i="67"/>
  <c r="CB207" i="1"/>
  <c r="CB240" i="1"/>
  <c r="CB241" i="1" s="1"/>
  <c r="CB269" i="1"/>
  <c r="AN73" i="1"/>
  <c r="AN77" i="1" s="1"/>
  <c r="AN83" i="1"/>
  <c r="AN71" i="1"/>
  <c r="CE156" i="1"/>
  <c r="DM300" i="1"/>
  <c r="BI196" i="1"/>
  <c r="BI197" i="1" s="1"/>
  <c r="BS302" i="1"/>
  <c r="BS172" i="1"/>
  <c r="CB227" i="1"/>
  <c r="AY196" i="1"/>
  <c r="AY197" i="1" s="1"/>
  <c r="AY191" i="1"/>
  <c r="BN60" i="1"/>
  <c r="BN218" i="1"/>
  <c r="BN217" i="1"/>
  <c r="BN302" i="1"/>
  <c r="BN172" i="1"/>
  <c r="BY15" i="1"/>
  <c r="CD15" i="1"/>
  <c r="AT79" i="1"/>
  <c r="AT80" i="1" s="1"/>
  <c r="AT227" i="1"/>
  <c r="AT84" i="1"/>
  <c r="AT85" i="1" s="1"/>
  <c r="AT87" i="1" s="1"/>
  <c r="AT200" i="1"/>
  <c r="BS79" i="1"/>
  <c r="BS84" i="1"/>
  <c r="BS85" i="1" s="1"/>
  <c r="BS87" i="1" s="1"/>
  <c r="BS227" i="1"/>
  <c r="BG301" i="1"/>
  <c r="BG62" i="1"/>
  <c r="BI234" i="1"/>
  <c r="BJ234" i="1" s="1"/>
  <c r="CE305" i="1"/>
  <c r="BV195" i="67"/>
  <c r="BQ164" i="67"/>
  <c r="AI207" i="1"/>
  <c r="AI269" i="1"/>
  <c r="AI240" i="1"/>
  <c r="AI241" i="1" s="1"/>
  <c r="AB58" i="1"/>
  <c r="AG58" i="1"/>
  <c r="H62" i="1"/>
  <c r="J234" i="1"/>
  <c r="I234" i="1"/>
  <c r="H234" i="1"/>
  <c r="K234" i="1"/>
  <c r="L234" i="1" s="1"/>
  <c r="BP84" i="1"/>
  <c r="BP85" i="1" s="1"/>
  <c r="BP87" i="1" s="1"/>
  <c r="BP79" i="1"/>
  <c r="BP200" i="1"/>
  <c r="U205" i="67"/>
  <c r="P205" i="67"/>
  <c r="CV269" i="1"/>
  <c r="CD73" i="1"/>
  <c r="CD77" i="1" s="1"/>
  <c r="CD71" i="1"/>
  <c r="CD252" i="1" s="1"/>
  <c r="AE62" i="1"/>
  <c r="AH234" i="1"/>
  <c r="AG234" i="1"/>
  <c r="BE202" i="1"/>
  <c r="BE198" i="1"/>
  <c r="AV62" i="1"/>
  <c r="AV234" i="1"/>
  <c r="AW234" i="1"/>
  <c r="AY234" i="1"/>
  <c r="AZ234" i="1" s="1"/>
  <c r="R58" i="1"/>
  <c r="W58" i="1"/>
  <c r="CI96" i="1"/>
  <c r="CJ93" i="1" s="1"/>
  <c r="CJ94" i="1" s="1"/>
  <c r="CI102" i="1"/>
  <c r="CD136" i="67"/>
  <c r="CC136" i="67"/>
  <c r="O207" i="1"/>
  <c r="O240" i="1"/>
  <c r="O241" i="1" s="1"/>
  <c r="AX62" i="1"/>
  <c r="AX234" i="1"/>
  <c r="AX71" i="1"/>
  <c r="AX83" i="1"/>
  <c r="AX73" i="1"/>
  <c r="AX77" i="1" s="1"/>
  <c r="BG108" i="1"/>
  <c r="CD62" i="1"/>
  <c r="CD301" i="1"/>
  <c r="BN188" i="1"/>
  <c r="CF274" i="1"/>
  <c r="CD105" i="1"/>
  <c r="CD108" i="1"/>
  <c r="AL71" i="1"/>
  <c r="AL73" i="1"/>
  <c r="AL77" i="1" s="1"/>
  <c r="AL83" i="1"/>
  <c r="BS207" i="1"/>
  <c r="BS269" i="1"/>
  <c r="BS240" i="1"/>
  <c r="BW200" i="1"/>
  <c r="BW198" i="1"/>
  <c r="BU232" i="1"/>
  <c r="BY232" i="1"/>
  <c r="BT231" i="1"/>
  <c r="BT305" i="1" s="1"/>
  <c r="BR196" i="1"/>
  <c r="BR197" i="1" s="1"/>
  <c r="BR191" i="1"/>
  <c r="I79" i="1"/>
  <c r="N80" i="1" s="1"/>
  <c r="I200" i="1"/>
  <c r="I227" i="1"/>
  <c r="AZ285" i="1"/>
  <c r="AL62" i="1"/>
  <c r="AO234" i="1"/>
  <c r="AP234" i="1" s="1"/>
  <c r="AL234" i="1"/>
  <c r="AT207" i="1"/>
  <c r="AT240" i="1"/>
  <c r="AT241" i="1" s="1"/>
  <c r="AT269" i="1"/>
  <c r="AN62" i="1"/>
  <c r="AN234" i="1"/>
  <c r="BX94" i="1"/>
  <c r="BY94" i="1" s="1"/>
  <c r="BY105" i="1" s="1"/>
  <c r="BY95" i="1"/>
  <c r="CF306" i="1"/>
  <c r="BC15" i="1"/>
  <c r="BH15" i="1"/>
  <c r="BY108" i="1"/>
  <c r="AI79" i="1"/>
  <c r="AI227" i="1"/>
  <c r="AI84" i="1"/>
  <c r="AI200" i="1"/>
  <c r="BL71" i="1"/>
  <c r="BL83" i="1"/>
  <c r="BL73" i="1"/>
  <c r="BL77" i="1" s="1"/>
  <c r="BO69" i="1"/>
  <c r="BL58" i="1"/>
  <c r="BQ58" i="1"/>
  <c r="AB62" i="1"/>
  <c r="AB234" i="1"/>
  <c r="AE234" i="1"/>
  <c r="AF234" i="1" s="1"/>
  <c r="AC234" i="1"/>
  <c r="AD234" i="1"/>
  <c r="AA61" i="1"/>
  <c r="AA62" i="1" s="1"/>
  <c r="AA69" i="1"/>
  <c r="AA56" i="1"/>
  <c r="AA251" i="1"/>
  <c r="AA239" i="1"/>
  <c r="AF57" i="1"/>
  <c r="AA57" i="1"/>
  <c r="BT73" i="1"/>
  <c r="BT77" i="1" s="1"/>
  <c r="BT71" i="1"/>
  <c r="BT252" i="1" s="1"/>
  <c r="AY269" i="1"/>
  <c r="AY240" i="1"/>
  <c r="AY241" i="1" s="1"/>
  <c r="AY207" i="1"/>
  <c r="CI123" i="1"/>
  <c r="CU269" i="1"/>
  <c r="L69" i="1"/>
  <c r="L61" i="1"/>
  <c r="L62" i="1" s="1"/>
  <c r="L56" i="1"/>
  <c r="L57" i="1"/>
  <c r="L239" i="1"/>
  <c r="L251" i="1"/>
  <c r="Q57" i="1"/>
  <c r="AT234" i="1"/>
  <c r="AU234" i="1" s="1"/>
  <c r="BZ77" i="1"/>
  <c r="BR84" i="1"/>
  <c r="BR85" i="1" s="1"/>
  <c r="BR87" i="1" s="1"/>
  <c r="BR79" i="1"/>
  <c r="BR227" i="1"/>
  <c r="AE58" i="1"/>
  <c r="AJ58" i="1"/>
  <c r="BN71" i="1"/>
  <c r="BN83" i="1"/>
  <c r="BN73" i="1"/>
  <c r="BN77" i="1" s="1"/>
  <c r="R71" i="1"/>
  <c r="R73" i="1"/>
  <c r="R77" i="1" s="1"/>
  <c r="R62" i="1"/>
  <c r="R234" i="1"/>
  <c r="S234" i="1"/>
  <c r="U234" i="1"/>
  <c r="V234" i="1" s="1"/>
  <c r="CG89" i="1"/>
  <c r="O194" i="1"/>
  <c r="P192" i="1"/>
  <c r="P193" i="1" s="1"/>
  <c r="P194" i="1" s="1"/>
  <c r="BT301" i="1"/>
  <c r="BT62" i="1"/>
  <c r="O79" i="1"/>
  <c r="O227" i="1"/>
  <c r="O200" i="1"/>
  <c r="T58" i="1"/>
  <c r="Y58" i="1"/>
  <c r="CD285" i="1"/>
  <c r="CP300" i="1"/>
  <c r="BM191" i="1"/>
  <c r="BM196" i="1"/>
  <c r="BM197" i="1" s="1"/>
  <c r="BM219" i="1"/>
  <c r="BM61" i="1"/>
  <c r="I207" i="1"/>
  <c r="I240" i="1"/>
  <c r="I241" i="1" s="1"/>
  <c r="AZ73" i="1"/>
  <c r="AZ77" i="1" s="1"/>
  <c r="AZ71" i="1"/>
  <c r="AZ252" i="1" s="1"/>
  <c r="AL58" i="1"/>
  <c r="AQ58" i="1"/>
  <c r="BJ56" i="1"/>
  <c r="BJ299" i="1"/>
  <c r="BJ61" i="1"/>
  <c r="BJ251" i="1"/>
  <c r="BG71" i="1"/>
  <c r="BG73" i="1"/>
  <c r="BG77" i="1" s="1"/>
  <c r="BG83" i="1"/>
  <c r="BJ69" i="1"/>
  <c r="E73" i="1"/>
  <c r="E77" i="1" s="1"/>
  <c r="E79" i="1" s="1"/>
  <c r="E71" i="1"/>
  <c r="BL62" i="1"/>
  <c r="BL301" i="1"/>
  <c r="BO61" i="1"/>
  <c r="BO251" i="1"/>
  <c r="BO299" i="1"/>
  <c r="BO56" i="1"/>
  <c r="BT58" i="1" s="1"/>
  <c r="BO57" i="1"/>
  <c r="AF15" i="1"/>
  <c r="AA15" i="1"/>
  <c r="BT83" i="1"/>
  <c r="AY84" i="1"/>
  <c r="AY85" i="1" s="1"/>
  <c r="AY87" i="1" s="1"/>
  <c r="AY79" i="1"/>
  <c r="AY227" i="1"/>
  <c r="AF252" i="1"/>
  <c r="AF286" i="1"/>
  <c r="AF287" i="1" s="1"/>
  <c r="AF288" i="1" s="1"/>
  <c r="AF207" i="1"/>
  <c r="AF240" i="1"/>
  <c r="AF241" i="1" s="1"/>
  <c r="AF242" i="1" s="1"/>
  <c r="AF269" i="1"/>
  <c r="CC191" i="1"/>
  <c r="CC196" i="1"/>
  <c r="CC197" i="1" s="1"/>
  <c r="AW199" i="1"/>
  <c r="BB199" i="1"/>
  <c r="CT269" i="1"/>
  <c r="L15" i="1"/>
  <c r="Q15" i="1"/>
  <c r="AR234" i="1"/>
  <c r="BZ207" i="1"/>
  <c r="BZ240" i="1"/>
  <c r="BZ241" i="1" s="1"/>
  <c r="BZ313" i="1"/>
  <c r="BZ269" i="1"/>
  <c r="BR207" i="1"/>
  <c r="BR269" i="1"/>
  <c r="BR240" i="1"/>
  <c r="BR241" i="1" s="1"/>
  <c r="AS58" i="1"/>
  <c r="AE73" i="1"/>
  <c r="AE77" i="1" s="1"/>
  <c r="AE83" i="1"/>
  <c r="AE71" i="1"/>
  <c r="K62" i="1"/>
  <c r="M234" i="1"/>
  <c r="N234" i="1"/>
  <c r="K73" i="1"/>
  <c r="K77" i="1" s="1"/>
  <c r="K71" i="1"/>
  <c r="AM207" i="1"/>
  <c r="AM240" i="1"/>
  <c r="AM241" i="1" s="1"/>
  <c r="AM269" i="1"/>
  <c r="BN58" i="1"/>
  <c r="CJ273" i="1"/>
  <c r="BS62" i="1"/>
  <c r="BV234" i="1"/>
  <c r="BU234" i="1"/>
  <c r="BS301" i="1"/>
  <c r="BG95" i="67"/>
  <c r="BG96" i="67"/>
  <c r="BO106" i="1"/>
  <c r="R194" i="1"/>
  <c r="S192" i="1"/>
  <c r="S193" i="1" s="1"/>
  <c r="BT285" i="1"/>
  <c r="AX58" i="1"/>
  <c r="T62" i="1"/>
  <c r="X234" i="1"/>
  <c r="T234" i="1"/>
  <c r="W234" i="1"/>
  <c r="T73" i="1"/>
  <c r="T77" i="1" s="1"/>
  <c r="T71" i="1"/>
  <c r="BI185" i="1"/>
  <c r="CD58" i="1"/>
  <c r="BT284" i="1"/>
  <c r="BT156" i="1"/>
  <c r="AI234" i="1"/>
  <c r="CB79" i="1" l="1"/>
  <c r="BQ116" i="67"/>
  <c r="BQ118" i="67" s="1"/>
  <c r="AV155" i="67"/>
  <c r="U227" i="1"/>
  <c r="U200" i="1"/>
  <c r="U79" i="1"/>
  <c r="U207" i="1"/>
  <c r="U240" i="1"/>
  <c r="U241" i="1" s="1"/>
  <c r="CB200" i="1"/>
  <c r="AK84" i="1"/>
  <c r="BL234" i="1"/>
  <c r="BX191" i="1"/>
  <c r="AP43" i="1"/>
  <c r="BI62" i="1"/>
  <c r="AP83" i="1"/>
  <c r="BK234" i="1"/>
  <c r="BO62" i="67"/>
  <c r="BO31" i="67"/>
  <c r="S207" i="1"/>
  <c r="S240" i="1"/>
  <c r="S241" i="1" s="1"/>
  <c r="S79" i="1"/>
  <c r="S80" i="1" s="1"/>
  <c r="S227" i="1"/>
  <c r="S200" i="1"/>
  <c r="BM80" i="1"/>
  <c r="BD219" i="1"/>
  <c r="BD61" i="1"/>
  <c r="BD196" i="1"/>
  <c r="BD197" i="1" s="1"/>
  <c r="BD191" i="1"/>
  <c r="AU83" i="1"/>
  <c r="AH80" i="1"/>
  <c r="BZ242" i="1"/>
  <c r="AK85" i="1"/>
  <c r="AK87" i="1" s="1"/>
  <c r="AI80" i="1"/>
  <c r="CA242" i="1"/>
  <c r="CB199" i="1"/>
  <c r="AK240" i="1"/>
  <c r="AK241" i="1" s="1"/>
  <c r="AK242" i="1" s="1"/>
  <c r="AK252" i="1"/>
  <c r="AK259" i="1" s="1"/>
  <c r="AK207" i="1"/>
  <c r="AK269" i="1"/>
  <c r="AK286" i="1"/>
  <c r="AK287" i="1" s="1"/>
  <c r="AK288" i="1" s="1"/>
  <c r="BS241" i="1"/>
  <c r="BU242" i="1" s="1"/>
  <c r="AK227" i="1"/>
  <c r="AK200" i="1"/>
  <c r="AK79" i="1"/>
  <c r="AK80" i="1" s="1"/>
  <c r="BR198" i="67"/>
  <c r="BW198" i="67" s="1"/>
  <c r="CB198" i="67" s="1"/>
  <c r="CG198" i="67" s="1"/>
  <c r="CL198" i="67" s="1"/>
  <c r="BI73" i="67"/>
  <c r="CB242" i="1"/>
  <c r="BI59" i="67"/>
  <c r="BI68" i="67" s="1"/>
  <c r="CC242" i="1"/>
  <c r="CJ105" i="1"/>
  <c r="BI28" i="67"/>
  <c r="BN35" i="67" s="1"/>
  <c r="BH83" i="67"/>
  <c r="BH116" i="67"/>
  <c r="BH118" i="67" s="1"/>
  <c r="BI115" i="67"/>
  <c r="BL118" i="67"/>
  <c r="BG118" i="67"/>
  <c r="BL85" i="67"/>
  <c r="BG85" i="67"/>
  <c r="BC56" i="1"/>
  <c r="BH58" i="1" s="1"/>
  <c r="BC239" i="1"/>
  <c r="DK300" i="1"/>
  <c r="BL60" i="67"/>
  <c r="BK62" i="67"/>
  <c r="CJ274" i="1"/>
  <c r="AZ30" i="1"/>
  <c r="BC69" i="1"/>
  <c r="BC73" i="1" s="1"/>
  <c r="BC77" i="1" s="1"/>
  <c r="AJ140" i="67"/>
  <c r="BA13" i="67"/>
  <c r="AJ145" i="67"/>
  <c r="AJ13" i="67"/>
  <c r="AV154" i="67"/>
  <c r="AV145" i="67"/>
  <c r="AV141" i="67"/>
  <c r="AV140" i="67"/>
  <c r="AV144" i="67"/>
  <c r="AV156" i="67"/>
  <c r="BH29" i="67"/>
  <c r="AU200" i="67"/>
  <c r="AU213" i="67" s="1"/>
  <c r="AU144" i="67"/>
  <c r="BH57" i="1"/>
  <c r="BC61" i="1"/>
  <c r="BG234" i="1" s="1"/>
  <c r="U13" i="67"/>
  <c r="AU154" i="67"/>
  <c r="AU153" i="67"/>
  <c r="AU155" i="67"/>
  <c r="AZ13" i="67"/>
  <c r="AU143" i="67"/>
  <c r="AU151" i="67"/>
  <c r="AU13" i="67"/>
  <c r="AU146" i="67"/>
  <c r="AU156" i="67"/>
  <c r="BC57" i="1"/>
  <c r="AU150" i="67"/>
  <c r="AU152" i="67"/>
  <c r="BH219" i="67"/>
  <c r="BH60" i="67"/>
  <c r="BA55" i="1"/>
  <c r="AH212" i="67"/>
  <c r="BI162" i="67"/>
  <c r="BF207" i="1"/>
  <c r="BF240" i="1"/>
  <c r="BF241" i="1" s="1"/>
  <c r="BF269" i="1"/>
  <c r="BF200" i="1"/>
  <c r="BF227" i="1"/>
  <c r="BF79" i="1"/>
  <c r="BF84" i="1"/>
  <c r="BF85" i="1" s="1"/>
  <c r="BF87" i="1" s="1"/>
  <c r="BT108" i="1"/>
  <c r="BT105" i="1"/>
  <c r="BG216" i="67"/>
  <c r="AQ79" i="1"/>
  <c r="AQ84" i="1"/>
  <c r="AQ85" i="1" s="1"/>
  <c r="AQ87" i="1" s="1"/>
  <c r="AQ200" i="1"/>
  <c r="AR227" i="1"/>
  <c r="AR84" i="1"/>
  <c r="AR85" i="1" s="1"/>
  <c r="AR87" i="1" s="1"/>
  <c r="AR79" i="1"/>
  <c r="AW80" i="1" s="1"/>
  <c r="AR200" i="1"/>
  <c r="CC219" i="1"/>
  <c r="CC61" i="1"/>
  <c r="CD255" i="1"/>
  <c r="CD256" i="1" s="1"/>
  <c r="CD259" i="1" s="1"/>
  <c r="CD260" i="1" s="1"/>
  <c r="CB301" i="1"/>
  <c r="CB62" i="1"/>
  <c r="BJ83" i="1"/>
  <c r="AV151" i="67"/>
  <c r="AV152" i="67"/>
  <c r="AV199" i="67"/>
  <c r="BA212" i="67" s="1"/>
  <c r="AV142" i="67"/>
  <c r="CS117" i="1"/>
  <c r="CT117" i="1" s="1"/>
  <c r="CU117" i="1" s="1"/>
  <c r="CV117" i="1" s="1"/>
  <c r="V285" i="1"/>
  <c r="BY79" i="1"/>
  <c r="BY85" i="1"/>
  <c r="BY87" i="1" s="1"/>
  <c r="BY227" i="1"/>
  <c r="BY200" i="1"/>
  <c r="BV199" i="1"/>
  <c r="CA199" i="1"/>
  <c r="CA80" i="1"/>
  <c r="Y79" i="1"/>
  <c r="AD80" i="1" s="1"/>
  <c r="Y227" i="1"/>
  <c r="Y200" i="1"/>
  <c r="CN151" i="1"/>
  <c r="BS108" i="1"/>
  <c r="BW62" i="1"/>
  <c r="BW301" i="1"/>
  <c r="BI240" i="1"/>
  <c r="BI241" i="1" s="1"/>
  <c r="BI269" i="1"/>
  <c r="BI207" i="1"/>
  <c r="AP71" i="1"/>
  <c r="AP252" i="1" s="1"/>
  <c r="AU253" i="1" s="1"/>
  <c r="AP73" i="1"/>
  <c r="AP77" i="1" s="1"/>
  <c r="AU227" i="1"/>
  <c r="AU79" i="1"/>
  <c r="AU200" i="1"/>
  <c r="BX242" i="1"/>
  <c r="BX61" i="1"/>
  <c r="BX219" i="1"/>
  <c r="AZ83" i="1"/>
  <c r="BY286" i="1"/>
  <c r="BY287" i="1" s="1"/>
  <c r="BY288" i="1" s="1"/>
  <c r="BY269" i="1"/>
  <c r="BY207" i="1"/>
  <c r="BY240" i="1"/>
  <c r="BY241" i="1" s="1"/>
  <c r="BY242" i="1" s="1"/>
  <c r="DA75" i="1"/>
  <c r="CX75" i="1"/>
  <c r="AQ240" i="1"/>
  <c r="AQ241" i="1" s="1"/>
  <c r="AQ269" i="1"/>
  <c r="AQ207" i="1"/>
  <c r="Y207" i="1"/>
  <c r="Y240" i="1"/>
  <c r="Y241" i="1" s="1"/>
  <c r="AR207" i="1"/>
  <c r="AR240" i="1"/>
  <c r="AR241" i="1" s="1"/>
  <c r="AR269" i="1"/>
  <c r="CC305" i="1"/>
  <c r="X79" i="1"/>
  <c r="X227" i="1"/>
  <c r="X200" i="1"/>
  <c r="DA163" i="1"/>
  <c r="CX163" i="1"/>
  <c r="CV147" i="1"/>
  <c r="CW147" i="1" s="1"/>
  <c r="CX147" i="1" s="1"/>
  <c r="CY147" i="1" s="1"/>
  <c r="CZ147" i="1" s="1"/>
  <c r="AU259" i="1"/>
  <c r="CB80" i="1"/>
  <c r="O80" i="1"/>
  <c r="BO83" i="1"/>
  <c r="BQ59" i="67"/>
  <c r="AV153" i="67"/>
  <c r="AV143" i="67"/>
  <c r="AV200" i="67"/>
  <c r="BA213" i="67" s="1"/>
  <c r="AV146" i="67"/>
  <c r="AU142" i="67"/>
  <c r="AV150" i="67"/>
  <c r="CC80" i="1"/>
  <c r="V73" i="1"/>
  <c r="V77" i="1" s="1"/>
  <c r="V71" i="1"/>
  <c r="BQ79" i="1"/>
  <c r="BQ85" i="1"/>
  <c r="BQ87" i="1" s="1"/>
  <c r="BQ227" i="1"/>
  <c r="BQ200" i="1"/>
  <c r="CG274" i="1"/>
  <c r="CB154" i="1"/>
  <c r="CX135" i="1"/>
  <c r="CY135" i="1"/>
  <c r="CZ135" i="1" s="1"/>
  <c r="DA135" i="1" s="1"/>
  <c r="DB135" i="1" s="1"/>
  <c r="CB305" i="1"/>
  <c r="BI84" i="1"/>
  <c r="BI85" i="1" s="1"/>
  <c r="BI87" i="1" s="1"/>
  <c r="BI79" i="1"/>
  <c r="AU58" i="1"/>
  <c r="BG222" i="67"/>
  <c r="CN124" i="1"/>
  <c r="X207" i="1"/>
  <c r="X240" i="1"/>
  <c r="X241" i="1" s="1"/>
  <c r="BL199" i="1"/>
  <c r="BG199" i="1"/>
  <c r="AU207" i="1"/>
  <c r="AU269" i="1"/>
  <c r="AU240" i="1"/>
  <c r="AU241" i="1" s="1"/>
  <c r="AU242" i="1" s="1"/>
  <c r="AU286" i="1"/>
  <c r="AU287" i="1" s="1"/>
  <c r="AU288" i="1" s="1"/>
  <c r="CB87" i="1"/>
  <c r="P13" i="67"/>
  <c r="P200" i="67"/>
  <c r="P213" i="67" s="1"/>
  <c r="AJ142" i="67"/>
  <c r="AJ144" i="67"/>
  <c r="AO15" i="67"/>
  <c r="BO7" i="1" s="1"/>
  <c r="BO270" i="1" s="1"/>
  <c r="BI17" i="67"/>
  <c r="AY7" i="67"/>
  <c r="BD13" i="67" s="1"/>
  <c r="AU149" i="67"/>
  <c r="BM33" i="67"/>
  <c r="AU140" i="67"/>
  <c r="AW156" i="67"/>
  <c r="AW142" i="67"/>
  <c r="AW146" i="67"/>
  <c r="AW199" i="67"/>
  <c r="BB212" i="67" s="1"/>
  <c r="AW140" i="67"/>
  <c r="BB13" i="67"/>
  <c r="AW200" i="67"/>
  <c r="BB213" i="67" s="1"/>
  <c r="AW141" i="67"/>
  <c r="AW144" i="67"/>
  <c r="AW150" i="67"/>
  <c r="AW151" i="67"/>
  <c r="AW143" i="67"/>
  <c r="AW153" i="67"/>
  <c r="AW154" i="67"/>
  <c r="AW152" i="67"/>
  <c r="AW145" i="67"/>
  <c r="AW155" i="67"/>
  <c r="BG20" i="67"/>
  <c r="AJ12" i="67"/>
  <c r="AU141" i="67"/>
  <c r="AU145" i="67"/>
  <c r="AW149" i="67"/>
  <c r="BD149" i="67"/>
  <c r="BE216" i="1"/>
  <c r="AE212" i="67"/>
  <c r="BI193" i="67"/>
  <c r="BI206" i="67" s="1"/>
  <c r="BL221" i="67"/>
  <c r="BK222" i="67"/>
  <c r="BO221" i="67"/>
  <c r="BK219" i="67"/>
  <c r="BK221" i="67"/>
  <c r="BL222" i="67"/>
  <c r="BY219" i="67"/>
  <c r="BI221" i="67"/>
  <c r="BI196" i="67"/>
  <c r="BI209" i="67" s="1"/>
  <c r="BI337" i="67"/>
  <c r="AX213" i="67"/>
  <c r="BK31" i="67"/>
  <c r="BQ31" i="67"/>
  <c r="AJ199" i="67"/>
  <c r="AO212" i="67" s="1"/>
  <c r="AJ143" i="67"/>
  <c r="P142" i="67"/>
  <c r="AJ200" i="67"/>
  <c r="AJ213" i="67" s="1"/>
  <c r="AO14" i="67"/>
  <c r="AJ141" i="67"/>
  <c r="AJ146" i="67"/>
  <c r="BJ96" i="67"/>
  <c r="BH338" i="67"/>
  <c r="AX212" i="67"/>
  <c r="BC212" i="67"/>
  <c r="BE13" i="1"/>
  <c r="BE14" i="1" s="1"/>
  <c r="BJ15" i="1" s="1"/>
  <c r="BQ165" i="67"/>
  <c r="BJ6" i="1"/>
  <c r="BE205" i="1"/>
  <c r="BE292" i="1"/>
  <c r="BI106" i="67"/>
  <c r="BT219" i="67"/>
  <c r="BI342" i="67"/>
  <c r="BH344" i="67"/>
  <c r="BI344" i="67" s="1"/>
  <c r="BF11" i="1"/>
  <c r="P143" i="67"/>
  <c r="P140" i="67"/>
  <c r="BE51" i="1"/>
  <c r="BJ53" i="1" s="1"/>
  <c r="BE225" i="1"/>
  <c r="BQ105" i="67"/>
  <c r="BQ107" i="67" s="1"/>
  <c r="P146" i="67"/>
  <c r="P145" i="67"/>
  <c r="N212" i="67"/>
  <c r="BK339" i="67"/>
  <c r="BO338" i="67"/>
  <c r="BO339" i="67" s="1"/>
  <c r="BO351" i="67" s="1"/>
  <c r="AH213" i="67"/>
  <c r="BO219" i="67"/>
  <c r="BL96" i="67"/>
  <c r="BL333" i="67"/>
  <c r="R212" i="67"/>
  <c r="R213" i="67"/>
  <c r="P144" i="67"/>
  <c r="P199" i="67"/>
  <c r="P212" i="67" s="1"/>
  <c r="N213" i="67"/>
  <c r="BE222" i="1"/>
  <c r="BE298" i="1"/>
  <c r="BE6" i="1"/>
  <c r="BE208" i="1"/>
  <c r="BE209" i="1"/>
  <c r="BE206" i="1"/>
  <c r="BK340" i="67"/>
  <c r="BA20" i="1"/>
  <c r="BE224" i="1"/>
  <c r="BE210" i="1"/>
  <c r="BE246" i="1" s="1"/>
  <c r="BE248" i="1" s="1"/>
  <c r="BE35" i="1"/>
  <c r="BE182" i="1"/>
  <c r="BE219" i="1"/>
  <c r="BE18" i="1"/>
  <c r="BE213" i="1"/>
  <c r="BE10" i="1"/>
  <c r="BE11" i="1" s="1"/>
  <c r="BE46" i="1"/>
  <c r="BE48" i="1" s="1"/>
  <c r="BE214" i="1"/>
  <c r="BE223" i="1"/>
  <c r="CI271" i="1"/>
  <c r="CA93" i="67"/>
  <c r="CF93" i="67" s="1"/>
  <c r="CF94" i="67" s="1"/>
  <c r="CF96" i="67" s="1"/>
  <c r="BV96" i="67"/>
  <c r="BB14" i="1"/>
  <c r="BB55" i="1"/>
  <c r="BB239" i="1" s="1"/>
  <c r="BB11" i="1"/>
  <c r="BG11" i="1"/>
  <c r="BG20" i="1"/>
  <c r="BB20" i="1"/>
  <c r="BM34" i="67"/>
  <c r="AZ212" i="67"/>
  <c r="AF213" i="67"/>
  <c r="AK213" i="67"/>
  <c r="AK212" i="67"/>
  <c r="AF212" i="67"/>
  <c r="L213" i="67"/>
  <c r="Q213" i="67"/>
  <c r="Q212" i="67"/>
  <c r="L212" i="67"/>
  <c r="BD150" i="67"/>
  <c r="BD151" i="67"/>
  <c r="BD156" i="67"/>
  <c r="BD154" i="67"/>
  <c r="BD140" i="67"/>
  <c r="BD146" i="67"/>
  <c r="BD200" i="67"/>
  <c r="BD155" i="67"/>
  <c r="BD141" i="67"/>
  <c r="BD142" i="67"/>
  <c r="BD153" i="67"/>
  <c r="BD144" i="67"/>
  <c r="BD199" i="67"/>
  <c r="BD152" i="67"/>
  <c r="BD143" i="67"/>
  <c r="BD145" i="67"/>
  <c r="BI14" i="67"/>
  <c r="BK96" i="67"/>
  <c r="BU71" i="67"/>
  <c r="CD93" i="67"/>
  <c r="CD94" i="67" s="1"/>
  <c r="CD96" i="67" s="1"/>
  <c r="BI222" i="67"/>
  <c r="BZ115" i="67"/>
  <c r="BU116" i="67"/>
  <c r="BU118" i="67" s="1"/>
  <c r="CA115" i="67"/>
  <c r="BV116" i="67"/>
  <c r="BV118" i="67" s="1"/>
  <c r="BT115" i="67"/>
  <c r="BO116" i="67"/>
  <c r="BO118" i="67" s="1"/>
  <c r="BI107" i="67"/>
  <c r="BI219" i="67"/>
  <c r="F146" i="67"/>
  <c r="F144" i="67"/>
  <c r="F142" i="67"/>
  <c r="F143" i="67"/>
  <c r="F140" i="67"/>
  <c r="F200" i="67"/>
  <c r="K213" i="67" s="1"/>
  <c r="F199" i="67"/>
  <c r="K212" i="67" s="1"/>
  <c r="K13" i="67"/>
  <c r="F141" i="67"/>
  <c r="F145" i="67"/>
  <c r="BH332" i="67"/>
  <c r="BH333" i="67" s="1"/>
  <c r="CI71" i="67"/>
  <c r="CD72" i="67"/>
  <c r="CD74" i="67" s="1"/>
  <c r="CD162" i="67"/>
  <c r="DB66" i="1"/>
  <c r="CW300" i="1"/>
  <c r="BY195" i="67"/>
  <c r="BT164" i="67"/>
  <c r="CS226" i="1"/>
  <c r="BI195" i="67"/>
  <c r="BI208" i="67" s="1"/>
  <c r="CN93" i="1"/>
  <c r="CK93" i="1"/>
  <c r="CK94" i="1" s="1"/>
  <c r="DI186" i="1"/>
  <c r="CW146" i="1"/>
  <c r="CY115" i="1"/>
  <c r="CX140" i="1"/>
  <c r="DK102" i="1"/>
  <c r="DJ103" i="1"/>
  <c r="CY226" i="1"/>
  <c r="DH102" i="1"/>
  <c r="CD231" i="1"/>
  <c r="CD305" i="1" s="1"/>
  <c r="CE233" i="1"/>
  <c r="CD284" i="1"/>
  <c r="CD156" i="1"/>
  <c r="BI74" i="67"/>
  <c r="BP105" i="67"/>
  <c r="BP107" i="67" s="1"/>
  <c r="BP94" i="67"/>
  <c r="BP96" i="67" s="1"/>
  <c r="BU93" i="67"/>
  <c r="BP60" i="67"/>
  <c r="BP62" i="67" s="1"/>
  <c r="BF217" i="67"/>
  <c r="BL340" i="67"/>
  <c r="BV82" i="67"/>
  <c r="BQ83" i="67"/>
  <c r="BQ85" i="67" s="1"/>
  <c r="CQ273" i="1" s="1"/>
  <c r="Z212" i="67"/>
  <c r="Z213" i="67"/>
  <c r="BI91" i="67"/>
  <c r="BN89" i="67"/>
  <c r="BM88" i="67"/>
  <c r="BM87" i="67"/>
  <c r="BU82" i="67"/>
  <c r="BP83" i="67"/>
  <c r="BP85" i="67" s="1"/>
  <c r="CP273" i="1" s="1"/>
  <c r="AE213" i="67"/>
  <c r="AZ42" i="1"/>
  <c r="AZ41" i="1"/>
  <c r="AZ43" i="1" s="1"/>
  <c r="AU31" i="1"/>
  <c r="AZ31" i="1"/>
  <c r="BQ339" i="67"/>
  <c r="BQ340" i="67"/>
  <c r="K207" i="1"/>
  <c r="K240" i="1"/>
  <c r="K241" i="1" s="1"/>
  <c r="M242" i="1" s="1"/>
  <c r="CC198" i="1"/>
  <c r="CC202" i="1"/>
  <c r="CC200" i="1"/>
  <c r="AF259" i="1"/>
  <c r="BM301" i="1"/>
  <c r="BM234" i="1"/>
  <c r="BM62" i="1"/>
  <c r="AX79" i="1"/>
  <c r="AX84" i="1"/>
  <c r="AX85" i="1" s="1"/>
  <c r="AX87" i="1" s="1"/>
  <c r="AX227" i="1"/>
  <c r="T192" i="1"/>
  <c r="T193" i="1" s="1"/>
  <c r="S194" i="1"/>
  <c r="AE79" i="1"/>
  <c r="AE227" i="1"/>
  <c r="AE84" i="1"/>
  <c r="AE85" i="1" s="1"/>
  <c r="AE87" i="1" s="1"/>
  <c r="AE200" i="1"/>
  <c r="BJ285" i="1"/>
  <c r="AZ79" i="1"/>
  <c r="AZ227" i="1"/>
  <c r="AZ200" i="1"/>
  <c r="CU300" i="1"/>
  <c r="R240" i="1"/>
  <c r="R241" i="1" s="1"/>
  <c r="S242" i="1" s="1"/>
  <c r="R207" i="1"/>
  <c r="AA73" i="1"/>
  <c r="AA77" i="1" s="1"/>
  <c r="AA71" i="1"/>
  <c r="AA252" i="1" s="1"/>
  <c r="AF253" i="1" s="1"/>
  <c r="BL84" i="1"/>
  <c r="BL85" i="1" s="1"/>
  <c r="BL87" i="1" s="1"/>
  <c r="BL79" i="1"/>
  <c r="BL227" i="1"/>
  <c r="BL200" i="1"/>
  <c r="AI85" i="1"/>
  <c r="AI87" i="1" s="1"/>
  <c r="AL240" i="1"/>
  <c r="AL241" i="1" s="1"/>
  <c r="AL242" i="1" s="1"/>
  <c r="AL269" i="1"/>
  <c r="AL207" i="1"/>
  <c r="CD253" i="1"/>
  <c r="CH97" i="1"/>
  <c r="CH98" i="1" s="1"/>
  <c r="BC83" i="1"/>
  <c r="BC71" i="1"/>
  <c r="BI198" i="1"/>
  <c r="BI202" i="1"/>
  <c r="BI200" i="1"/>
  <c r="AN84" i="1"/>
  <c r="AN85" i="1" s="1"/>
  <c r="AN87" i="1" s="1"/>
  <c r="AN227" i="1"/>
  <c r="AN200" i="1"/>
  <c r="AN79" i="1"/>
  <c r="AN80" i="1" s="1"/>
  <c r="BN344" i="67"/>
  <c r="AS227" i="1"/>
  <c r="AS79" i="1"/>
  <c r="AS84" i="1"/>
  <c r="AS200" i="1"/>
  <c r="CZ269" i="1"/>
  <c r="DH269" i="1"/>
  <c r="AB79" i="1"/>
  <c r="AB227" i="1"/>
  <c r="AB84" i="1"/>
  <c r="AB200" i="1"/>
  <c r="BI106" i="1"/>
  <c r="BI108" i="1" s="1"/>
  <c r="BI188" i="1"/>
  <c r="BI191" i="1" s="1"/>
  <c r="BR80" i="1"/>
  <c r="BW80" i="1"/>
  <c r="L58" i="1"/>
  <c r="Q58" i="1"/>
  <c r="BX200" i="1"/>
  <c r="BX198" i="1"/>
  <c r="AA285" i="1"/>
  <c r="BX80" i="1"/>
  <c r="AZ259" i="1"/>
  <c r="AZ253" i="1"/>
  <c r="BN219" i="1"/>
  <c r="BN61" i="1"/>
  <c r="BN234" i="1" s="1"/>
  <c r="BO234" i="1" s="1"/>
  <c r="BY253" i="1"/>
  <c r="BT259" i="1"/>
  <c r="CO273" i="1"/>
  <c r="H207" i="1"/>
  <c r="H240" i="1"/>
  <c r="H241" i="1" s="1"/>
  <c r="T240" i="1"/>
  <c r="T241" i="1" s="1"/>
  <c r="T207" i="1"/>
  <c r="BO105" i="1"/>
  <c r="BO108" i="1"/>
  <c r="K227" i="1"/>
  <c r="K200" i="1"/>
  <c r="K79" i="1"/>
  <c r="P80" i="1" s="1"/>
  <c r="AE207" i="1"/>
  <c r="AE240" i="1"/>
  <c r="AE241" i="1" s="1"/>
  <c r="AE269" i="1"/>
  <c r="BV242" i="1"/>
  <c r="BG269" i="1"/>
  <c r="BG240" i="1"/>
  <c r="BG241" i="1" s="1"/>
  <c r="BG207" i="1"/>
  <c r="BT286" i="1"/>
  <c r="BT287" i="1" s="1"/>
  <c r="BT288" i="1" s="1"/>
  <c r="BT269" i="1"/>
  <c r="BT207" i="1"/>
  <c r="BT240" i="1"/>
  <c r="BT241" i="1" s="1"/>
  <c r="BT242" i="1" s="1"/>
  <c r="BL269" i="1"/>
  <c r="BL207" i="1"/>
  <c r="BL240" i="1"/>
  <c r="BL241" i="1" s="1"/>
  <c r="P242" i="1"/>
  <c r="CI136" i="67"/>
  <c r="CH136" i="67"/>
  <c r="CD286" i="1"/>
  <c r="CD287" i="1" s="1"/>
  <c r="CD269" i="1"/>
  <c r="CD207" i="1"/>
  <c r="CD240" i="1"/>
  <c r="CD241" i="1" s="1"/>
  <c r="CD242" i="1" s="1"/>
  <c r="BP80" i="1"/>
  <c r="BU80" i="1"/>
  <c r="BQ221" i="67"/>
  <c r="AN207" i="1"/>
  <c r="AN240" i="1"/>
  <c r="AN241" i="1" s="1"/>
  <c r="AQ242" i="1" s="1"/>
  <c r="AN269" i="1"/>
  <c r="CK117" i="67"/>
  <c r="AA192" i="1"/>
  <c r="AA193" i="1" s="1"/>
  <c r="W193" i="1"/>
  <c r="BX202" i="1"/>
  <c r="BY82" i="67"/>
  <c r="BT83" i="67"/>
  <c r="BT85" i="67" s="1"/>
  <c r="AV207" i="1"/>
  <c r="AV240" i="1"/>
  <c r="AV241" i="1" s="1"/>
  <c r="AV269" i="1"/>
  <c r="CY269" i="1"/>
  <c r="DA269" i="1"/>
  <c r="H79" i="1"/>
  <c r="M80" i="1" s="1"/>
  <c r="H200" i="1"/>
  <c r="AX198" i="1"/>
  <c r="AX202" i="1"/>
  <c r="AX200" i="1"/>
  <c r="CI61" i="67"/>
  <c r="CA317" i="1"/>
  <c r="BO62" i="1"/>
  <c r="BO301" i="1"/>
  <c r="BG84" i="1"/>
  <c r="BG227" i="1"/>
  <c r="BG79" i="1"/>
  <c r="BG200" i="1"/>
  <c r="BN79" i="1"/>
  <c r="BN84" i="1"/>
  <c r="BN85" i="1" s="1"/>
  <c r="BN87" i="1" s="1"/>
  <c r="BZ85" i="1"/>
  <c r="BZ227" i="1"/>
  <c r="BZ79" i="1"/>
  <c r="BZ200" i="1"/>
  <c r="BR198" i="1"/>
  <c r="BW199" i="1" s="1"/>
  <c r="BR200" i="1"/>
  <c r="BR202" i="1"/>
  <c r="CC137" i="67"/>
  <c r="BN191" i="1"/>
  <c r="BN196" i="1"/>
  <c r="BN197" i="1" s="1"/>
  <c r="AB240" i="1"/>
  <c r="AB241" i="1" s="1"/>
  <c r="AB207" i="1"/>
  <c r="AB269" i="1"/>
  <c r="T227" i="1"/>
  <c r="T79" i="1"/>
  <c r="T200" i="1"/>
  <c r="BD80" i="1"/>
  <c r="AY80" i="1"/>
  <c r="BO58" i="1"/>
  <c r="BO285" i="1"/>
  <c r="BJ73" i="1"/>
  <c r="BJ77" i="1" s="1"/>
  <c r="BJ71" i="1"/>
  <c r="BJ301" i="1"/>
  <c r="BJ62" i="1"/>
  <c r="AZ207" i="1"/>
  <c r="AZ269" i="1"/>
  <c r="AZ240" i="1"/>
  <c r="AZ241" i="1" s="1"/>
  <c r="AZ242" i="1" s="1"/>
  <c r="AZ286" i="1"/>
  <c r="AZ287" i="1" s="1"/>
  <c r="AZ288" i="1" s="1"/>
  <c r="BM202" i="1"/>
  <c r="BM200" i="1"/>
  <c r="BM198" i="1"/>
  <c r="BM199" i="1" s="1"/>
  <c r="R79" i="1"/>
  <c r="R200" i="1"/>
  <c r="BN207" i="1"/>
  <c r="BN240" i="1"/>
  <c r="BN241" i="1" s="1"/>
  <c r="BN269" i="1"/>
  <c r="L71" i="1"/>
  <c r="L252" i="1" s="1"/>
  <c r="L73" i="1"/>
  <c r="L77" i="1" s="1"/>
  <c r="BP31" i="67"/>
  <c r="BT227" i="1"/>
  <c r="BT200" i="1"/>
  <c r="BT79" i="1"/>
  <c r="AA58" i="1"/>
  <c r="AF58" i="1"/>
  <c r="BO71" i="1"/>
  <c r="BO73" i="1"/>
  <c r="BO77" i="1" s="1"/>
  <c r="AL79" i="1"/>
  <c r="AL84" i="1"/>
  <c r="AL200" i="1"/>
  <c r="AX240" i="1"/>
  <c r="AX241" i="1" s="1"/>
  <c r="AX207" i="1"/>
  <c r="AX269" i="1"/>
  <c r="BE199" i="1"/>
  <c r="BJ199" i="1"/>
  <c r="CD227" i="1"/>
  <c r="CD79" i="1"/>
  <c r="CD200" i="1"/>
  <c r="CD85" i="1"/>
  <c r="CD87" i="1" s="1"/>
  <c r="BT84" i="1"/>
  <c r="BT85" i="1" s="1"/>
  <c r="BT87" i="1" s="1"/>
  <c r="AJ242" i="1"/>
  <c r="BC58" i="1"/>
  <c r="BV164" i="67"/>
  <c r="CA195" i="67"/>
  <c r="AY200" i="1"/>
  <c r="AY198" i="1"/>
  <c r="AY199" i="1" s="1"/>
  <c r="AY202" i="1"/>
  <c r="BS196" i="1"/>
  <c r="BS197" i="1" s="1"/>
  <c r="BS191" i="1"/>
  <c r="AV227" i="1"/>
  <c r="AV79" i="1"/>
  <c r="AV84" i="1"/>
  <c r="AV200" i="1"/>
  <c r="AM80" i="1"/>
  <c r="AS207" i="1"/>
  <c r="AS240" i="1"/>
  <c r="AS241" i="1" s="1"/>
  <c r="AS269" i="1"/>
  <c r="AF83" i="1"/>
  <c r="BF15" i="1"/>
  <c r="BA15" i="1"/>
  <c r="BI37" i="67" l="1"/>
  <c r="U80" i="1"/>
  <c r="Z80" i="1"/>
  <c r="CO274" i="1"/>
  <c r="BE20" i="1"/>
  <c r="BE37" i="1"/>
  <c r="BD202" i="1"/>
  <c r="BD198" i="1"/>
  <c r="BD200" i="1"/>
  <c r="BD62" i="1"/>
  <c r="BH234" i="1"/>
  <c r="BI199" i="1"/>
  <c r="AZ213" i="67"/>
  <c r="R242" i="1"/>
  <c r="BH31" i="67"/>
  <c r="AV80" i="1"/>
  <c r="AP84" i="1"/>
  <c r="AP85" i="1" s="1"/>
  <c r="AP87" i="1" s="1"/>
  <c r="AS80" i="1"/>
  <c r="AR80" i="1"/>
  <c r="AK253" i="1"/>
  <c r="AK260" i="1"/>
  <c r="AZ80" i="1"/>
  <c r="BS242" i="1"/>
  <c r="BI116" i="67"/>
  <c r="BI117" i="67" s="1"/>
  <c r="BM120" i="67"/>
  <c r="BI123" i="67"/>
  <c r="BM119" i="67"/>
  <c r="BJ84" i="1"/>
  <c r="BM64" i="67"/>
  <c r="BN66" i="67"/>
  <c r="BH85" i="67"/>
  <c r="BI83" i="67"/>
  <c r="BI84" i="67" s="1"/>
  <c r="BW242" i="1"/>
  <c r="AF84" i="1"/>
  <c r="AF85" i="1" s="1"/>
  <c r="AF87" i="1" s="1"/>
  <c r="CU94" i="1"/>
  <c r="CZ94" i="1" s="1"/>
  <c r="DE94" i="1" s="1"/>
  <c r="DJ94" i="1" s="1"/>
  <c r="CK105" i="1"/>
  <c r="Z242" i="1"/>
  <c r="BM65" i="67"/>
  <c r="BK80" i="1"/>
  <c r="CG273" i="1"/>
  <c r="BI85" i="67"/>
  <c r="BI118" i="67"/>
  <c r="BI197" i="67" s="1"/>
  <c r="BM234" i="67" s="1"/>
  <c r="CL273" i="1"/>
  <c r="BA57" i="1"/>
  <c r="BA239" i="1"/>
  <c r="BL62" i="67"/>
  <c r="CK274" i="1"/>
  <c r="CP274" i="1"/>
  <c r="BJ390" i="67"/>
  <c r="BJ389" i="67"/>
  <c r="BI29" i="67"/>
  <c r="BI30" i="67" s="1"/>
  <c r="BA56" i="1"/>
  <c r="BA58" i="1" s="1"/>
  <c r="BC62" i="1"/>
  <c r="CE242" i="1"/>
  <c r="BH62" i="67"/>
  <c r="BI60" i="67"/>
  <c r="BA69" i="1"/>
  <c r="BA83" i="1" s="1"/>
  <c r="BF57" i="1"/>
  <c r="BA61" i="1"/>
  <c r="BA62" i="1" s="1"/>
  <c r="BE55" i="1"/>
  <c r="BH339" i="67"/>
  <c r="BH351" i="67" s="1"/>
  <c r="BH340" i="67"/>
  <c r="AZ260" i="1"/>
  <c r="AZ84" i="1"/>
  <c r="AZ85" i="1" s="1"/>
  <c r="AZ87" i="1" s="1"/>
  <c r="AR242" i="1"/>
  <c r="AU84" i="1"/>
  <c r="AU85" i="1" s="1"/>
  <c r="AU87" i="1" s="1"/>
  <c r="AM242" i="1"/>
  <c r="AB85" i="1"/>
  <c r="AB87" i="1" s="1"/>
  <c r="BQ60" i="67"/>
  <c r="BQ62" i="67" s="1"/>
  <c r="AP253" i="1"/>
  <c r="AP259" i="1"/>
  <c r="DA147" i="1"/>
  <c r="DB147" i="1" s="1"/>
  <c r="DC147" i="1" s="1"/>
  <c r="DD147" i="1" s="1"/>
  <c r="DE147" i="1" s="1"/>
  <c r="CP151" i="1"/>
  <c r="Y242" i="1"/>
  <c r="DD135" i="1"/>
  <c r="DE135" i="1" s="1"/>
  <c r="DF135" i="1" s="1"/>
  <c r="DG135" i="1" s="1"/>
  <c r="DC135" i="1"/>
  <c r="CN116" i="1"/>
  <c r="DF75" i="1"/>
  <c r="DC75" i="1"/>
  <c r="BX301" i="1"/>
  <c r="BX62" i="1"/>
  <c r="CA234" i="1"/>
  <c r="BX234" i="1"/>
  <c r="BY234" i="1" s="1"/>
  <c r="BZ234" i="1"/>
  <c r="CC301" i="1"/>
  <c r="CC62" i="1"/>
  <c r="CE234" i="1"/>
  <c r="AV85" i="1"/>
  <c r="AV87" i="1" s="1"/>
  <c r="BJ106" i="1"/>
  <c r="BJ108" i="1" s="1"/>
  <c r="AL85" i="1"/>
  <c r="AL87" i="1" s="1"/>
  <c r="BI80" i="1"/>
  <c r="CB156" i="1"/>
  <c r="V286" i="1"/>
  <c r="V287" i="1" s="1"/>
  <c r="V288" i="1" s="1"/>
  <c r="V207" i="1"/>
  <c r="V240" i="1"/>
  <c r="V241" i="1" s="1"/>
  <c r="V242" i="1" s="1"/>
  <c r="DF163" i="1"/>
  <c r="DC163" i="1"/>
  <c r="X80" i="1"/>
  <c r="AC80" i="1"/>
  <c r="AP227" i="1"/>
  <c r="AP79" i="1"/>
  <c r="AP80" i="1" s="1"/>
  <c r="AP200" i="1"/>
  <c r="BV80" i="1"/>
  <c r="CP124" i="1"/>
  <c r="CB234" i="1"/>
  <c r="V79" i="1"/>
  <c r="V80" i="1" s="1"/>
  <c r="V200" i="1"/>
  <c r="V227" i="1"/>
  <c r="CC234" i="1"/>
  <c r="CD234" i="1" s="1"/>
  <c r="AP286" i="1"/>
  <c r="AP287" i="1" s="1"/>
  <c r="AP288" i="1" s="1"/>
  <c r="AP240" i="1"/>
  <c r="AP241" i="1" s="1"/>
  <c r="AP242" i="1" s="1"/>
  <c r="AP269" i="1"/>
  <c r="AP207" i="1"/>
  <c r="V252" i="1"/>
  <c r="AA253" i="1" s="1"/>
  <c r="U213" i="67"/>
  <c r="BI159" i="67"/>
  <c r="BI216" i="67" s="1"/>
  <c r="BH216" i="67"/>
  <c r="BI338" i="67"/>
  <c r="BI340" i="67" s="1"/>
  <c r="BD15" i="67"/>
  <c r="AY199" i="67"/>
  <c r="BD212" i="67" s="1"/>
  <c r="AY200" i="67"/>
  <c r="BD213" i="67" s="1"/>
  <c r="AY141" i="67"/>
  <c r="BD14" i="67"/>
  <c r="AY150" i="67"/>
  <c r="AY149" i="67"/>
  <c r="AY155" i="67"/>
  <c r="AY154" i="67"/>
  <c r="AY152" i="67"/>
  <c r="AY146" i="67"/>
  <c r="AY140" i="67"/>
  <c r="AY156" i="67"/>
  <c r="AY144" i="67"/>
  <c r="AY142" i="67"/>
  <c r="AY153" i="67"/>
  <c r="AY151" i="67"/>
  <c r="AY143" i="67"/>
  <c r="AY145" i="67"/>
  <c r="BI26" i="67"/>
  <c r="BH20" i="67"/>
  <c r="BM231" i="67"/>
  <c r="BQ222" i="67"/>
  <c r="BT221" i="67"/>
  <c r="CD219" i="67"/>
  <c r="AJ212" i="67"/>
  <c r="AO213" i="67"/>
  <c r="BM32" i="67"/>
  <c r="BI18" i="67"/>
  <c r="CA94" i="67"/>
  <c r="CA96" i="67" s="1"/>
  <c r="BJ48" i="1"/>
  <c r="CK93" i="67"/>
  <c r="CK94" i="67" s="1"/>
  <c r="CK96" i="67" s="1"/>
  <c r="BE294" i="1"/>
  <c r="BE53" i="1"/>
  <c r="BJ11" i="1"/>
  <c r="BE15" i="1"/>
  <c r="BJ37" i="1"/>
  <c r="U212" i="67"/>
  <c r="BO340" i="67"/>
  <c r="BJ20" i="1"/>
  <c r="BM37" i="67"/>
  <c r="BB56" i="1"/>
  <c r="BB69" i="1"/>
  <c r="BB57" i="1"/>
  <c r="BG57" i="1"/>
  <c r="BB61" i="1"/>
  <c r="BG15" i="1"/>
  <c r="BB15" i="1"/>
  <c r="CI93" i="67"/>
  <c r="CI94" i="67" s="1"/>
  <c r="CI96" i="67" s="1"/>
  <c r="BZ71" i="67"/>
  <c r="BH235" i="67"/>
  <c r="BU72" i="67"/>
  <c r="BU74" i="67" s="1"/>
  <c r="CE115" i="67"/>
  <c r="BZ116" i="67"/>
  <c r="BZ118" i="67" s="1"/>
  <c r="CF115" i="67"/>
  <c r="CA116" i="67"/>
  <c r="CA118" i="67" s="1"/>
  <c r="BY115" i="67"/>
  <c r="BT116" i="67"/>
  <c r="BT118" i="67" s="1"/>
  <c r="BI94" i="67"/>
  <c r="BI332" i="67"/>
  <c r="BI333" i="67" s="1"/>
  <c r="CI72" i="67"/>
  <c r="CI74" i="67" s="1"/>
  <c r="CI162" i="67"/>
  <c r="DG66" i="1"/>
  <c r="DB300" i="1"/>
  <c r="BY164" i="67"/>
  <c r="CD195" i="67"/>
  <c r="BM331" i="67"/>
  <c r="CJ97" i="1"/>
  <c r="CJ98" i="1" s="1"/>
  <c r="CK97" i="1"/>
  <c r="CK98" i="1" s="1"/>
  <c r="CL93" i="1"/>
  <c r="CL94" i="1" s="1"/>
  <c r="DJ186" i="1"/>
  <c r="CW117" i="1"/>
  <c r="DL102" i="1"/>
  <c r="DL103" i="1" s="1"/>
  <c r="DK103" i="1"/>
  <c r="CY140" i="1"/>
  <c r="CZ226" i="1"/>
  <c r="CZ115" i="1"/>
  <c r="CX146" i="1"/>
  <c r="CD288" i="1"/>
  <c r="BU94" i="67"/>
  <c r="BU96" i="67" s="1"/>
  <c r="BZ93" i="67"/>
  <c r="BV83" i="67"/>
  <c r="BV85" i="67" s="1"/>
  <c r="CV273" i="1" s="1"/>
  <c r="CA82" i="67"/>
  <c r="BZ82" i="67"/>
  <c r="BU83" i="67"/>
  <c r="BU85" i="67" s="1"/>
  <c r="CU273" i="1" s="1"/>
  <c r="BM86" i="67"/>
  <c r="BM91" i="67"/>
  <c r="BQ351" i="67"/>
  <c r="L259" i="1"/>
  <c r="Q260" i="1" s="1"/>
  <c r="Q253" i="1"/>
  <c r="CF195" i="67"/>
  <c r="CA164" i="67"/>
  <c r="BS202" i="1"/>
  <c r="BS200" i="1"/>
  <c r="BS198" i="1"/>
  <c r="BY80" i="1"/>
  <c r="L200" i="1"/>
  <c r="L79" i="1"/>
  <c r="Q80" i="1" s="1"/>
  <c r="L227" i="1"/>
  <c r="BR242" i="1"/>
  <c r="BQ242" i="1"/>
  <c r="BM233" i="67"/>
  <c r="BJ286" i="1"/>
  <c r="BJ287" i="1" s="1"/>
  <c r="BJ288" i="1" s="1"/>
  <c r="BJ207" i="1"/>
  <c r="BJ269" i="1"/>
  <c r="BJ240" i="1"/>
  <c r="BJ241" i="1" s="1"/>
  <c r="BJ242" i="1" s="1"/>
  <c r="BN202" i="1"/>
  <c r="BN200" i="1"/>
  <c r="BN198" i="1"/>
  <c r="BN199" i="1" s="1"/>
  <c r="BZ80" i="1"/>
  <c r="CE80" i="1"/>
  <c r="BG85" i="1"/>
  <c r="BG87" i="1" s="1"/>
  <c r="AX199" i="1"/>
  <c r="BC199" i="1"/>
  <c r="AY242" i="1"/>
  <c r="CH137" i="67"/>
  <c r="BJ252" i="1"/>
  <c r="AH242" i="1"/>
  <c r="AI242" i="1"/>
  <c r="AG242" i="1"/>
  <c r="X242" i="1"/>
  <c r="W242" i="1"/>
  <c r="BY260" i="1"/>
  <c r="DM269" i="1"/>
  <c r="AS85" i="1"/>
  <c r="AS87" i="1" s="1"/>
  <c r="AN242" i="1"/>
  <c r="AO242" i="1"/>
  <c r="AX242" i="1"/>
  <c r="AA227" i="1"/>
  <c r="AA79" i="1"/>
  <c r="AA200" i="1"/>
  <c r="CG201" i="1"/>
  <c r="AE80" i="1"/>
  <c r="AJ80" i="1"/>
  <c r="CD80" i="1"/>
  <c r="AL80" i="1"/>
  <c r="AQ80" i="1"/>
  <c r="BO227" i="1"/>
  <c r="BO200" i="1"/>
  <c r="BO79" i="1"/>
  <c r="L240" i="1"/>
  <c r="L241" i="1" s="1"/>
  <c r="L242" i="1" s="1"/>
  <c r="L207" i="1"/>
  <c r="R80" i="1"/>
  <c r="W80" i="1"/>
  <c r="BJ85" i="1"/>
  <c r="BJ87" i="1" s="1"/>
  <c r="BJ79" i="1"/>
  <c r="BJ227" i="1"/>
  <c r="BJ200" i="1"/>
  <c r="T80" i="1"/>
  <c r="Y80" i="1"/>
  <c r="CD82" i="67"/>
  <c r="BY83" i="67"/>
  <c r="BY85" i="67" s="1"/>
  <c r="W194" i="1"/>
  <c r="X192" i="1"/>
  <c r="X193" i="1" s="1"/>
  <c r="CM136" i="67"/>
  <c r="AB80" i="1"/>
  <c r="AG80" i="1"/>
  <c r="DF269" i="1"/>
  <c r="BC240" i="1"/>
  <c r="BC241" i="1" s="1"/>
  <c r="BG242" i="1" s="1"/>
  <c r="BC207" i="1"/>
  <c r="BC269" i="1"/>
  <c r="BO84" i="1"/>
  <c r="BO85" i="1" s="1"/>
  <c r="BO87" i="1" s="1"/>
  <c r="U242" i="1"/>
  <c r="T242" i="1"/>
  <c r="AX80" i="1"/>
  <c r="CC199" i="1"/>
  <c r="BO207" i="1"/>
  <c r="BO240" i="1"/>
  <c r="BO241" i="1" s="1"/>
  <c r="BO242" i="1" s="1"/>
  <c r="BO286" i="1"/>
  <c r="BO287" i="1" s="1"/>
  <c r="BO288" i="1" s="1"/>
  <c r="BO269" i="1"/>
  <c r="CG306" i="1"/>
  <c r="BR199" i="1"/>
  <c r="AB192" i="1"/>
  <c r="AA194" i="1"/>
  <c r="AA259" i="1"/>
  <c r="AF260" i="1" s="1"/>
  <c r="BX199" i="1"/>
  <c r="BF58" i="1"/>
  <c r="DE269" i="1"/>
  <c r="CI97" i="1"/>
  <c r="CZ300" i="1"/>
  <c r="O242" i="1"/>
  <c r="N242" i="1"/>
  <c r="AV242" i="1"/>
  <c r="AS242" i="1"/>
  <c r="AW242" i="1"/>
  <c r="AT242" i="1"/>
  <c r="BV221" i="67"/>
  <c r="BD199" i="1"/>
  <c r="AC242" i="1"/>
  <c r="AD242" i="1"/>
  <c r="AE242" i="1"/>
  <c r="AB242" i="1"/>
  <c r="BZ87" i="1"/>
  <c r="BN80" i="1"/>
  <c r="CT273" i="1"/>
  <c r="BP242" i="1"/>
  <c r="BL242" i="1"/>
  <c r="BN242" i="1"/>
  <c r="BM242" i="1"/>
  <c r="BH242" i="1"/>
  <c r="BK242" i="1"/>
  <c r="BI242" i="1"/>
  <c r="BO252" i="1"/>
  <c r="BN301" i="1"/>
  <c r="BN62" i="1"/>
  <c r="BP234" i="1"/>
  <c r="BQ234" i="1"/>
  <c r="BR234" i="1"/>
  <c r="BS80" i="1"/>
  <c r="DD269" i="1"/>
  <c r="BC227" i="1"/>
  <c r="BC79" i="1"/>
  <c r="BC84" i="1"/>
  <c r="BC85" i="1" s="1"/>
  <c r="BC87" i="1" s="1"/>
  <c r="BC200" i="1"/>
  <c r="BL80" i="1"/>
  <c r="BQ80" i="1"/>
  <c r="AA240" i="1"/>
  <c r="AA241" i="1" s="1"/>
  <c r="AA242" i="1" s="1"/>
  <c r="AA286" i="1"/>
  <c r="AA287" i="1" s="1"/>
  <c r="AA288" i="1" s="1"/>
  <c r="AA207" i="1"/>
  <c r="T194" i="1"/>
  <c r="U192" i="1"/>
  <c r="U193" i="1" s="1"/>
  <c r="U194" i="1" s="1"/>
  <c r="CV94" i="1" l="1"/>
  <c r="DA94" i="1" s="1"/>
  <c r="DF94" i="1" s="1"/>
  <c r="DK94" i="1" s="1"/>
  <c r="CL105" i="1"/>
  <c r="BI31" i="67"/>
  <c r="BA234" i="1"/>
  <c r="BM82" i="67"/>
  <c r="BN86" i="67"/>
  <c r="BM28" i="67"/>
  <c r="BN104" i="67"/>
  <c r="BM63" i="67"/>
  <c r="BM123" i="67"/>
  <c r="BM68" i="67"/>
  <c r="CH273" i="1"/>
  <c r="BI194" i="67"/>
  <c r="BM232" i="67" s="1"/>
  <c r="CI273" i="1"/>
  <c r="BE56" i="1"/>
  <c r="BE239" i="1"/>
  <c r="BE285" i="1" s="1"/>
  <c r="CL274" i="1"/>
  <c r="CQ274" i="1"/>
  <c r="BJ388" i="67"/>
  <c r="BJ387" i="67"/>
  <c r="BJ57" i="1"/>
  <c r="BA71" i="1"/>
  <c r="BA207" i="1" s="1"/>
  <c r="BE251" i="1"/>
  <c r="BE61" i="1"/>
  <c r="BE62" i="1" s="1"/>
  <c r="BE57" i="1"/>
  <c r="BA73" i="1"/>
  <c r="BA77" i="1" s="1"/>
  <c r="BA84" i="1" s="1"/>
  <c r="BE299" i="1"/>
  <c r="BE69" i="1"/>
  <c r="BE71" i="1" s="1"/>
  <c r="BI20" i="67"/>
  <c r="BI19" i="67"/>
  <c r="BN67" i="67"/>
  <c r="BI61" i="67"/>
  <c r="CH274" i="1"/>
  <c r="BI62" i="67"/>
  <c r="CI274" i="1" s="1"/>
  <c r="BI339" i="67"/>
  <c r="BI351" i="67" s="1"/>
  <c r="AU80" i="1"/>
  <c r="BM107" i="67"/>
  <c r="CQ151" i="1"/>
  <c r="CP170" i="1"/>
  <c r="DK75" i="1"/>
  <c r="DM75" i="1" s="1"/>
  <c r="DH75" i="1"/>
  <c r="CN272" i="1"/>
  <c r="CM272" i="1"/>
  <c r="V259" i="1"/>
  <c r="V260" i="1" s="1"/>
  <c r="V253" i="1"/>
  <c r="CP175" i="1"/>
  <c r="CP272" i="1" s="1"/>
  <c r="CQ124" i="1"/>
  <c r="DK163" i="1"/>
  <c r="DM163" i="1" s="1"/>
  <c r="DH163" i="1"/>
  <c r="DH135" i="1"/>
  <c r="DI135" i="1"/>
  <c r="DJ135" i="1" s="1"/>
  <c r="DK135" i="1" s="1"/>
  <c r="DL135" i="1" s="1"/>
  <c r="DM135" i="1" s="1"/>
  <c r="DF147" i="1"/>
  <c r="DG147" i="1" s="1"/>
  <c r="DH147" i="1" s="1"/>
  <c r="DI147" i="1" s="1"/>
  <c r="DJ147" i="1" s="1"/>
  <c r="AU260" i="1"/>
  <c r="AP260" i="1"/>
  <c r="BI190" i="67"/>
  <c r="CD7" i="1"/>
  <c r="BY221" i="67"/>
  <c r="CI219" i="67"/>
  <c r="BN165" i="67"/>
  <c r="BH128" i="67"/>
  <c r="BN32" i="67"/>
  <c r="BM222" i="67"/>
  <c r="BG4" i="67"/>
  <c r="BZ72" i="67"/>
  <c r="BZ74" i="67" s="1"/>
  <c r="CE71" i="67"/>
  <c r="BN28" i="67"/>
  <c r="BR33" i="67" s="1"/>
  <c r="BM29" i="67"/>
  <c r="BB62" i="1"/>
  <c r="BF234" i="1"/>
  <c r="BD234" i="1"/>
  <c r="BE234" i="1" s="1"/>
  <c r="BB73" i="1"/>
  <c r="BB77" i="1" s="1"/>
  <c r="BB83" i="1"/>
  <c r="BE83" i="1" s="1"/>
  <c r="BB71" i="1"/>
  <c r="BG58" i="1"/>
  <c r="BB58" i="1"/>
  <c r="BB234" i="1"/>
  <c r="BC234" i="1"/>
  <c r="BI329" i="67"/>
  <c r="CJ115" i="67"/>
  <c r="CJ116" i="67" s="1"/>
  <c r="CJ118" i="67" s="1"/>
  <c r="CE116" i="67"/>
  <c r="CE118" i="67" s="1"/>
  <c r="CK115" i="67"/>
  <c r="CK116" i="67" s="1"/>
  <c r="CK118" i="67" s="1"/>
  <c r="CF116" i="67"/>
  <c r="CF118" i="67" s="1"/>
  <c r="CD115" i="67"/>
  <c r="BY116" i="67"/>
  <c r="BY118" i="67" s="1"/>
  <c r="BH96" i="67"/>
  <c r="DL66" i="1"/>
  <c r="DG300" i="1"/>
  <c r="CI195" i="67"/>
  <c r="CI164" i="67" s="1"/>
  <c r="CD164" i="67"/>
  <c r="DM103" i="1"/>
  <c r="DM102" i="1" s="1"/>
  <c r="BM337" i="67"/>
  <c r="BM330" i="67"/>
  <c r="BI96" i="67"/>
  <c r="BI95" i="67"/>
  <c r="CK306" i="1"/>
  <c r="CM93" i="1"/>
  <c r="CM94" i="1" s="1"/>
  <c r="DL186" i="1"/>
  <c r="DA115" i="1"/>
  <c r="CY146" i="1"/>
  <c r="CZ140" i="1"/>
  <c r="CX117" i="1"/>
  <c r="DA226" i="1"/>
  <c r="DK186" i="1"/>
  <c r="BS199" i="1"/>
  <c r="CE93" i="67"/>
  <c r="BZ94" i="67"/>
  <c r="BZ96" i="67" s="1"/>
  <c r="CF82" i="67"/>
  <c r="CA83" i="67"/>
  <c r="CA85" i="67" s="1"/>
  <c r="DA273" i="1" s="1"/>
  <c r="CE82" i="67"/>
  <c r="BZ83" i="67"/>
  <c r="BZ85" i="67" s="1"/>
  <c r="CZ273" i="1" s="1"/>
  <c r="BM83" i="67"/>
  <c r="BN82" i="67"/>
  <c r="BO259" i="1"/>
  <c r="BO253" i="1"/>
  <c r="BT253" i="1"/>
  <c r="DE300" i="1"/>
  <c r="CI89" i="1"/>
  <c r="X194" i="1"/>
  <c r="Y192" i="1"/>
  <c r="Y193" i="1" s="1"/>
  <c r="CK195" i="67"/>
  <c r="CK164" i="67" s="1"/>
  <c r="CF164" i="67"/>
  <c r="CI99" i="1"/>
  <c r="CI98" i="1" s="1"/>
  <c r="AF192" i="1"/>
  <c r="AF193" i="1" s="1"/>
  <c r="AB193" i="1"/>
  <c r="CI82" i="67"/>
  <c r="CD83" i="67"/>
  <c r="CD85" i="67" s="1"/>
  <c r="DI269" i="1"/>
  <c r="BJ259" i="1"/>
  <c r="CM137" i="67"/>
  <c r="AA80" i="1"/>
  <c r="AF80" i="1"/>
  <c r="BC80" i="1"/>
  <c r="BH80" i="1"/>
  <c r="BE58" i="1"/>
  <c r="CY273" i="1"/>
  <c r="BO80" i="1"/>
  <c r="DJ269" i="1"/>
  <c r="DK269" i="1"/>
  <c r="BT80" i="1"/>
  <c r="CA221" i="67"/>
  <c r="BS112" i="67" l="1"/>
  <c r="BR108" i="67"/>
  <c r="BR109" i="67" s="1"/>
  <c r="BS109" i="67" s="1"/>
  <c r="BR110" i="67"/>
  <c r="CN94" i="1"/>
  <c r="CM105" i="1"/>
  <c r="BN222" i="67"/>
  <c r="BN196" i="67"/>
  <c r="BN209" i="67" s="1"/>
  <c r="BI203" i="67"/>
  <c r="BN93" i="67"/>
  <c r="BN102" i="67" s="1"/>
  <c r="BA200" i="1"/>
  <c r="BE73" i="1"/>
  <c r="BE77" i="1" s="1"/>
  <c r="BE227" i="1" s="1"/>
  <c r="BN107" i="67"/>
  <c r="BA227" i="1"/>
  <c r="BN105" i="67"/>
  <c r="BM346" i="67"/>
  <c r="BK346" i="67"/>
  <c r="BL346" i="67"/>
  <c r="BN113" i="67"/>
  <c r="BJ346" i="67"/>
  <c r="BS111" i="67"/>
  <c r="BA79" i="1"/>
  <c r="BA80" i="1" s="1"/>
  <c r="BN83" i="67"/>
  <c r="BN84" i="67" s="1"/>
  <c r="BM115" i="67"/>
  <c r="BM59" i="67"/>
  <c r="BN63" i="67"/>
  <c r="BJ58" i="1"/>
  <c r="CK201" i="1"/>
  <c r="BA240" i="1"/>
  <c r="BA241" i="1" s="1"/>
  <c r="BE252" i="1"/>
  <c r="BE259" i="1" s="1"/>
  <c r="BE260" i="1" s="1"/>
  <c r="BA269" i="1"/>
  <c r="BE301" i="1"/>
  <c r="BH4" i="67"/>
  <c r="DK147" i="1"/>
  <c r="DL147" i="1" s="1"/>
  <c r="DM147" i="1" s="1"/>
  <c r="CQ170" i="1"/>
  <c r="CR151" i="1"/>
  <c r="CQ175" i="1"/>
  <c r="CQ272" i="1" s="1"/>
  <c r="CR124" i="1"/>
  <c r="CS124" i="1" s="1"/>
  <c r="CT124" i="1" s="1"/>
  <c r="CP116" i="1"/>
  <c r="AA260" i="1"/>
  <c r="CO272" i="1"/>
  <c r="BH5" i="67"/>
  <c r="CD270" i="1"/>
  <c r="BH224" i="67"/>
  <c r="CD221" i="67"/>
  <c r="BM31" i="67"/>
  <c r="BR32" i="67"/>
  <c r="BI125" i="67"/>
  <c r="CJ71" i="67"/>
  <c r="CE72" i="67"/>
  <c r="CE74" i="67" s="1"/>
  <c r="BS35" i="67"/>
  <c r="BN37" i="67"/>
  <c r="BR34" i="67"/>
  <c r="BN29" i="67"/>
  <c r="BN30" i="67" s="1"/>
  <c r="BB79" i="1"/>
  <c r="BB84" i="1"/>
  <c r="BB85" i="1" s="1"/>
  <c r="BB87" i="1" s="1"/>
  <c r="BB227" i="1"/>
  <c r="BB200" i="1"/>
  <c r="BB207" i="1"/>
  <c r="BB269" i="1"/>
  <c r="BB240" i="1"/>
  <c r="BB241" i="1" s="1"/>
  <c r="BF242" i="1" s="1"/>
  <c r="CI115" i="67"/>
  <c r="CD116" i="67"/>
  <c r="CD118" i="67" s="1"/>
  <c r="CI221" i="67"/>
  <c r="DL300" i="1"/>
  <c r="DM186" i="1"/>
  <c r="BM332" i="67"/>
  <c r="BN332" i="67" s="1"/>
  <c r="BN330" i="67"/>
  <c r="BN331" i="67" s="1"/>
  <c r="BN94" i="67"/>
  <c r="BN337" i="67"/>
  <c r="BM338" i="67"/>
  <c r="BM342" i="67"/>
  <c r="BN342" i="67" s="1"/>
  <c r="CN96" i="1"/>
  <c r="CO93" i="1" s="1"/>
  <c r="CO94" i="1" s="1"/>
  <c r="CJ201" i="1"/>
  <c r="CL97" i="1"/>
  <c r="CL98" i="1" s="1"/>
  <c r="CZ146" i="1"/>
  <c r="DB226" i="1"/>
  <c r="CY117" i="1"/>
  <c r="DA140" i="1"/>
  <c r="DB115" i="1"/>
  <c r="BF128" i="67"/>
  <c r="BF224" i="67"/>
  <c r="CJ93" i="67"/>
  <c r="CE94" i="67"/>
  <c r="CE96" i="67" s="1"/>
  <c r="CF83" i="67"/>
  <c r="CF85" i="67" s="1"/>
  <c r="DF273" i="1" s="1"/>
  <c r="CK82" i="67"/>
  <c r="CK83" i="67" s="1"/>
  <c r="CK85" i="67" s="1"/>
  <c r="DK273" i="1" s="1"/>
  <c r="BA85" i="1"/>
  <c r="BA87" i="1" s="1"/>
  <c r="BN91" i="67"/>
  <c r="BR87" i="67"/>
  <c r="BR88" i="67"/>
  <c r="BM85" i="67"/>
  <c r="CJ82" i="67"/>
  <c r="CE83" i="67"/>
  <c r="CE85" i="67" s="1"/>
  <c r="DE273" i="1" s="1"/>
  <c r="DD273" i="1"/>
  <c r="AF194" i="1"/>
  <c r="AG192" i="1"/>
  <c r="BE269" i="1"/>
  <c r="BE207" i="1"/>
  <c r="BE286" i="1"/>
  <c r="BE287" i="1" s="1"/>
  <c r="BE288" i="1" s="1"/>
  <c r="BE240" i="1"/>
  <c r="BE241" i="1" s="1"/>
  <c r="BE242" i="1" s="1"/>
  <c r="CH306" i="1"/>
  <c r="CI90" i="1"/>
  <c r="CF221" i="67"/>
  <c r="Y194" i="1"/>
  <c r="Z192" i="1"/>
  <c r="Z193" i="1" s="1"/>
  <c r="Z194" i="1" s="1"/>
  <c r="CH201" i="1"/>
  <c r="CI201" i="1"/>
  <c r="DJ300" i="1"/>
  <c r="CI83" i="67"/>
  <c r="CI85" i="67" s="1"/>
  <c r="AC192" i="1"/>
  <c r="AC193" i="1" s="1"/>
  <c r="AB194" i="1"/>
  <c r="CK221" i="67"/>
  <c r="BO260" i="1"/>
  <c r="BT260" i="1"/>
  <c r="CO105" i="1" l="1"/>
  <c r="CT94" i="1"/>
  <c r="CY94" i="1" s="1"/>
  <c r="DD94" i="1" s="1"/>
  <c r="DI94" i="1" s="1"/>
  <c r="BF80" i="1"/>
  <c r="BE79" i="1"/>
  <c r="BR99" i="67"/>
  <c r="BN95" i="67"/>
  <c r="BS100" i="67"/>
  <c r="BS101" i="67"/>
  <c r="BR97" i="67"/>
  <c r="BR98" i="67" s="1"/>
  <c r="CP176" i="1"/>
  <c r="CQ116" i="1"/>
  <c r="CR116" i="1" s="1"/>
  <c r="BE200" i="1"/>
  <c r="BN164" i="67"/>
  <c r="BN221" i="67" s="1"/>
  <c r="BM221" i="67"/>
  <c r="BR113" i="67"/>
  <c r="BR104" i="67" s="1"/>
  <c r="BK348" i="67"/>
  <c r="BK351" i="67" s="1"/>
  <c r="BJ348" i="67"/>
  <c r="BM348" i="67"/>
  <c r="BM60" i="67"/>
  <c r="BM62" i="67" s="1"/>
  <c r="BN59" i="67"/>
  <c r="BN106" i="67"/>
  <c r="BN115" i="67"/>
  <c r="BM116" i="67"/>
  <c r="BM118" i="67" s="1"/>
  <c r="BL348" i="67"/>
  <c r="BL351" i="67" s="1"/>
  <c r="BA242" i="1"/>
  <c r="BD242" i="1"/>
  <c r="BB242" i="1"/>
  <c r="BC242" i="1"/>
  <c r="BE253" i="1"/>
  <c r="BJ253" i="1"/>
  <c r="BR233" i="67"/>
  <c r="CK271" i="1"/>
  <c r="CS151" i="1"/>
  <c r="CT151" i="1"/>
  <c r="CR170" i="1"/>
  <c r="CS170" i="1" s="1"/>
  <c r="CR175" i="1"/>
  <c r="BG7" i="67"/>
  <c r="CT175" i="1"/>
  <c r="CT272" i="1" s="1"/>
  <c r="CU124" i="1"/>
  <c r="BI4" i="67"/>
  <c r="BH6" i="67"/>
  <c r="BH7" i="67"/>
  <c r="BG128" i="67"/>
  <c r="BI128" i="67" s="1"/>
  <c r="CJ72" i="67"/>
  <c r="CJ74" i="67" s="1"/>
  <c r="BG224" i="67"/>
  <c r="BI134" i="67"/>
  <c r="BN31" i="67"/>
  <c r="BR37" i="67"/>
  <c r="BR28" i="67" s="1"/>
  <c r="BS28" i="67" s="1"/>
  <c r="BS32" i="67"/>
  <c r="BI126" i="67"/>
  <c r="BI127" i="67" s="1"/>
  <c r="BI167" i="67"/>
  <c r="BB80" i="1"/>
  <c r="BG80" i="1"/>
  <c r="BE84" i="1"/>
  <c r="BE85" i="1" s="1"/>
  <c r="BE87" i="1" s="1"/>
  <c r="CI116" i="67"/>
  <c r="CI118" i="67" s="1"/>
  <c r="BJ260" i="1"/>
  <c r="BM333" i="67"/>
  <c r="BN96" i="67"/>
  <c r="BN333" i="67"/>
  <c r="BN329" i="67"/>
  <c r="BM339" i="67"/>
  <c r="BN338" i="67"/>
  <c r="BN340" i="67" s="1"/>
  <c r="BM340" i="67"/>
  <c r="CM97" i="1"/>
  <c r="CM98" i="1" s="1"/>
  <c r="CS93" i="1"/>
  <c r="CP93" i="1"/>
  <c r="DD226" i="1"/>
  <c r="DA146" i="1"/>
  <c r="DC226" i="1"/>
  <c r="CN123" i="1"/>
  <c r="CZ117" i="1"/>
  <c r="DC115" i="1"/>
  <c r="DB140" i="1"/>
  <c r="BF199" i="67"/>
  <c r="CJ94" i="67"/>
  <c r="CJ96" i="67" s="1"/>
  <c r="CJ83" i="67"/>
  <c r="CJ85" i="67" s="1"/>
  <c r="DJ273" i="1" s="1"/>
  <c r="BR91" i="67"/>
  <c r="BR82" i="67" s="1"/>
  <c r="BR86" i="67"/>
  <c r="BS86" i="67" s="1"/>
  <c r="BN85" i="67"/>
  <c r="BN194" i="67" s="1"/>
  <c r="CM273" i="1"/>
  <c r="CI306" i="1"/>
  <c r="BJ15" i="67"/>
  <c r="AC194" i="1"/>
  <c r="AD192" i="1"/>
  <c r="AD193" i="1" s="1"/>
  <c r="BJ128" i="67"/>
  <c r="DI273" i="1"/>
  <c r="CJ306" i="1"/>
  <c r="AK192" i="1"/>
  <c r="AK193" i="1" s="1"/>
  <c r="AG193" i="1"/>
  <c r="BE80" i="1"/>
  <c r="BJ80" i="1"/>
  <c r="BS98" i="67" l="1"/>
  <c r="CQ176" i="1"/>
  <c r="BN195" i="67"/>
  <c r="BN208" i="67" s="1"/>
  <c r="BN118" i="67"/>
  <c r="BN62" i="67"/>
  <c r="CN274" i="1" s="1"/>
  <c r="CM274" i="1"/>
  <c r="BR105" i="67"/>
  <c r="BS105" i="67" s="1"/>
  <c r="BS104" i="67"/>
  <c r="BR165" i="67"/>
  <c r="BR222" i="67" s="1"/>
  <c r="BN116" i="67"/>
  <c r="BN117" i="67" s="1"/>
  <c r="BS66" i="67"/>
  <c r="BR64" i="67"/>
  <c r="BN68" i="67"/>
  <c r="BR65" i="67"/>
  <c r="BN60" i="67"/>
  <c r="BH199" i="67"/>
  <c r="BH13" i="67"/>
  <c r="BN123" i="67"/>
  <c r="BR119" i="67"/>
  <c r="BR120" i="67"/>
  <c r="BJ351" i="67"/>
  <c r="BN348" i="67"/>
  <c r="BP134" i="67"/>
  <c r="BP125" i="67" s="1"/>
  <c r="BH15" i="67"/>
  <c r="BG199" i="67"/>
  <c r="CU175" i="1"/>
  <c r="CU272" i="1" s="1"/>
  <c r="CV124" i="1"/>
  <c r="CU151" i="1"/>
  <c r="CT170" i="1"/>
  <c r="CR272" i="1"/>
  <c r="CS175" i="1"/>
  <c r="CS272" i="1" s="1"/>
  <c r="CS116" i="1"/>
  <c r="BH142" i="67"/>
  <c r="BH156" i="67"/>
  <c r="BH152" i="67"/>
  <c r="BH144" i="67"/>
  <c r="BH150" i="67"/>
  <c r="BH145" i="67"/>
  <c r="BH154" i="67"/>
  <c r="BH143" i="67"/>
  <c r="BH155" i="67"/>
  <c r="BH140" i="67"/>
  <c r="BH146" i="67"/>
  <c r="BH153" i="67"/>
  <c r="BH141" i="67"/>
  <c r="BH151" i="67"/>
  <c r="BH149" i="67"/>
  <c r="BG6" i="67"/>
  <c r="BI5" i="67"/>
  <c r="BI6" i="67" s="1"/>
  <c r="BI224" i="67"/>
  <c r="BR29" i="67"/>
  <c r="BW33" i="67"/>
  <c r="BW32" i="67" s="1"/>
  <c r="BS37" i="67"/>
  <c r="BW34" i="67"/>
  <c r="BI198" i="67"/>
  <c r="BI211" i="67" s="1"/>
  <c r="CN273" i="1"/>
  <c r="BR232" i="67"/>
  <c r="BN339" i="67"/>
  <c r="BM351" i="67"/>
  <c r="CN97" i="1"/>
  <c r="CS94" i="1"/>
  <c r="CO97" i="1"/>
  <c r="CO98" i="1" s="1"/>
  <c r="CP98" i="1" s="1"/>
  <c r="CQ98" i="1" s="1"/>
  <c r="CR98" i="1" s="1"/>
  <c r="CT98" i="1" s="1"/>
  <c r="CN99" i="1"/>
  <c r="CP96" i="1"/>
  <c r="CQ93" i="1" s="1"/>
  <c r="DA117" i="1"/>
  <c r="DD115" i="1"/>
  <c r="DE226" i="1"/>
  <c r="DC140" i="1"/>
  <c r="DB146" i="1"/>
  <c r="BF212" i="67"/>
  <c r="BF156" i="67"/>
  <c r="BF151" i="67"/>
  <c r="BF143" i="67"/>
  <c r="BF145" i="67"/>
  <c r="BF146" i="67"/>
  <c r="BF13" i="67"/>
  <c r="BF152" i="67"/>
  <c r="BF142" i="67"/>
  <c r="BF144" i="67"/>
  <c r="BF141" i="67"/>
  <c r="BF153" i="67"/>
  <c r="BF150" i="67"/>
  <c r="BF154" i="67"/>
  <c r="BF140" i="67"/>
  <c r="BF155" i="67"/>
  <c r="BS82" i="67"/>
  <c r="BR83" i="67"/>
  <c r="BS83" i="67" s="1"/>
  <c r="CM306" i="1"/>
  <c r="AH192" i="1"/>
  <c r="AH193" i="1" s="1"/>
  <c r="AG194" i="1"/>
  <c r="BJ224" i="67"/>
  <c r="AD194" i="1"/>
  <c r="AE192" i="1"/>
  <c r="AE193" i="1" s="1"/>
  <c r="AE194" i="1" s="1"/>
  <c r="AK194" i="1"/>
  <c r="AL192" i="1"/>
  <c r="BR123" i="67" l="1"/>
  <c r="BR115" i="67" s="1"/>
  <c r="BR116" i="67" s="1"/>
  <c r="BN197" i="67"/>
  <c r="BR234" i="67" s="1"/>
  <c r="BR102" i="67"/>
  <c r="BR93" i="67" s="1"/>
  <c r="BS93" i="67" s="1"/>
  <c r="BS102" i="67" s="1"/>
  <c r="BR331" i="67"/>
  <c r="BR330" i="67" s="1"/>
  <c r="BR332" i="67" s="1"/>
  <c r="BO128" i="67"/>
  <c r="BN61" i="67"/>
  <c r="BS67" i="67"/>
  <c r="CM201" i="1"/>
  <c r="BH212" i="67"/>
  <c r="BR68" i="67"/>
  <c r="BR59" i="67" s="1"/>
  <c r="BR63" i="67"/>
  <c r="BS113" i="67"/>
  <c r="BW110" i="67"/>
  <c r="BW109" i="67"/>
  <c r="DM274" i="1"/>
  <c r="CH7" i="1"/>
  <c r="BS115" i="67"/>
  <c r="BX112" i="67"/>
  <c r="BS106" i="67"/>
  <c r="BN351" i="67"/>
  <c r="CM271" i="1"/>
  <c r="BR107" i="67"/>
  <c r="BS107" i="67" s="1"/>
  <c r="BQ134" i="67"/>
  <c r="BQ125" i="67" s="1"/>
  <c r="CL306" i="1"/>
  <c r="BK128" i="67"/>
  <c r="BK224" i="67"/>
  <c r="BP126" i="67"/>
  <c r="BP128" i="67" s="1"/>
  <c r="BI15" i="67"/>
  <c r="BK15" i="67"/>
  <c r="BG212" i="67"/>
  <c r="CT116" i="1"/>
  <c r="CT176" i="1" s="1"/>
  <c r="CU170" i="1"/>
  <c r="CV151" i="1"/>
  <c r="CV175" i="1"/>
  <c r="CV272" i="1" s="1"/>
  <c r="CW124" i="1"/>
  <c r="CX124" i="1" s="1"/>
  <c r="CN89" i="1"/>
  <c r="CR176" i="1"/>
  <c r="CS176" i="1" s="1"/>
  <c r="BL15" i="67"/>
  <c r="BI7" i="67"/>
  <c r="BG13" i="67"/>
  <c r="CL271" i="1"/>
  <c r="CG6" i="1"/>
  <c r="BG153" i="67"/>
  <c r="BG141" i="67"/>
  <c r="BH225" i="67"/>
  <c r="BH169" i="67"/>
  <c r="CI125" i="1"/>
  <c r="CI142" i="1"/>
  <c r="CH6" i="1"/>
  <c r="CI137" i="1"/>
  <c r="CH298" i="1"/>
  <c r="CI141" i="1"/>
  <c r="BG144" i="67"/>
  <c r="BG152" i="67"/>
  <c r="BG155" i="67"/>
  <c r="BG150" i="67"/>
  <c r="BG145" i="67"/>
  <c r="BG140" i="67"/>
  <c r="BG149" i="67"/>
  <c r="BG151" i="67"/>
  <c r="BG143" i="67"/>
  <c r="BG154" i="67"/>
  <c r="BG146" i="67"/>
  <c r="BG156" i="67"/>
  <c r="BG142" i="67"/>
  <c r="BR31" i="67"/>
  <c r="BS29" i="67"/>
  <c r="BS30" i="67" s="1"/>
  <c r="BS84" i="67"/>
  <c r="CG298" i="1"/>
  <c r="BW99" i="67"/>
  <c r="BW98" i="67"/>
  <c r="CN98" i="1"/>
  <c r="CP97" i="1"/>
  <c r="CP99" i="1" s="1"/>
  <c r="CP90" i="1" s="1"/>
  <c r="CQ96" i="1"/>
  <c r="CR93" i="1" s="1"/>
  <c r="CN306" i="1"/>
  <c r="CL201" i="1"/>
  <c r="CN201" i="1"/>
  <c r="CU98" i="1"/>
  <c r="DC146" i="1"/>
  <c r="DB117" i="1"/>
  <c r="CP123" i="1"/>
  <c r="DD140" i="1"/>
  <c r="DF226" i="1"/>
  <c r="DE115" i="1"/>
  <c r="CF298" i="1"/>
  <c r="CF6" i="1"/>
  <c r="BF225" i="67"/>
  <c r="BF200" i="67"/>
  <c r="BF213" i="67" s="1"/>
  <c r="BX32" i="67"/>
  <c r="BR85" i="67"/>
  <c r="BW88" i="67"/>
  <c r="BS91" i="67"/>
  <c r="BW87" i="67"/>
  <c r="CG7" i="1"/>
  <c r="CF7" i="1"/>
  <c r="AP192" i="1"/>
  <c r="AP193" i="1" s="1"/>
  <c r="AL193" i="1"/>
  <c r="CJ7" i="1"/>
  <c r="BO224" i="67"/>
  <c r="AH194" i="1"/>
  <c r="AI192" i="1"/>
  <c r="AI193" i="1" s="1"/>
  <c r="BX100" i="67" l="1"/>
  <c r="BS330" i="67"/>
  <c r="BS331" i="67" s="1"/>
  <c r="BR164" i="67"/>
  <c r="BR221" i="67" s="1"/>
  <c r="BR337" i="67"/>
  <c r="BR94" i="67"/>
  <c r="CH270" i="1"/>
  <c r="BH200" i="67"/>
  <c r="BR118" i="67"/>
  <c r="BS118" i="67" s="1"/>
  <c r="BS197" i="67" s="1"/>
  <c r="BS116" i="67"/>
  <c r="BS117" i="67" s="1"/>
  <c r="BS63" i="67"/>
  <c r="BW120" i="67"/>
  <c r="BS123" i="67"/>
  <c r="BW119" i="67"/>
  <c r="BW108" i="67"/>
  <c r="DM271" i="1"/>
  <c r="BR60" i="67"/>
  <c r="BS60" i="67" s="1"/>
  <c r="BS59" i="67"/>
  <c r="BL128" i="67"/>
  <c r="BQ167" i="67"/>
  <c r="BQ224" i="67" s="1"/>
  <c r="BQ126" i="67"/>
  <c r="BQ128" i="67" s="1"/>
  <c r="BL224" i="67"/>
  <c r="CK7" i="1"/>
  <c r="CN271" i="1"/>
  <c r="CI120" i="1"/>
  <c r="BI151" i="67"/>
  <c r="CI5" i="1"/>
  <c r="CG270" i="1"/>
  <c r="CU116" i="1"/>
  <c r="CU176" i="1" s="1"/>
  <c r="BG169" i="67"/>
  <c r="BG200" i="67" s="1"/>
  <c r="BG213" i="67" s="1"/>
  <c r="CW175" i="1"/>
  <c r="CW151" i="1"/>
  <c r="CV170" i="1"/>
  <c r="CY124" i="1"/>
  <c r="CZ124" i="1" s="1"/>
  <c r="BI152" i="67"/>
  <c r="CG304" i="1"/>
  <c r="CG13" i="1"/>
  <c r="CG55" i="1" s="1"/>
  <c r="CG239" i="1" s="1"/>
  <c r="CH246" i="1"/>
  <c r="CI118" i="1"/>
  <c r="BH186" i="67"/>
  <c r="BH187" i="67"/>
  <c r="BH177" i="67"/>
  <c r="BH178" i="67"/>
  <c r="BH184" i="67"/>
  <c r="BH175" i="67"/>
  <c r="BH181" i="67"/>
  <c r="BH185" i="67"/>
  <c r="BH176" i="67"/>
  <c r="BH226" i="67"/>
  <c r="CH304" i="1"/>
  <c r="BI168" i="67"/>
  <c r="BI169" i="67" s="1"/>
  <c r="BI226" i="67" s="1"/>
  <c r="BI143" i="67"/>
  <c r="BG225" i="67"/>
  <c r="BN14" i="67"/>
  <c r="BI149" i="67"/>
  <c r="BI146" i="67"/>
  <c r="BI153" i="67"/>
  <c r="BI150" i="67"/>
  <c r="BI144" i="67"/>
  <c r="CL7" i="1"/>
  <c r="BI142" i="67"/>
  <c r="BI13" i="67"/>
  <c r="BI141" i="67"/>
  <c r="BI154" i="67"/>
  <c r="BI145" i="67"/>
  <c r="BI155" i="67"/>
  <c r="BI140" i="67"/>
  <c r="BI156" i="67"/>
  <c r="BS31" i="67"/>
  <c r="CG246" i="1"/>
  <c r="CG205" i="1"/>
  <c r="BW102" i="67"/>
  <c r="BW97" i="67"/>
  <c r="BR333" i="67"/>
  <c r="BS332" i="67"/>
  <c r="CP89" i="1"/>
  <c r="CP187" i="1" s="1"/>
  <c r="CP201" i="1" s="1"/>
  <c r="CQ97" i="1"/>
  <c r="CQ89" i="1" s="1"/>
  <c r="CQ187" i="1" s="1"/>
  <c r="CQ201" i="1" s="1"/>
  <c r="CR96" i="1"/>
  <c r="CS96" i="1" s="1"/>
  <c r="CT93" i="1" s="1"/>
  <c r="CV98" i="1"/>
  <c r="CQ123" i="1"/>
  <c r="DF115" i="1"/>
  <c r="CP165" i="1"/>
  <c r="DD146" i="1"/>
  <c r="DG226" i="1"/>
  <c r="DH226" i="1" s="1"/>
  <c r="DC117" i="1"/>
  <c r="DE140" i="1"/>
  <c r="CF304" i="1"/>
  <c r="CF246" i="1"/>
  <c r="BF174" i="67"/>
  <c r="BF178" i="67"/>
  <c r="BF226" i="67"/>
  <c r="BF175" i="67"/>
  <c r="BF173" i="67"/>
  <c r="BF177" i="67"/>
  <c r="BF176" i="67"/>
  <c r="CF13" i="1"/>
  <c r="CF55" i="1" s="1"/>
  <c r="CF270" i="1"/>
  <c r="BW86" i="67"/>
  <c r="BX86" i="67" s="1"/>
  <c r="BW91" i="67"/>
  <c r="BW82" i="67" s="1"/>
  <c r="CR273" i="1"/>
  <c r="BS85" i="67"/>
  <c r="CI7" i="1"/>
  <c r="CI270" i="1" s="1"/>
  <c r="BM15" i="67"/>
  <c r="CJ270" i="1"/>
  <c r="AI194" i="1"/>
  <c r="AJ192" i="1"/>
  <c r="AJ193" i="1" s="1"/>
  <c r="AJ194" i="1" s="1"/>
  <c r="AL194" i="1"/>
  <c r="AM192" i="1"/>
  <c r="AM193" i="1" s="1"/>
  <c r="AP194" i="1"/>
  <c r="AQ192" i="1"/>
  <c r="CP306" i="1"/>
  <c r="BS337" i="67" l="1"/>
  <c r="BR338" i="67"/>
  <c r="BR96" i="67"/>
  <c r="BS94" i="67"/>
  <c r="BX101" i="67" s="1"/>
  <c r="BR62" i="67"/>
  <c r="BS62" i="67" s="1"/>
  <c r="CS274" i="1" s="1"/>
  <c r="CM7" i="1"/>
  <c r="BN125" i="67"/>
  <c r="BM128" i="67"/>
  <c r="CI205" i="1"/>
  <c r="CI35" i="1"/>
  <c r="CI37" i="1" s="1"/>
  <c r="CI18" i="1"/>
  <c r="CI20" i="1" s="1"/>
  <c r="CI10" i="1"/>
  <c r="BH213" i="67"/>
  <c r="CF69" i="1"/>
  <c r="CF73" i="1" s="1"/>
  <c r="CF77" i="1" s="1"/>
  <c r="CF239" i="1"/>
  <c r="BW65" i="67"/>
  <c r="BS68" i="67"/>
  <c r="BW64" i="67"/>
  <c r="BS61" i="67"/>
  <c r="BX67" i="67"/>
  <c r="BX108" i="67"/>
  <c r="BW123" i="67"/>
  <c r="BW115" i="67" s="1"/>
  <c r="CL270" i="1"/>
  <c r="CK270" i="1"/>
  <c r="CY175" i="1"/>
  <c r="CY272" i="1" s="1"/>
  <c r="CI215" i="1"/>
  <c r="CI225" i="1"/>
  <c r="CI298" i="1"/>
  <c r="CI222" i="1"/>
  <c r="CI209" i="1"/>
  <c r="CI223" i="1"/>
  <c r="CG181" i="1"/>
  <c r="CI210" i="1"/>
  <c r="CI246" i="1" s="1"/>
  <c r="CI224" i="1"/>
  <c r="CI6" i="1"/>
  <c r="CI214" i="1"/>
  <c r="CV116" i="1"/>
  <c r="CI213" i="1"/>
  <c r="BG185" i="67"/>
  <c r="BG184" i="67"/>
  <c r="BG181" i="67"/>
  <c r="BG186" i="67"/>
  <c r="BG187" i="67"/>
  <c r="CZ175" i="1"/>
  <c r="CZ272" i="1" s="1"/>
  <c r="DA124" i="1"/>
  <c r="CY151" i="1"/>
  <c r="CW170" i="1"/>
  <c r="CX170" i="1" s="1"/>
  <c r="CX151" i="1"/>
  <c r="CX175" i="1"/>
  <c r="CX272" i="1" s="1"/>
  <c r="CW272" i="1"/>
  <c r="CG247" i="1"/>
  <c r="CG245" i="1"/>
  <c r="CG14" i="1"/>
  <c r="BI225" i="67"/>
  <c r="BI199" i="67"/>
  <c r="BG176" i="67"/>
  <c r="BG177" i="67"/>
  <c r="BG226" i="67"/>
  <c r="BG178" i="67"/>
  <c r="BG175" i="67"/>
  <c r="BI175" i="67"/>
  <c r="BI176" i="67"/>
  <c r="BI177" i="67"/>
  <c r="BI178" i="67"/>
  <c r="BI200" i="67"/>
  <c r="BI181" i="67"/>
  <c r="BI184" i="67"/>
  <c r="BI186" i="67"/>
  <c r="BI185" i="67"/>
  <c r="BI187" i="67"/>
  <c r="CS273" i="1"/>
  <c r="BS194" i="67"/>
  <c r="BR131" i="67"/>
  <c r="BX97" i="67"/>
  <c r="BN167" i="67"/>
  <c r="BM224" i="67"/>
  <c r="BW93" i="67"/>
  <c r="CQ99" i="1"/>
  <c r="CQ90" i="1" s="1"/>
  <c r="CQ306" i="1" s="1"/>
  <c r="CR97" i="1"/>
  <c r="CR99" i="1" s="1"/>
  <c r="CX93" i="1"/>
  <c r="CT96" i="1"/>
  <c r="CU93" i="1" s="1"/>
  <c r="CO201" i="1"/>
  <c r="CW98" i="1"/>
  <c r="DD117" i="1"/>
  <c r="DE146" i="1"/>
  <c r="CR123" i="1"/>
  <c r="DI226" i="1"/>
  <c r="DG115" i="1"/>
  <c r="DF140" i="1"/>
  <c r="CQ165" i="1"/>
  <c r="CI304" i="1"/>
  <c r="CI216" i="1"/>
  <c r="CF14" i="1"/>
  <c r="CF299" i="1"/>
  <c r="CF56" i="1"/>
  <c r="CF61" i="1"/>
  <c r="CF57" i="1"/>
  <c r="CF302" i="1"/>
  <c r="CF247" i="1"/>
  <c r="CF245" i="1"/>
  <c r="BW83" i="67"/>
  <c r="BX83" i="67" s="1"/>
  <c r="BX82" i="67"/>
  <c r="BN15" i="67"/>
  <c r="AQ193" i="1"/>
  <c r="AU192" i="1"/>
  <c r="AU193" i="1" s="1"/>
  <c r="CO306" i="1"/>
  <c r="AM194" i="1"/>
  <c r="AN192" i="1"/>
  <c r="AN193" i="1" s="1"/>
  <c r="BS338" i="67" l="1"/>
  <c r="BS340" i="67" s="1"/>
  <c r="BR339" i="67"/>
  <c r="BR340" i="67"/>
  <c r="BS95" i="67"/>
  <c r="BS96" i="67"/>
  <c r="CR274" i="1"/>
  <c r="BR130" i="67"/>
  <c r="BR134" i="67" s="1"/>
  <c r="BR125" i="67" s="1"/>
  <c r="BN198" i="67"/>
  <c r="BN211" i="67" s="1"/>
  <c r="BI213" i="67"/>
  <c r="BI212" i="67"/>
  <c r="BN134" i="67"/>
  <c r="BS132" i="67"/>
  <c r="BS133" i="67"/>
  <c r="BN126" i="67"/>
  <c r="BN127" i="67" s="1"/>
  <c r="CF71" i="1"/>
  <c r="CF240" i="1" s="1"/>
  <c r="CF241" i="1" s="1"/>
  <c r="BW63" i="67"/>
  <c r="BW116" i="67"/>
  <c r="BX116" i="67" s="1"/>
  <c r="BX115" i="67"/>
  <c r="CI11" i="1"/>
  <c r="CM270" i="1"/>
  <c r="CG191" i="1"/>
  <c r="CI119" i="1"/>
  <c r="CH13" i="1"/>
  <c r="CI181" i="1"/>
  <c r="CG56" i="1"/>
  <c r="CG58" i="1" s="1"/>
  <c r="CG248" i="1"/>
  <c r="CW116" i="1"/>
  <c r="CX116" i="1" s="1"/>
  <c r="CF207" i="1"/>
  <c r="DA175" i="1"/>
  <c r="DA272" i="1" s="1"/>
  <c r="DB124" i="1"/>
  <c r="DC124" i="1" s="1"/>
  <c r="DD124" i="1" s="1"/>
  <c r="CF248" i="1"/>
  <c r="CZ151" i="1"/>
  <c r="CY170" i="1"/>
  <c r="CV176" i="1"/>
  <c r="CG299" i="1"/>
  <c r="CG18" i="1"/>
  <c r="CG15" i="1"/>
  <c r="CG57" i="1"/>
  <c r="CG303" i="1"/>
  <c r="BM235" i="67"/>
  <c r="BW85" i="67"/>
  <c r="CW273" i="1" s="1"/>
  <c r="CG19" i="1"/>
  <c r="CG206" i="1"/>
  <c r="BN224" i="67"/>
  <c r="BN128" i="67"/>
  <c r="BX93" i="67"/>
  <c r="BW94" i="67"/>
  <c r="BW164" i="67"/>
  <c r="CR89" i="1"/>
  <c r="CR187" i="1" s="1"/>
  <c r="CR201" i="1" s="1"/>
  <c r="CS97" i="1"/>
  <c r="CT97" i="1"/>
  <c r="CR90" i="1"/>
  <c r="CS90" i="1" s="1"/>
  <c r="CS99" i="1"/>
  <c r="CU96" i="1"/>
  <c r="CV93" i="1" s="1"/>
  <c r="CY98" i="1"/>
  <c r="CN7" i="1"/>
  <c r="CN270" i="1" s="1"/>
  <c r="DJ226" i="1"/>
  <c r="CS123" i="1"/>
  <c r="DG140" i="1"/>
  <c r="DH115" i="1"/>
  <c r="CR165" i="1"/>
  <c r="CS165" i="1" s="1"/>
  <c r="DE117" i="1"/>
  <c r="DF146" i="1"/>
  <c r="CF303" i="1"/>
  <c r="CF58" i="1"/>
  <c r="CG60" i="1"/>
  <c r="CG302" i="1"/>
  <c r="CF62" i="1"/>
  <c r="CF301" i="1"/>
  <c r="CF18" i="1"/>
  <c r="CF19" i="1"/>
  <c r="CF15" i="1"/>
  <c r="CB88" i="67"/>
  <c r="CB87" i="67"/>
  <c r="BX91" i="67"/>
  <c r="BX84" i="67"/>
  <c r="AN194" i="1"/>
  <c r="AO192" i="1"/>
  <c r="AO193" i="1" s="1"/>
  <c r="AO194" i="1" s="1"/>
  <c r="AQ194" i="1"/>
  <c r="AR192" i="1"/>
  <c r="AR193" i="1" s="1"/>
  <c r="AU194" i="1"/>
  <c r="AV192" i="1"/>
  <c r="CF269" i="1" l="1"/>
  <c r="BS339" i="67"/>
  <c r="BS351" i="67" s="1"/>
  <c r="BR351" i="67"/>
  <c r="CB120" i="67"/>
  <c r="BX123" i="67"/>
  <c r="CB119" i="67"/>
  <c r="CH55" i="1"/>
  <c r="BW118" i="67"/>
  <c r="BX118" i="67" s="1"/>
  <c r="BX197" i="67" s="1"/>
  <c r="BX63" i="67"/>
  <c r="BX117" i="67"/>
  <c r="CI221" i="1"/>
  <c r="CI247" i="1" s="1"/>
  <c r="CG219" i="1"/>
  <c r="CS89" i="1"/>
  <c r="CW176" i="1"/>
  <c r="CX176" i="1" s="1"/>
  <c r="DB175" i="1"/>
  <c r="DC175" i="1" s="1"/>
  <c r="DC272" i="1" s="1"/>
  <c r="CH247" i="1"/>
  <c r="CH14" i="1"/>
  <c r="CI13" i="1"/>
  <c r="CI14" i="1" s="1"/>
  <c r="CI15" i="1" s="1"/>
  <c r="CI220" i="1"/>
  <c r="CI134" i="1"/>
  <c r="CH245" i="1"/>
  <c r="CI212" i="1"/>
  <c r="CI245" i="1" s="1"/>
  <c r="CI211" i="1"/>
  <c r="CY116" i="1"/>
  <c r="CI126" i="1"/>
  <c r="CJ217" i="1" s="1"/>
  <c r="CZ170" i="1"/>
  <c r="DA151" i="1"/>
  <c r="DD175" i="1"/>
  <c r="DE124" i="1"/>
  <c r="CG20" i="1"/>
  <c r="BX85" i="67"/>
  <c r="CX273" i="1" s="1"/>
  <c r="BS125" i="67"/>
  <c r="BR167" i="67"/>
  <c r="BR126" i="67"/>
  <c r="BW221" i="67"/>
  <c r="BX94" i="67"/>
  <c r="BX95" i="67" s="1"/>
  <c r="BW96" i="67"/>
  <c r="CC100" i="67"/>
  <c r="CB98" i="67"/>
  <c r="CB99" i="67"/>
  <c r="BX102" i="67"/>
  <c r="CS187" i="1"/>
  <c r="CS201" i="1" s="1"/>
  <c r="CS98" i="1"/>
  <c r="CU97" i="1"/>
  <c r="CU99" i="1" s="1"/>
  <c r="CU90" i="1" s="1"/>
  <c r="CX94" i="1"/>
  <c r="CV96" i="1"/>
  <c r="CW93" i="1" s="1"/>
  <c r="CT89" i="1"/>
  <c r="CT99" i="1"/>
  <c r="CT90" i="1" s="1"/>
  <c r="CZ98" i="1"/>
  <c r="DF117" i="1"/>
  <c r="DK226" i="1"/>
  <c r="DH140" i="1"/>
  <c r="DG146" i="1"/>
  <c r="CT123" i="1"/>
  <c r="CT165" i="1" s="1"/>
  <c r="DI115" i="1"/>
  <c r="CG61" i="1"/>
  <c r="CF20" i="1"/>
  <c r="CB91" i="67"/>
  <c r="CB82" i="67" s="1"/>
  <c r="CB86" i="67"/>
  <c r="CC86" i="67" s="1"/>
  <c r="AV193" i="1"/>
  <c r="AZ192" i="1"/>
  <c r="AZ193" i="1" s="1"/>
  <c r="AS192" i="1"/>
  <c r="AS193" i="1" s="1"/>
  <c r="AR194" i="1"/>
  <c r="CB123" i="67" l="1"/>
  <c r="CB115" i="67" s="1"/>
  <c r="CH239" i="1"/>
  <c r="CH57" i="1"/>
  <c r="CH56" i="1"/>
  <c r="CI55" i="1"/>
  <c r="CH299" i="1"/>
  <c r="CH15" i="1"/>
  <c r="CI248" i="1"/>
  <c r="DB272" i="1"/>
  <c r="CH303" i="1"/>
  <c r="CH248" i="1"/>
  <c r="CH302" i="1"/>
  <c r="CH60" i="1"/>
  <c r="DE175" i="1"/>
  <c r="DE272" i="1" s="1"/>
  <c r="DF124" i="1"/>
  <c r="CZ116" i="1"/>
  <c r="CZ176" i="1" s="1"/>
  <c r="DD272" i="1"/>
  <c r="DA170" i="1"/>
  <c r="DB151" i="1"/>
  <c r="CY176" i="1"/>
  <c r="BJ386" i="67"/>
  <c r="BX133" i="67"/>
  <c r="BX194" i="67"/>
  <c r="BX96" i="67"/>
  <c r="CC101" i="67"/>
  <c r="BS126" i="67"/>
  <c r="BS127" i="67" s="1"/>
  <c r="BR128" i="67"/>
  <c r="BR224" i="67"/>
  <c r="CB97" i="67"/>
  <c r="CB102" i="67"/>
  <c r="BS134" i="67"/>
  <c r="BW130" i="67"/>
  <c r="BW131" i="67"/>
  <c r="CU89" i="1"/>
  <c r="CU187" i="1" s="1"/>
  <c r="CU201" i="1" s="1"/>
  <c r="CV97" i="1"/>
  <c r="CT187" i="1"/>
  <c r="CW96" i="1"/>
  <c r="CX96" i="1" s="1"/>
  <c r="CY93" i="1" s="1"/>
  <c r="DA98" i="1"/>
  <c r="DI140" i="1"/>
  <c r="DJ115" i="1"/>
  <c r="DH146" i="1"/>
  <c r="DG117" i="1"/>
  <c r="DL226" i="1"/>
  <c r="CU123" i="1"/>
  <c r="CU165" i="1" s="1"/>
  <c r="CG62" i="1"/>
  <c r="CG301" i="1"/>
  <c r="CB83" i="67"/>
  <c r="CC83" i="67" s="1"/>
  <c r="CC82" i="67"/>
  <c r="CI206" i="1"/>
  <c r="CI303" i="1"/>
  <c r="AV194" i="1"/>
  <c r="AW192" i="1"/>
  <c r="AW193" i="1" s="1"/>
  <c r="AT192" i="1"/>
  <c r="AT193" i="1" s="1"/>
  <c r="AT194" i="1" s="1"/>
  <c r="AS194" i="1"/>
  <c r="BA192" i="1"/>
  <c r="AZ194" i="1"/>
  <c r="CR306" i="1"/>
  <c r="CS306" i="1"/>
  <c r="CT306" i="1"/>
  <c r="CH219" i="1" l="1"/>
  <c r="CC115" i="67"/>
  <c r="CB116" i="67"/>
  <c r="CC116" i="67" s="1"/>
  <c r="CI239" i="1"/>
  <c r="CI56" i="1"/>
  <c r="CI58" i="1" s="1"/>
  <c r="CI57" i="1"/>
  <c r="CI299" i="1"/>
  <c r="CI251" i="1"/>
  <c r="CH58" i="1"/>
  <c r="CH61" i="1"/>
  <c r="CI217" i="1"/>
  <c r="CI218" i="1"/>
  <c r="CI60" i="1"/>
  <c r="CI61" i="1" s="1"/>
  <c r="CI302" i="1"/>
  <c r="DA116" i="1"/>
  <c r="DC151" i="1"/>
  <c r="DD151" i="1"/>
  <c r="DB170" i="1"/>
  <c r="DC170" i="1" s="1"/>
  <c r="DF175" i="1"/>
  <c r="DG124" i="1"/>
  <c r="DH124" i="1" s="1"/>
  <c r="CB93" i="67"/>
  <c r="CC97" i="67"/>
  <c r="BS128" i="67"/>
  <c r="CY96" i="1"/>
  <c r="CZ93" i="1" s="1"/>
  <c r="DC93" i="1"/>
  <c r="CT201" i="1"/>
  <c r="CW97" i="1"/>
  <c r="CV89" i="1"/>
  <c r="CV99" i="1"/>
  <c r="DB98" i="1"/>
  <c r="DH117" i="1"/>
  <c r="DI146" i="1"/>
  <c r="DK115" i="1"/>
  <c r="DJ140" i="1"/>
  <c r="CV123" i="1"/>
  <c r="CV165" i="1" s="1"/>
  <c r="DM226" i="1"/>
  <c r="CJ60" i="1"/>
  <c r="CB85" i="67"/>
  <c r="DB273" i="1" s="1"/>
  <c r="CC91" i="67"/>
  <c r="CG87" i="67"/>
  <c r="CG88" i="67"/>
  <c r="CC84" i="67"/>
  <c r="BA193" i="1"/>
  <c r="BE192" i="1"/>
  <c r="BE193" i="1" s="1"/>
  <c r="AX192" i="1"/>
  <c r="AX193" i="1" s="1"/>
  <c r="AW194" i="1"/>
  <c r="CB118" i="67" l="1"/>
  <c r="CC118" i="67" s="1"/>
  <c r="CC197" i="67" s="1"/>
  <c r="CH234" i="1"/>
  <c r="CI285" i="1"/>
  <c r="CC117" i="67"/>
  <c r="CG120" i="67"/>
  <c r="CC123" i="67"/>
  <c r="CG119" i="67"/>
  <c r="CH301" i="1"/>
  <c r="CH62" i="1"/>
  <c r="DG175" i="1"/>
  <c r="DG272" i="1" s="1"/>
  <c r="CI219" i="1"/>
  <c r="DI124" i="1"/>
  <c r="DJ124" i="1" s="1"/>
  <c r="DB116" i="1"/>
  <c r="DC116" i="1" s="1"/>
  <c r="DF272" i="1"/>
  <c r="DE151" i="1"/>
  <c r="DD170" i="1"/>
  <c r="DA176" i="1"/>
  <c r="CC85" i="67"/>
  <c r="CB164" i="67"/>
  <c r="CC93" i="67"/>
  <c r="CB94" i="67"/>
  <c r="CY97" i="1"/>
  <c r="CY99" i="1" s="1"/>
  <c r="CY90" i="1" s="1"/>
  <c r="CV90" i="1"/>
  <c r="CV306" i="1" s="1"/>
  <c r="CV187" i="1"/>
  <c r="CX97" i="1"/>
  <c r="CW89" i="1"/>
  <c r="CW187" i="1" s="1"/>
  <c r="CW201" i="1" s="1"/>
  <c r="CW99" i="1"/>
  <c r="CW90" i="1" s="1"/>
  <c r="CZ96" i="1"/>
  <c r="DA93" i="1" s="1"/>
  <c r="DD98" i="1"/>
  <c r="DL115" i="1"/>
  <c r="CW123" i="1"/>
  <c r="CW165" i="1" s="1"/>
  <c r="CX165" i="1" s="1"/>
  <c r="DK140" i="1"/>
  <c r="DJ146" i="1"/>
  <c r="DI117" i="1"/>
  <c r="CI62" i="1"/>
  <c r="CI301" i="1"/>
  <c r="CG91" i="67"/>
  <c r="CG82" i="67" s="1"/>
  <c r="CG86" i="67"/>
  <c r="CH86" i="67" s="1"/>
  <c r="AX194" i="1"/>
  <c r="AY192" i="1"/>
  <c r="AY193" i="1" s="1"/>
  <c r="AY194" i="1" s="1"/>
  <c r="CU306" i="1"/>
  <c r="BF192" i="1"/>
  <c r="BE194" i="1"/>
  <c r="BB192" i="1"/>
  <c r="BB193" i="1" s="1"/>
  <c r="BA194" i="1"/>
  <c r="CG123" i="67" l="1"/>
  <c r="CG115" i="67" s="1"/>
  <c r="CG116" i="67" s="1"/>
  <c r="CH116" i="67" s="1"/>
  <c r="DB176" i="1"/>
  <c r="DC176" i="1" s="1"/>
  <c r="DH175" i="1"/>
  <c r="DH272" i="1" s="1"/>
  <c r="DI175" i="1"/>
  <c r="DI272" i="1" s="1"/>
  <c r="DF151" i="1"/>
  <c r="DE170" i="1"/>
  <c r="DD116" i="1"/>
  <c r="DJ175" i="1"/>
  <c r="DJ272" i="1" s="1"/>
  <c r="DK124" i="1"/>
  <c r="DK175" i="1" s="1"/>
  <c r="DK272" i="1" s="1"/>
  <c r="DC273" i="1"/>
  <c r="CC194" i="67"/>
  <c r="CC94" i="67"/>
  <c r="CC95" i="67" s="1"/>
  <c r="CB96" i="67"/>
  <c r="CG99" i="67"/>
  <c r="CH100" i="67"/>
  <c r="CG98" i="67"/>
  <c r="CC102" i="67"/>
  <c r="CB221" i="67"/>
  <c r="CY89" i="1"/>
  <c r="CY187" i="1" s="1"/>
  <c r="CX89" i="1"/>
  <c r="DC94" i="1"/>
  <c r="CZ97" i="1"/>
  <c r="DA96" i="1"/>
  <c r="DB93" i="1" s="1"/>
  <c r="CV201" i="1"/>
  <c r="CX187" i="1"/>
  <c r="CX201" i="1" s="1"/>
  <c r="CX90" i="1"/>
  <c r="CW306" i="1"/>
  <c r="CX99" i="1"/>
  <c r="CX98" i="1" s="1"/>
  <c r="DE98" i="1"/>
  <c r="DL140" i="1"/>
  <c r="DK146" i="1"/>
  <c r="CX123" i="1"/>
  <c r="DM115" i="1"/>
  <c r="DJ117" i="1"/>
  <c r="CG83" i="67"/>
  <c r="CH83" i="67" s="1"/>
  <c r="CH82" i="67"/>
  <c r="BJ192" i="1"/>
  <c r="BJ193" i="1" s="1"/>
  <c r="BF193" i="1"/>
  <c r="BB194" i="1"/>
  <c r="BC192" i="1"/>
  <c r="BC193" i="1" s="1"/>
  <c r="CH115" i="67" l="1"/>
  <c r="CH117" i="67" s="1"/>
  <c r="CG118" i="67"/>
  <c r="CH118" i="67" s="1"/>
  <c r="CH197" i="67" s="1"/>
  <c r="CH123" i="67"/>
  <c r="CX306" i="1"/>
  <c r="DF170" i="1"/>
  <c r="DG151" i="1"/>
  <c r="DE116" i="1"/>
  <c r="DE176" i="1" s="1"/>
  <c r="DL124" i="1"/>
  <c r="DM124" i="1" s="1"/>
  <c r="DD176" i="1"/>
  <c r="CG85" i="67"/>
  <c r="CH85" i="67" s="1"/>
  <c r="CC96" i="67"/>
  <c r="CH101" i="67"/>
  <c r="CG97" i="67"/>
  <c r="CG102" i="67"/>
  <c r="DA97" i="1"/>
  <c r="DA89" i="1" s="1"/>
  <c r="DA187" i="1" s="1"/>
  <c r="DA201" i="1" s="1"/>
  <c r="CY201" i="1"/>
  <c r="CZ89" i="1"/>
  <c r="CZ99" i="1"/>
  <c r="DB96" i="1"/>
  <c r="DC96" i="1" s="1"/>
  <c r="DD93" i="1" s="1"/>
  <c r="DF98" i="1"/>
  <c r="DL146" i="1"/>
  <c r="DK117" i="1"/>
  <c r="CY123" i="1"/>
  <c r="CY165" i="1" s="1"/>
  <c r="DM140" i="1"/>
  <c r="CL88" i="67"/>
  <c r="CH91" i="67"/>
  <c r="CL87" i="67"/>
  <c r="CH84" i="67"/>
  <c r="BF194" i="1"/>
  <c r="BG192" i="1"/>
  <c r="BG193" i="1" s="1"/>
  <c r="BC194" i="1"/>
  <c r="BD192" i="1"/>
  <c r="BD193" i="1" s="1"/>
  <c r="BD194" i="1" s="1"/>
  <c r="BJ194" i="1"/>
  <c r="BK192" i="1"/>
  <c r="CL119" i="67" l="1"/>
  <c r="CL120" i="67"/>
  <c r="DG273" i="1"/>
  <c r="DF116" i="1"/>
  <c r="DF176" i="1" s="1"/>
  <c r="DG170" i="1"/>
  <c r="DH170" i="1" s="1"/>
  <c r="DI151" i="1"/>
  <c r="DH151" i="1"/>
  <c r="DL175" i="1"/>
  <c r="DH273" i="1"/>
  <c r="CH194" i="67"/>
  <c r="CG93" i="67"/>
  <c r="CH97" i="67"/>
  <c r="DA99" i="1"/>
  <c r="DA90" i="1" s="1"/>
  <c r="DA306" i="1" s="1"/>
  <c r="DB97" i="1"/>
  <c r="DB89" i="1" s="1"/>
  <c r="DB187" i="1" s="1"/>
  <c r="DB201" i="1" s="1"/>
  <c r="DH93" i="1"/>
  <c r="DD96" i="1"/>
  <c r="DE93" i="1" s="1"/>
  <c r="CZ90" i="1"/>
  <c r="CZ306" i="1" s="1"/>
  <c r="CZ187" i="1"/>
  <c r="DG98" i="1"/>
  <c r="CZ123" i="1"/>
  <c r="DL117" i="1"/>
  <c r="DM146" i="1"/>
  <c r="CL91" i="67"/>
  <c r="CL82" i="67" s="1"/>
  <c r="CL86" i="67"/>
  <c r="CM86" i="67" s="1"/>
  <c r="BO192" i="1"/>
  <c r="BO193" i="1" s="1"/>
  <c r="BK193" i="1"/>
  <c r="BH192" i="1"/>
  <c r="BH193" i="1" s="1"/>
  <c r="BG194" i="1"/>
  <c r="CY306" i="1"/>
  <c r="CL123" i="67" l="1"/>
  <c r="CL115" i="67" s="1"/>
  <c r="CM115" i="67" s="1"/>
  <c r="CM123" i="67" s="1"/>
  <c r="CL116" i="67"/>
  <c r="DI170" i="1"/>
  <c r="DJ151" i="1"/>
  <c r="DG116" i="1"/>
  <c r="DH116" i="1" s="1"/>
  <c r="DL272" i="1"/>
  <c r="DM175" i="1"/>
  <c r="DM272" i="1" s="1"/>
  <c r="DC97" i="1"/>
  <c r="CG94" i="67"/>
  <c r="CG164" i="67"/>
  <c r="CH93" i="67"/>
  <c r="DB99" i="1"/>
  <c r="DB90" i="1" s="1"/>
  <c r="DC90" i="1" s="1"/>
  <c r="CZ201" i="1"/>
  <c r="DC187" i="1"/>
  <c r="DC201" i="1" s="1"/>
  <c r="DE96" i="1"/>
  <c r="DF93" i="1" s="1"/>
  <c r="DC89" i="1"/>
  <c r="DD97" i="1"/>
  <c r="DI98" i="1"/>
  <c r="DA123" i="1"/>
  <c r="DA165" i="1" s="1"/>
  <c r="DM117" i="1"/>
  <c r="CZ165" i="1"/>
  <c r="CL83" i="67"/>
  <c r="CM83" i="67" s="1"/>
  <c r="CM82" i="67"/>
  <c r="CM91" i="67" s="1"/>
  <c r="BP192" i="1"/>
  <c r="BO194" i="1"/>
  <c r="BH194" i="1"/>
  <c r="BI192" i="1"/>
  <c r="BI193" i="1" s="1"/>
  <c r="BI194" i="1" s="1"/>
  <c r="BK194" i="1"/>
  <c r="BL192" i="1"/>
  <c r="BL193" i="1" s="1"/>
  <c r="CM116" i="67" l="1"/>
  <c r="CM117" i="67" s="1"/>
  <c r="CL118" i="67"/>
  <c r="CM118" i="67" s="1"/>
  <c r="CM197" i="67" s="1"/>
  <c r="DI116" i="1"/>
  <c r="DJ170" i="1"/>
  <c r="DK151" i="1"/>
  <c r="DG176" i="1"/>
  <c r="DH176" i="1" s="1"/>
  <c r="CL85" i="67"/>
  <c r="DL273" i="1" s="1"/>
  <c r="CG96" i="67"/>
  <c r="CH94" i="67"/>
  <c r="CL99" i="67"/>
  <c r="CM100" i="67"/>
  <c r="CH102" i="67"/>
  <c r="CL98" i="67"/>
  <c r="CG221" i="67"/>
  <c r="DC99" i="1"/>
  <c r="DC98" i="1" s="1"/>
  <c r="DH94" i="1"/>
  <c r="DE97" i="1"/>
  <c r="DD89" i="1"/>
  <c r="DD99" i="1"/>
  <c r="DD90" i="1" s="1"/>
  <c r="DF96" i="1"/>
  <c r="DG93" i="1" s="1"/>
  <c r="DJ98" i="1"/>
  <c r="DB123" i="1"/>
  <c r="DB165" i="1" s="1"/>
  <c r="DC165" i="1" s="1"/>
  <c r="CM84" i="67"/>
  <c r="BP193" i="1"/>
  <c r="BT192" i="1"/>
  <c r="BT193" i="1" s="1"/>
  <c r="BL194" i="1"/>
  <c r="BM192" i="1"/>
  <c r="BM193" i="1" s="1"/>
  <c r="DJ116" i="1" l="1"/>
  <c r="DK170" i="1"/>
  <c r="DL151" i="1"/>
  <c r="DI176" i="1"/>
  <c r="CM85" i="67"/>
  <c r="CM194" i="67" s="1"/>
  <c r="CL97" i="67"/>
  <c r="CL102" i="67"/>
  <c r="CM101" i="67"/>
  <c r="CH96" i="67"/>
  <c r="CH95" i="67"/>
  <c r="DG96" i="1"/>
  <c r="DH96" i="1" s="1"/>
  <c r="DI93" i="1" s="1"/>
  <c r="DE89" i="1"/>
  <c r="DE187" i="1" s="1"/>
  <c r="DE201" i="1" s="1"/>
  <c r="DE99" i="1"/>
  <c r="DF97" i="1"/>
  <c r="DD187" i="1"/>
  <c r="DK98" i="1"/>
  <c r="DC123" i="1"/>
  <c r="BM194" i="1"/>
  <c r="BN192" i="1"/>
  <c r="BN193" i="1" s="1"/>
  <c r="BN194" i="1" s="1"/>
  <c r="BU192" i="1"/>
  <c r="BT194" i="1"/>
  <c r="DB306" i="1"/>
  <c r="DC306" i="1"/>
  <c r="BQ192" i="1"/>
  <c r="BQ193" i="1" s="1"/>
  <c r="BP194" i="1"/>
  <c r="DK116" i="1" l="1"/>
  <c r="DK176" i="1" s="1"/>
  <c r="DL170" i="1"/>
  <c r="DM170" i="1" s="1"/>
  <c r="DM151" i="1"/>
  <c r="DJ176" i="1"/>
  <c r="CM97" i="67"/>
  <c r="CL93" i="67"/>
  <c r="DF89" i="1"/>
  <c r="DF99" i="1"/>
  <c r="DF90" i="1" s="1"/>
  <c r="DI96" i="1"/>
  <c r="DJ93" i="1" s="1"/>
  <c r="DM93" i="1"/>
  <c r="DE90" i="1"/>
  <c r="DE306" i="1" s="1"/>
  <c r="DD201" i="1"/>
  <c r="DG97" i="1"/>
  <c r="DL98" i="1"/>
  <c r="DD123" i="1"/>
  <c r="DD165" i="1" s="1"/>
  <c r="BQ194" i="1"/>
  <c r="BR192" i="1"/>
  <c r="BR193" i="1" s="1"/>
  <c r="BU193" i="1"/>
  <c r="BY192" i="1"/>
  <c r="BY193" i="1" s="1"/>
  <c r="DD306" i="1"/>
  <c r="DL116" i="1" l="1"/>
  <c r="DM116" i="1" s="1"/>
  <c r="CL164" i="67"/>
  <c r="CL94" i="67"/>
  <c r="CM93" i="67"/>
  <c r="CM102" i="67" s="1"/>
  <c r="DI97" i="1"/>
  <c r="DI89" i="1" s="1"/>
  <c r="DF187" i="1"/>
  <c r="DJ96" i="1"/>
  <c r="DK93" i="1" s="1"/>
  <c r="DG89" i="1"/>
  <c r="DG187" i="1" s="1"/>
  <c r="DG201" i="1" s="1"/>
  <c r="DG99" i="1"/>
  <c r="DH97" i="1"/>
  <c r="DE123" i="1"/>
  <c r="DE165" i="1" s="1"/>
  <c r="BY194" i="1"/>
  <c r="BZ192" i="1"/>
  <c r="BR194" i="1"/>
  <c r="BS192" i="1"/>
  <c r="BS193" i="1" s="1"/>
  <c r="BS194" i="1" s="1"/>
  <c r="BU194" i="1"/>
  <c r="BV192" i="1"/>
  <c r="BV193" i="1" s="1"/>
  <c r="DL176" i="1" l="1"/>
  <c r="DM176" i="1" s="1"/>
  <c r="DI99" i="1"/>
  <c r="DI90" i="1" s="1"/>
  <c r="CL96" i="67"/>
  <c r="CM94" i="67"/>
  <c r="CL221" i="67"/>
  <c r="DM94" i="1"/>
  <c r="DJ97" i="1"/>
  <c r="DJ99" i="1" s="1"/>
  <c r="DI187" i="1"/>
  <c r="DF201" i="1"/>
  <c r="DH187" i="1"/>
  <c r="DH201" i="1" s="1"/>
  <c r="DK96" i="1"/>
  <c r="DL93" i="1" s="1"/>
  <c r="DG90" i="1"/>
  <c r="DH99" i="1"/>
  <c r="DH98" i="1" s="1"/>
  <c r="DH89" i="1"/>
  <c r="DF123" i="1"/>
  <c r="BV194" i="1"/>
  <c r="BW192" i="1"/>
  <c r="BW193" i="1" s="1"/>
  <c r="CD192" i="1"/>
  <c r="CD193" i="1" s="1"/>
  <c r="BZ193" i="1"/>
  <c r="DF306" i="1"/>
  <c r="CM95" i="67" l="1"/>
  <c r="CM96" i="67"/>
  <c r="DJ89" i="1"/>
  <c r="DJ187" i="1" s="1"/>
  <c r="DJ201" i="1" s="1"/>
  <c r="DK97" i="1"/>
  <c r="DK89" i="1" s="1"/>
  <c r="DJ90" i="1"/>
  <c r="DJ306" i="1" s="1"/>
  <c r="DH90" i="1"/>
  <c r="DH306" i="1" s="1"/>
  <c r="DG306" i="1"/>
  <c r="DL96" i="1"/>
  <c r="DM96" i="1" s="1"/>
  <c r="DI201" i="1"/>
  <c r="DG123" i="1"/>
  <c r="DG165" i="1" s="1"/>
  <c r="DF165" i="1"/>
  <c r="CE192" i="1"/>
  <c r="CD194" i="1"/>
  <c r="BZ194" i="1"/>
  <c r="CA192" i="1"/>
  <c r="CA193" i="1" s="1"/>
  <c r="BW194" i="1"/>
  <c r="BX192" i="1"/>
  <c r="BX193" i="1" s="1"/>
  <c r="BX194" i="1" s="1"/>
  <c r="DL97" i="1" l="1"/>
  <c r="DL99" i="1" s="1"/>
  <c r="DK99" i="1"/>
  <c r="DK90" i="1" s="1"/>
  <c r="DK306" i="1" s="1"/>
  <c r="DK187" i="1"/>
  <c r="DH165" i="1"/>
  <c r="DH123" i="1"/>
  <c r="CA194" i="1"/>
  <c r="CB192" i="1"/>
  <c r="CB193" i="1" s="1"/>
  <c r="DI306" i="1"/>
  <c r="CI192" i="1"/>
  <c r="CE193" i="1"/>
  <c r="DM97" i="1" l="1"/>
  <c r="DL89" i="1"/>
  <c r="DL90" i="1"/>
  <c r="DM90" i="1" s="1"/>
  <c r="DM306" i="1" s="1"/>
  <c r="DM99" i="1"/>
  <c r="DK201" i="1"/>
  <c r="DI123" i="1"/>
  <c r="CB194" i="1"/>
  <c r="CC192" i="1"/>
  <c r="CC193" i="1" s="1"/>
  <c r="CC194" i="1" s="1"/>
  <c r="CF192" i="1"/>
  <c r="CE194" i="1"/>
  <c r="DM98" i="1" l="1"/>
  <c r="DL187" i="1"/>
  <c r="DM89" i="1"/>
  <c r="DL306" i="1"/>
  <c r="DJ123" i="1"/>
  <c r="DI165" i="1"/>
  <c r="DL201" i="1" l="1"/>
  <c r="DM187" i="1"/>
  <c r="DM201" i="1" s="1"/>
  <c r="DK123" i="1"/>
  <c r="DJ165" i="1"/>
  <c r="DL123" i="1" l="1"/>
  <c r="DL165" i="1" s="1"/>
  <c r="DK165" i="1"/>
  <c r="DM165" i="1" l="1"/>
  <c r="DM123" i="1"/>
  <c r="CF227" i="1" l="1"/>
  <c r="CF200" i="1"/>
  <c r="CF79" i="1"/>
  <c r="CF85" i="1"/>
  <c r="CF80" i="1" l="1"/>
  <c r="CF87" i="1"/>
  <c r="CF152" i="1" l="1"/>
  <c r="CF138" i="1" l="1"/>
  <c r="CF229" i="1"/>
  <c r="CF232" i="1" l="1"/>
  <c r="CG232" i="1"/>
  <c r="CF121" i="1"/>
  <c r="CF230" i="1"/>
  <c r="CG233" i="1" s="1"/>
  <c r="CF143" i="1"/>
  <c r="CF231" i="1" l="1"/>
  <c r="CF305" i="1" s="1"/>
  <c r="CF233" i="1"/>
  <c r="CF191" i="1"/>
  <c r="CF130" i="1"/>
  <c r="CF236" i="1" s="1"/>
  <c r="CF154" i="1"/>
  <c r="CF234" i="1" l="1"/>
  <c r="CF193" i="1"/>
  <c r="CG192" i="1" s="1"/>
  <c r="CG193" i="1" s="1"/>
  <c r="CF156" i="1"/>
  <c r="CF322" i="1"/>
  <c r="CF194" i="1" l="1"/>
  <c r="CF242" i="1"/>
  <c r="BJ4" i="67" l="1"/>
  <c r="BJ5" i="67"/>
  <c r="BJ216" i="67" l="1"/>
  <c r="BJ6" i="67"/>
  <c r="BJ7" i="67"/>
  <c r="BJ20" i="67"/>
  <c r="BJ199" i="67" l="1"/>
  <c r="BJ212" i="67" s="1"/>
  <c r="CJ5" i="1"/>
  <c r="CO271" i="1"/>
  <c r="BJ13" i="67"/>
  <c r="BJ141" i="67"/>
  <c r="BJ155" i="67"/>
  <c r="BJ142" i="67"/>
  <c r="BJ154" i="67"/>
  <c r="BJ150" i="67"/>
  <c r="BJ153" i="67"/>
  <c r="BJ145" i="67"/>
  <c r="BJ143" i="67"/>
  <c r="BJ156" i="67"/>
  <c r="BJ151" i="67"/>
  <c r="BJ152" i="67"/>
  <c r="BJ144" i="67"/>
  <c r="BJ140" i="67"/>
  <c r="BJ146" i="67"/>
  <c r="BJ149" i="67"/>
  <c r="CJ10" i="1" l="1"/>
  <c r="CJ223" i="1"/>
  <c r="CJ215" i="1"/>
  <c r="CJ210" i="1"/>
  <c r="CJ225" i="1"/>
  <c r="CJ214" i="1"/>
  <c r="CJ209" i="1"/>
  <c r="CJ224" i="1"/>
  <c r="CJ208" i="1"/>
  <c r="CJ216" i="1"/>
  <c r="CJ205" i="1"/>
  <c r="CJ213" i="1"/>
  <c r="CJ222" i="1"/>
  <c r="CJ219" i="1"/>
  <c r="BO15" i="67"/>
  <c r="BK5" i="67"/>
  <c r="BK4" i="67"/>
  <c r="CJ6" i="1"/>
  <c r="CJ298" i="1"/>
  <c r="BJ169" i="67"/>
  <c r="CJ55" i="1" s="1"/>
  <c r="BJ225" i="67"/>
  <c r="BN17" i="67"/>
  <c r="BR21" i="67" s="1"/>
  <c r="BR22" i="67" s="1"/>
  <c r="CJ11" i="1" l="1"/>
  <c r="CO7" i="1"/>
  <c r="CO270" i="1" s="1"/>
  <c r="BM216" i="67"/>
  <c r="BL216" i="67"/>
  <c r="BK216" i="67"/>
  <c r="BK20" i="67"/>
  <c r="CJ13" i="1"/>
  <c r="CJ17" i="1" s="1"/>
  <c r="BK7" i="67"/>
  <c r="CJ181" i="1"/>
  <c r="BN159" i="67"/>
  <c r="CJ302" i="1"/>
  <c r="BJ187" i="67"/>
  <c r="BJ176" i="67"/>
  <c r="BJ200" i="67"/>
  <c r="BJ177" i="67"/>
  <c r="BJ178" i="67"/>
  <c r="BJ175" i="67"/>
  <c r="BJ186" i="67"/>
  <c r="BJ184" i="67"/>
  <c r="BJ226" i="67"/>
  <c r="BJ185" i="67"/>
  <c r="BJ181" i="67"/>
  <c r="CJ246" i="1"/>
  <c r="BK6" i="67"/>
  <c r="BL20" i="67"/>
  <c r="CJ304" i="1"/>
  <c r="BR23" i="67"/>
  <c r="BN26" i="67"/>
  <c r="BN190" i="67" l="1"/>
  <c r="BN203" i="67" s="1"/>
  <c r="BK199" i="67"/>
  <c r="CK5" i="1"/>
  <c r="CJ206" i="1"/>
  <c r="CJ56" i="1"/>
  <c r="BN18" i="67"/>
  <c r="BR24" i="67"/>
  <c r="BP10" i="67"/>
  <c r="BP9" i="67"/>
  <c r="BQ24" i="67"/>
  <c r="BQ26" i="67" s="1"/>
  <c r="BQ17" i="67" s="1"/>
  <c r="BQ159" i="67" s="1"/>
  <c r="BQ216" i="67" s="1"/>
  <c r="BJ213" i="67"/>
  <c r="BP24" i="67"/>
  <c r="BP26" i="67" s="1"/>
  <c r="BP17" i="67" s="1"/>
  <c r="CJ303" i="1"/>
  <c r="BK149" i="67"/>
  <c r="BK13" i="67"/>
  <c r="BN216" i="67"/>
  <c r="CJ247" i="1"/>
  <c r="CJ57" i="1"/>
  <c r="CJ299" i="1"/>
  <c r="CJ245" i="1"/>
  <c r="BK144" i="67"/>
  <c r="BK150" i="67"/>
  <c r="BK151" i="67"/>
  <c r="BK145" i="67"/>
  <c r="BK154" i="67"/>
  <c r="BK141" i="67"/>
  <c r="BK143" i="67"/>
  <c r="BK146" i="67"/>
  <c r="BK140" i="67"/>
  <c r="BK156" i="67"/>
  <c r="BK153" i="67"/>
  <c r="BK155" i="67"/>
  <c r="BK142" i="67"/>
  <c r="BK152" i="67"/>
  <c r="CJ14" i="1"/>
  <c r="CK205" i="1" l="1"/>
  <c r="CK223" i="1"/>
  <c r="CP223" i="1" s="1"/>
  <c r="CU223" i="1" s="1"/>
  <c r="CZ223" i="1" s="1"/>
  <c r="DE223" i="1" s="1"/>
  <c r="DJ223" i="1" s="1"/>
  <c r="CK225" i="1"/>
  <c r="CP225" i="1" s="1"/>
  <c r="CU225" i="1" s="1"/>
  <c r="CZ225" i="1" s="1"/>
  <c r="DE225" i="1" s="1"/>
  <c r="DJ225" i="1" s="1"/>
  <c r="CK210" i="1"/>
  <c r="CK224" i="1"/>
  <c r="CK214" i="1"/>
  <c r="CP214" i="1" s="1"/>
  <c r="CU214" i="1" s="1"/>
  <c r="CZ214" i="1" s="1"/>
  <c r="DE214" i="1" s="1"/>
  <c r="DJ214" i="1" s="1"/>
  <c r="CK209" i="1"/>
  <c r="CP209" i="1" s="1"/>
  <c r="CU209" i="1" s="1"/>
  <c r="CZ209" i="1" s="1"/>
  <c r="DE209" i="1" s="1"/>
  <c r="DJ209" i="1" s="1"/>
  <c r="CK208" i="1"/>
  <c r="CK222" i="1"/>
  <c r="CP222" i="1" s="1"/>
  <c r="CU222" i="1" s="1"/>
  <c r="CZ222" i="1" s="1"/>
  <c r="DE222" i="1" s="1"/>
  <c r="DJ222" i="1" s="1"/>
  <c r="CK10" i="1"/>
  <c r="CK216" i="1"/>
  <c r="CP216" i="1" s="1"/>
  <c r="CK213" i="1"/>
  <c r="CP213" i="1" s="1"/>
  <c r="CU213" i="1" s="1"/>
  <c r="CZ213" i="1" s="1"/>
  <c r="DE213" i="1" s="1"/>
  <c r="DJ213" i="1" s="1"/>
  <c r="CK215" i="1"/>
  <c r="BN19" i="67"/>
  <c r="BN20" i="67"/>
  <c r="CJ61" i="1"/>
  <c r="CJ62" i="1" s="1"/>
  <c r="CJ239" i="1"/>
  <c r="BP15" i="67"/>
  <c r="CP7" i="1" s="1"/>
  <c r="CP270" i="1" s="1"/>
  <c r="BQ18" i="67"/>
  <c r="BQ20" i="67" s="1"/>
  <c r="CJ58" i="1"/>
  <c r="CJ15" i="1"/>
  <c r="BS24" i="67"/>
  <c r="BP11" i="67"/>
  <c r="CP271" i="1" s="1"/>
  <c r="BP18" i="67"/>
  <c r="BP4" i="67"/>
  <c r="CJ248" i="1"/>
  <c r="CK6" i="1"/>
  <c r="CK298" i="1"/>
  <c r="BK225" i="67"/>
  <c r="CJ19" i="1"/>
  <c r="CJ18" i="1"/>
  <c r="CK60" i="1"/>
  <c r="CK219" i="1" s="1"/>
  <c r="CK11" i="1" l="1"/>
  <c r="CP10" i="1"/>
  <c r="CU10" i="1" s="1"/>
  <c r="CZ10" i="1" s="1"/>
  <c r="DE10" i="1" s="1"/>
  <c r="DJ10" i="1" s="1"/>
  <c r="CJ301" i="1"/>
  <c r="CK13" i="1"/>
  <c r="CK17" i="1" s="1"/>
  <c r="CK206" i="1" s="1"/>
  <c r="CJ20" i="1"/>
  <c r="BP20" i="67"/>
  <c r="BP5" i="67"/>
  <c r="CO212" i="1"/>
  <c r="CO245" i="1" s="1"/>
  <c r="CO221" i="1"/>
  <c r="CO247" i="1" s="1"/>
  <c r="CO304" i="1"/>
  <c r="BK185" i="67"/>
  <c r="BK175" i="67"/>
  <c r="BK184" i="67"/>
  <c r="BK176" i="67"/>
  <c r="BK178" i="67"/>
  <c r="BK177" i="67"/>
  <c r="BK186" i="67"/>
  <c r="BK187" i="67"/>
  <c r="BK200" i="67"/>
  <c r="BK213" i="67" s="1"/>
  <c r="BK226" i="67"/>
  <c r="BK181" i="67"/>
  <c r="CK302" i="1"/>
  <c r="CK304" i="1"/>
  <c r="CK246" i="1"/>
  <c r="BT68" i="67" l="1"/>
  <c r="BT59" i="67" s="1"/>
  <c r="CK57" i="1"/>
  <c r="CK56" i="1"/>
  <c r="CK58" i="1" s="1"/>
  <c r="CK14" i="1"/>
  <c r="CK15" i="1" s="1"/>
  <c r="CK239" i="1"/>
  <c r="BP6" i="67"/>
  <c r="BP7" i="67"/>
  <c r="CK247" i="1"/>
  <c r="CL60" i="1"/>
  <c r="CK245" i="1"/>
  <c r="CK181" i="1"/>
  <c r="CK299" i="1"/>
  <c r="CK61" i="1"/>
  <c r="CK234" i="1" s="1"/>
  <c r="BT37" i="67" l="1"/>
  <c r="BT28" i="67" s="1"/>
  <c r="BY59" i="67"/>
  <c r="BT60" i="67"/>
  <c r="BU8" i="67"/>
  <c r="BU9" i="67"/>
  <c r="BP156" i="67"/>
  <c r="BP153" i="67"/>
  <c r="BU10" i="67"/>
  <c r="CP5" i="1"/>
  <c r="BP146" i="67"/>
  <c r="BP144" i="67"/>
  <c r="BP154" i="67"/>
  <c r="BP141" i="67"/>
  <c r="BP149" i="67"/>
  <c r="BP13" i="67"/>
  <c r="BP12" i="67" s="1"/>
  <c r="BP140" i="67"/>
  <c r="BP145" i="67"/>
  <c r="BP151" i="67"/>
  <c r="BP142" i="67"/>
  <c r="BP155" i="67"/>
  <c r="BP143" i="67"/>
  <c r="BP152" i="67"/>
  <c r="BP150" i="67"/>
  <c r="CK303" i="1"/>
  <c r="CK19" i="1"/>
  <c r="CK18" i="1"/>
  <c r="CK62" i="1"/>
  <c r="CK301" i="1"/>
  <c r="CO19" i="1"/>
  <c r="CK248" i="1"/>
  <c r="BT62" i="67" l="1"/>
  <c r="CD59" i="67"/>
  <c r="BY60" i="67"/>
  <c r="BY62" i="67" s="1"/>
  <c r="CY274" i="1" s="1"/>
  <c r="BT29" i="67"/>
  <c r="BT31" i="67" s="1"/>
  <c r="BY28" i="67"/>
  <c r="BU15" i="67"/>
  <c r="CU7" i="1" s="1"/>
  <c r="CU270" i="1" s="1"/>
  <c r="CK20" i="1"/>
  <c r="CP178" i="1"/>
  <c r="CP141" i="1"/>
  <c r="CP9" i="1"/>
  <c r="CP125" i="1"/>
  <c r="CP180" i="1" s="1"/>
  <c r="CP137" i="1"/>
  <c r="CP6" i="1"/>
  <c r="CP298" i="1"/>
  <c r="CP118" i="1"/>
  <c r="CP210" i="1" s="1"/>
  <c r="CP246" i="1" s="1"/>
  <c r="CP120" i="1"/>
  <c r="BY29" i="67" l="1"/>
  <c r="CD28" i="67"/>
  <c r="CI59" i="67"/>
  <c r="CD60" i="67"/>
  <c r="CD62" i="67" s="1"/>
  <c r="DD274" i="1" s="1"/>
  <c r="CT274" i="1"/>
  <c r="CP181" i="1"/>
  <c r="CP215" i="1"/>
  <c r="CP304" i="1"/>
  <c r="CP205" i="1"/>
  <c r="CP13" i="1"/>
  <c r="CP14" i="1" s="1"/>
  <c r="CP15" i="1" s="1"/>
  <c r="CP134" i="1"/>
  <c r="CP221" i="1" s="1"/>
  <c r="CP247" i="1" s="1"/>
  <c r="CP119" i="1"/>
  <c r="BU68" i="67" l="1"/>
  <c r="BU59" i="67" s="1"/>
  <c r="BU134" i="67"/>
  <c r="BU125" i="67" s="1"/>
  <c r="CI28" i="67"/>
  <c r="CD29" i="67"/>
  <c r="CD31" i="67" s="1"/>
  <c r="BU113" i="67"/>
  <c r="BU104" i="67" s="1"/>
  <c r="CI60" i="67"/>
  <c r="CI62" i="67" s="1"/>
  <c r="DI274" i="1" s="1"/>
  <c r="BY31" i="67"/>
  <c r="CP212" i="1"/>
  <c r="CP245" i="1" s="1"/>
  <c r="CP248" i="1" s="1"/>
  <c r="CP171" i="1"/>
  <c r="CP303" i="1" s="1"/>
  <c r="BU37" i="67" l="1"/>
  <c r="BU28" i="67" s="1"/>
  <c r="BU24" i="67"/>
  <c r="BU105" i="67"/>
  <c r="BU107" i="67" s="1"/>
  <c r="BZ104" i="67"/>
  <c r="CI29" i="67"/>
  <c r="BU126" i="67"/>
  <c r="BZ125" i="67"/>
  <c r="BZ59" i="67"/>
  <c r="BU60" i="67"/>
  <c r="BU62" i="67" s="1"/>
  <c r="CU274" i="1" l="1"/>
  <c r="CE125" i="67"/>
  <c r="BZ126" i="67"/>
  <c r="BZ60" i="67"/>
  <c r="BZ62" i="67" s="1"/>
  <c r="CE59" i="67"/>
  <c r="BU128" i="67"/>
  <c r="BU26" i="67"/>
  <c r="BU17" i="67" s="1"/>
  <c r="BU11" i="67"/>
  <c r="CU271" i="1" s="1"/>
  <c r="CI31" i="67"/>
  <c r="BZ105" i="67"/>
  <c r="BZ107" i="67" s="1"/>
  <c r="CE104" i="67"/>
  <c r="BU29" i="67"/>
  <c r="BU31" i="67" s="1"/>
  <c r="BZ28" i="67"/>
  <c r="BU4" i="67" l="1"/>
  <c r="BU18" i="67"/>
  <c r="CJ104" i="67"/>
  <c r="CE105" i="67"/>
  <c r="CE107" i="67" s="1"/>
  <c r="CE28" i="67"/>
  <c r="BZ29" i="67"/>
  <c r="CE60" i="67"/>
  <c r="CE62" i="67" s="1"/>
  <c r="DE274" i="1" s="1"/>
  <c r="CJ59" i="67"/>
  <c r="BZ128" i="67"/>
  <c r="CZ274" i="1"/>
  <c r="CE126" i="67"/>
  <c r="CJ125" i="67"/>
  <c r="BZ31" i="67" l="1"/>
  <c r="CJ105" i="67"/>
  <c r="CJ107" i="67" s="1"/>
  <c r="CJ126" i="67"/>
  <c r="CJ128" i="67" s="1"/>
  <c r="CJ60" i="67"/>
  <c r="CJ62" i="67" s="1"/>
  <c r="DJ274" i="1" s="1"/>
  <c r="CE29" i="67"/>
  <c r="CE31" i="67" s="1"/>
  <c r="CJ28" i="67"/>
  <c r="CE128" i="67"/>
  <c r="BU20" i="67"/>
  <c r="BU5" i="67"/>
  <c r="BU6" i="67" s="1"/>
  <c r="BU7" i="67" l="1"/>
  <c r="BZ9" i="67" s="1"/>
  <c r="CJ29" i="67"/>
  <c r="CJ31" i="67" s="1"/>
  <c r="BZ24" i="67"/>
  <c r="BZ10" i="67" l="1"/>
  <c r="BZ15" i="67" s="1"/>
  <c r="CZ7" i="1" s="1"/>
  <c r="CZ270" i="1" s="1"/>
  <c r="BU141" i="67"/>
  <c r="BU142" i="67"/>
  <c r="BU13" i="67"/>
  <c r="BU12" i="67" s="1"/>
  <c r="CU5" i="1"/>
  <c r="CU120" i="1" s="1"/>
  <c r="BU152" i="67"/>
  <c r="BU155" i="67"/>
  <c r="BU151" i="67"/>
  <c r="BU146" i="67"/>
  <c r="BU143" i="67"/>
  <c r="BZ8" i="67"/>
  <c r="BU150" i="67"/>
  <c r="BU144" i="67"/>
  <c r="BU156" i="67"/>
  <c r="BU149" i="67"/>
  <c r="BU140" i="67"/>
  <c r="BU154" i="67"/>
  <c r="BU145" i="67"/>
  <c r="BU153" i="67"/>
  <c r="BZ26" i="67"/>
  <c r="BZ17" i="67" s="1"/>
  <c r="BZ11" i="67"/>
  <c r="CZ271" i="1" s="1"/>
  <c r="CU118" i="1" l="1"/>
  <c r="CU210" i="1" s="1"/>
  <c r="CU246" i="1" s="1"/>
  <c r="CU125" i="1"/>
  <c r="CU178" i="1"/>
  <c r="CU304" i="1" s="1"/>
  <c r="CU141" i="1"/>
  <c r="CU9" i="1"/>
  <c r="CU13" i="1" s="1"/>
  <c r="CU14" i="1" s="1"/>
  <c r="CU15" i="1" s="1"/>
  <c r="CU6" i="1"/>
  <c r="CU298" i="1"/>
  <c r="CU137" i="1"/>
  <c r="BZ18" i="67"/>
  <c r="BZ4" i="67"/>
  <c r="CU119" i="1" l="1"/>
  <c r="CU212" i="1" s="1"/>
  <c r="CU245" i="1" s="1"/>
  <c r="CU215" i="1"/>
  <c r="CU134" i="1"/>
  <c r="CU221" i="1" s="1"/>
  <c r="CU247" i="1" s="1"/>
  <c r="CU205" i="1"/>
  <c r="BZ20" i="67"/>
  <c r="BZ5" i="67"/>
  <c r="BZ6" i="67" s="1"/>
  <c r="CU248" i="1" l="1"/>
  <c r="BZ7" i="67"/>
  <c r="CE10" i="67" s="1"/>
  <c r="CE24" i="67"/>
  <c r="CE8" i="67" l="1"/>
  <c r="BZ149" i="67"/>
  <c r="CE9" i="67"/>
  <c r="CE15" i="67" s="1"/>
  <c r="DE7" i="1" s="1"/>
  <c r="DE270" i="1" s="1"/>
  <c r="CE26" i="67"/>
  <c r="CE17" i="67" s="1"/>
  <c r="CE11" i="67"/>
  <c r="DE271" i="1" s="1"/>
  <c r="BZ156" i="67"/>
  <c r="BZ142" i="67"/>
  <c r="BZ145" i="67"/>
  <c r="BZ153" i="67"/>
  <c r="CZ5" i="1"/>
  <c r="BZ13" i="67"/>
  <c r="BZ12" i="67" s="1"/>
  <c r="BZ146" i="67"/>
  <c r="BZ143" i="67"/>
  <c r="BZ152" i="67"/>
  <c r="BZ151" i="67"/>
  <c r="BZ144" i="67"/>
  <c r="BZ154" i="67"/>
  <c r="BZ141" i="67"/>
  <c r="BZ155" i="67"/>
  <c r="BZ150" i="67"/>
  <c r="BZ140" i="67"/>
  <c r="CZ298" i="1" l="1"/>
  <c r="CZ141" i="1"/>
  <c r="CZ6" i="1"/>
  <c r="CZ9" i="1"/>
  <c r="CZ125" i="1"/>
  <c r="CZ120" i="1"/>
  <c r="CZ178" i="1"/>
  <c r="CZ137" i="1"/>
  <c r="CZ118" i="1"/>
  <c r="CE4" i="67"/>
  <c r="CE18" i="67"/>
  <c r="CE20" i="67" l="1"/>
  <c r="CE5" i="67"/>
  <c r="CE6" i="67" s="1"/>
  <c r="CZ134" i="1"/>
  <c r="CZ221" i="1" s="1"/>
  <c r="CZ247" i="1" s="1"/>
  <c r="CZ119" i="1"/>
  <c r="CZ212" i="1" s="1"/>
  <c r="CZ245" i="1" s="1"/>
  <c r="CZ205" i="1"/>
  <c r="CZ215" i="1"/>
  <c r="CZ304" i="1"/>
  <c r="CZ210" i="1"/>
  <c r="CZ246" i="1" s="1"/>
  <c r="CZ13" i="1"/>
  <c r="CZ14" i="1" s="1"/>
  <c r="CZ15" i="1" s="1"/>
  <c r="CG69" i="1"/>
  <c r="CE7" i="67" l="1"/>
  <c r="CJ9" i="67" s="1"/>
  <c r="CJ24" i="67"/>
  <c r="CZ248" i="1"/>
  <c r="CG71" i="1"/>
  <c r="CE150" i="67" l="1"/>
  <c r="CE146" i="67"/>
  <c r="CE153" i="67"/>
  <c r="CE152" i="67"/>
  <c r="CJ8" i="67"/>
  <c r="DE5" i="1"/>
  <c r="DE9" i="1" s="1"/>
  <c r="DE13" i="1" s="1"/>
  <c r="DE14" i="1" s="1"/>
  <c r="DE15" i="1" s="1"/>
  <c r="CE144" i="67"/>
  <c r="CE141" i="67"/>
  <c r="CE142" i="67"/>
  <c r="CE149" i="67"/>
  <c r="CE155" i="67"/>
  <c r="CE156" i="67"/>
  <c r="CE151" i="67"/>
  <c r="CE143" i="67"/>
  <c r="CJ10" i="67"/>
  <c r="CJ15" i="67" s="1"/>
  <c r="DJ7" i="1" s="1"/>
  <c r="DJ270" i="1" s="1"/>
  <c r="CE140" i="67"/>
  <c r="CE154" i="67"/>
  <c r="CE145" i="67"/>
  <c r="CE13" i="67"/>
  <c r="CE12" i="67" s="1"/>
  <c r="CJ26" i="67"/>
  <c r="CJ17" i="67" s="1"/>
  <c r="CJ11" i="67"/>
  <c r="DJ271" i="1" s="1"/>
  <c r="CG240" i="1"/>
  <c r="CG241" i="1" s="1"/>
  <c r="CG269" i="1"/>
  <c r="CG207" i="1"/>
  <c r="CG73" i="1"/>
  <c r="DE125" i="1" l="1"/>
  <c r="DE141" i="1"/>
  <c r="DE6" i="1"/>
  <c r="DE118" i="1"/>
  <c r="DE210" i="1" s="1"/>
  <c r="DE246" i="1" s="1"/>
  <c r="DE298" i="1"/>
  <c r="DE137" i="1"/>
  <c r="DE178" i="1"/>
  <c r="DE215" i="1" s="1"/>
  <c r="DE120" i="1"/>
  <c r="CJ18" i="67"/>
  <c r="CJ4" i="67"/>
  <c r="DE134" i="1"/>
  <c r="DE221" i="1" s="1"/>
  <c r="DE247" i="1" s="1"/>
  <c r="DE119" i="1"/>
  <c r="DE212" i="1" s="1"/>
  <c r="DE245" i="1" s="1"/>
  <c r="DE205" i="1"/>
  <c r="CG77" i="1"/>
  <c r="DE304" i="1" l="1"/>
  <c r="DE248" i="1"/>
  <c r="CJ20" i="67"/>
  <c r="CJ5" i="67"/>
  <c r="CJ6" i="67" s="1"/>
  <c r="CG227" i="1"/>
  <c r="CG85" i="1"/>
  <c r="CG79" i="1"/>
  <c r="CJ7" i="67" l="1"/>
  <c r="CJ149" i="67" s="1"/>
  <c r="CG87" i="1"/>
  <c r="CG80" i="1"/>
  <c r="CJ143" i="67" l="1"/>
  <c r="CJ151" i="67"/>
  <c r="CJ13" i="67"/>
  <c r="CJ12" i="67" s="1"/>
  <c r="CJ140" i="67"/>
  <c r="DJ5" i="1"/>
  <c r="CJ153" i="67"/>
  <c r="CJ142" i="67"/>
  <c r="CJ150" i="67"/>
  <c r="CJ156" i="67"/>
  <c r="CJ144" i="67"/>
  <c r="CJ152" i="67"/>
  <c r="CJ154" i="67"/>
  <c r="CJ141" i="67"/>
  <c r="CJ155" i="67"/>
  <c r="CJ146" i="67"/>
  <c r="CJ145" i="67"/>
  <c r="CG138" i="1"/>
  <c r="CG196" i="1"/>
  <c r="CG197" i="1" s="1"/>
  <c r="DJ178" i="1" l="1"/>
  <c r="DJ118" i="1"/>
  <c r="DJ141" i="1"/>
  <c r="DJ9" i="1"/>
  <c r="DJ120" i="1"/>
  <c r="DJ137" i="1"/>
  <c r="DJ6" i="1"/>
  <c r="DJ298" i="1"/>
  <c r="DJ125" i="1"/>
  <c r="CG202" i="1"/>
  <c r="CG200" i="1"/>
  <c r="CG198" i="1"/>
  <c r="CG199" i="1" s="1"/>
  <c r="CG121" i="1"/>
  <c r="CG208" i="1"/>
  <c r="CG143" i="1"/>
  <c r="CG154" i="1" s="1"/>
  <c r="DJ304" i="1" l="1"/>
  <c r="DJ215" i="1"/>
  <c r="DJ13" i="1"/>
  <c r="DJ14" i="1" s="1"/>
  <c r="DJ15" i="1" s="1"/>
  <c r="DJ119" i="1"/>
  <c r="DJ212" i="1" s="1"/>
  <c r="DJ245" i="1" s="1"/>
  <c r="DJ205" i="1"/>
  <c r="DJ134" i="1"/>
  <c r="DJ221" i="1" s="1"/>
  <c r="DJ247" i="1" s="1"/>
  <c r="DJ210" i="1"/>
  <c r="DJ246" i="1" s="1"/>
  <c r="CG130" i="1"/>
  <c r="CG305" i="1"/>
  <c r="CG234" i="1"/>
  <c r="DJ248" i="1" l="1"/>
  <c r="CG156" i="1"/>
  <c r="CG236" i="1"/>
  <c r="CH192" i="1" l="1"/>
  <c r="CG194" i="1"/>
  <c r="CG322" i="1"/>
  <c r="CG242" i="1"/>
  <c r="CH69" i="1" l="1"/>
  <c r="CI69" i="1" l="1"/>
  <c r="CI71" i="1" s="1"/>
  <c r="CI240" i="1" l="1"/>
  <c r="CI241" i="1" s="1"/>
  <c r="CI207" i="1"/>
  <c r="CI286" i="1"/>
  <c r="CI287" i="1" s="1"/>
  <c r="CI269" i="1"/>
  <c r="CI252" i="1"/>
  <c r="CI253" i="1" s="1"/>
  <c r="CH73" i="1"/>
  <c r="CH71" i="1"/>
  <c r="CI73" i="1"/>
  <c r="CI77" i="1" s="1"/>
  <c r="CH207" i="1" l="1"/>
  <c r="CI79" i="1"/>
  <c r="CI85" i="1"/>
  <c r="CI87" i="1" s="1"/>
  <c r="CI227" i="1"/>
  <c r="CH240" i="1"/>
  <c r="CH241" i="1" s="1"/>
  <c r="CH269" i="1"/>
  <c r="CH77" i="1"/>
  <c r="CH227" i="1" l="1"/>
  <c r="CH79" i="1"/>
  <c r="CH85" i="1"/>
  <c r="CI80" i="1"/>
  <c r="CH87" i="1" l="1"/>
  <c r="CH80" i="1"/>
  <c r="CI148" i="1" l="1"/>
  <c r="CI172" i="1"/>
  <c r="CH196" i="1" l="1"/>
  <c r="CH197" i="1" s="1"/>
  <c r="CI196" i="1"/>
  <c r="CI197" i="1" s="1"/>
  <c r="CI200" i="1" s="1"/>
  <c r="CH198" i="1" l="1"/>
  <c r="CH199" i="1" s="1"/>
  <c r="CH200" i="1"/>
  <c r="CH202" i="1"/>
  <c r="CI198" i="1"/>
  <c r="CI199" i="1" s="1"/>
  <c r="CI202" i="1"/>
  <c r="CH121" i="1"/>
  <c r="CH130" i="1" s="1"/>
  <c r="CH236" i="1" s="1"/>
  <c r="CI242" i="1" s="1"/>
  <c r="CI208" i="1"/>
  <c r="CI233" i="1"/>
  <c r="CI255" i="1" l="1"/>
  <c r="CI256" i="1" s="1"/>
  <c r="CI259" i="1" s="1"/>
  <c r="CI260" i="1" s="1"/>
  <c r="CH242" i="1"/>
  <c r="CH322" i="1"/>
  <c r="CI323" i="1" s="1"/>
  <c r="CI121" i="1"/>
  <c r="CI130" i="1" s="1"/>
  <c r="CI236" i="1" s="1"/>
  <c r="CI230" i="1"/>
  <c r="CN307" i="1"/>
  <c r="CH138" i="1"/>
  <c r="CH143" i="1" s="1"/>
  <c r="CI138" i="1"/>
  <c r="CI143" i="1" s="1"/>
  <c r="CI229" i="1"/>
  <c r="CI231" i="1" l="1"/>
  <c r="CI305" i="1" s="1"/>
  <c r="CI284" i="1"/>
  <c r="CI288" i="1" s="1"/>
  <c r="CI232" i="1"/>
  <c r="CI234" i="1"/>
  <c r="CH305" i="1"/>
  <c r="CI150" i="1"/>
  <c r="CH152" i="1"/>
  <c r="CH154" i="1" s="1"/>
  <c r="CH156" i="1" s="1"/>
  <c r="CI152" i="1" l="1"/>
  <c r="CI154" i="1" s="1"/>
  <c r="CI156" i="1" s="1"/>
  <c r="CI188" i="1"/>
  <c r="CI191" i="1" s="1"/>
  <c r="CI193" i="1" s="1"/>
  <c r="CJ192" i="1" l="1"/>
  <c r="CN192" i="1" s="1"/>
  <c r="CI194" i="1"/>
  <c r="CH191" i="1"/>
  <c r="CH193" i="1" s="1"/>
  <c r="CH194" i="1" s="1"/>
  <c r="CI106" i="1"/>
  <c r="CI105" i="1" s="1"/>
  <c r="CF108" i="1"/>
  <c r="CG108" i="1"/>
  <c r="CH108" i="1"/>
  <c r="CI108" i="1" l="1"/>
  <c r="CJ108" i="1"/>
  <c r="CK108" i="1" l="1"/>
  <c r="CL108" i="1" l="1"/>
  <c r="CM108" i="1" l="1"/>
  <c r="CN106" i="1"/>
  <c r="CN150" i="1"/>
  <c r="CN105" i="1" l="1"/>
  <c r="CP105" i="1" s="1"/>
  <c r="CP106" i="1" s="1"/>
  <c r="CN108" i="1"/>
  <c r="CO108" i="1"/>
  <c r="CQ105" i="1" l="1"/>
  <c r="CQ106" i="1" s="1"/>
  <c r="CP150" i="1"/>
  <c r="CR105" i="1"/>
  <c r="CP108" i="1"/>
  <c r="CP185" i="1"/>
  <c r="CQ150" i="1" l="1"/>
  <c r="CQ185" i="1"/>
  <c r="CQ108" i="1"/>
  <c r="CT105" i="1"/>
  <c r="CR106" i="1"/>
  <c r="CS106" i="1" s="1"/>
  <c r="CS105" i="1" l="1"/>
  <c r="CS108" i="1"/>
  <c r="CR108" i="1"/>
  <c r="CR185" i="1"/>
  <c r="CS185" i="1" s="1"/>
  <c r="CT106" i="1"/>
  <c r="CU105" i="1"/>
  <c r="CR150" i="1"/>
  <c r="CS150" i="1" s="1"/>
  <c r="CT185" i="1" l="1"/>
  <c r="CT108" i="1"/>
  <c r="CT150" i="1"/>
  <c r="CU106" i="1"/>
  <c r="CV105" i="1"/>
  <c r="CU185" i="1" l="1"/>
  <c r="CU108" i="1"/>
  <c r="CU150" i="1"/>
  <c r="CW105" i="1"/>
  <c r="CV106" i="1"/>
  <c r="CV150" i="1" l="1"/>
  <c r="CY105" i="1"/>
  <c r="CW106" i="1"/>
  <c r="CV108" i="1"/>
  <c r="CV185" i="1"/>
  <c r="CW150" i="1" l="1"/>
  <c r="CX150" i="1" s="1"/>
  <c r="CW108" i="1"/>
  <c r="CW185" i="1"/>
  <c r="CX185" i="1" s="1"/>
  <c r="CX106" i="1"/>
  <c r="CY106" i="1"/>
  <c r="CZ105" i="1"/>
  <c r="CX105" i="1" l="1"/>
  <c r="CX108" i="1"/>
  <c r="DA105" i="1"/>
  <c r="CZ106" i="1"/>
  <c r="CY185" i="1"/>
  <c r="CY108" i="1"/>
  <c r="CY150" i="1"/>
  <c r="CZ150" i="1" l="1"/>
  <c r="CZ108" i="1"/>
  <c r="CZ185" i="1"/>
  <c r="DB105" i="1"/>
  <c r="DA106" i="1"/>
  <c r="DA108" i="1" l="1"/>
  <c r="DA185" i="1"/>
  <c r="DD105" i="1"/>
  <c r="DB106" i="1"/>
  <c r="DC106" i="1" s="1"/>
  <c r="DA150" i="1"/>
  <c r="DC105" i="1" l="1"/>
  <c r="DC108" i="1"/>
  <c r="DE105" i="1"/>
  <c r="DD106" i="1"/>
  <c r="DB185" i="1"/>
  <c r="DC185" i="1" s="1"/>
  <c r="DB108" i="1"/>
  <c r="DB150" i="1"/>
  <c r="DC150" i="1" s="1"/>
  <c r="DD108" i="1" l="1"/>
  <c r="DD185" i="1"/>
  <c r="DD150" i="1"/>
  <c r="DF105" i="1"/>
  <c r="DE106" i="1"/>
  <c r="DE150" i="1" l="1"/>
  <c r="DG105" i="1"/>
  <c r="DF106" i="1"/>
  <c r="DE108" i="1"/>
  <c r="DE185" i="1"/>
  <c r="DF150" i="1" l="1"/>
  <c r="DI105" i="1"/>
  <c r="DG106" i="1"/>
  <c r="DH106" i="1" s="1"/>
  <c r="DF108" i="1"/>
  <c r="DF185" i="1"/>
  <c r="DG150" i="1" l="1"/>
  <c r="DH150" i="1" s="1"/>
  <c r="DH108" i="1"/>
  <c r="DH105" i="1"/>
  <c r="DG185" i="1"/>
  <c r="DH185" i="1" s="1"/>
  <c r="DG108" i="1"/>
  <c r="DJ105" i="1"/>
  <c r="DI106" i="1"/>
  <c r="DI150" i="1" l="1"/>
  <c r="DI108" i="1"/>
  <c r="DI185" i="1"/>
  <c r="DK105" i="1"/>
  <c r="DJ106" i="1"/>
  <c r="DJ150" i="1" l="1"/>
  <c r="DK106" i="1"/>
  <c r="DL105" i="1"/>
  <c r="DL106" i="1" s="1"/>
  <c r="DJ185" i="1"/>
  <c r="DJ108" i="1"/>
  <c r="DK150" i="1" l="1"/>
  <c r="DL150" i="1" s="1"/>
  <c r="DM150" i="1" s="1"/>
  <c r="DL108" i="1"/>
  <c r="DL185" i="1"/>
  <c r="DK185" i="1"/>
  <c r="DK108" i="1"/>
  <c r="DM106" i="1"/>
  <c r="DM185" i="1" l="1"/>
  <c r="DM105" i="1"/>
  <c r="DM108" i="1"/>
  <c r="CJ69" i="1" l="1"/>
  <c r="CJ71" i="1" l="1"/>
  <c r="CJ73" i="1"/>
  <c r="CJ207" i="1" l="1"/>
  <c r="CJ269" i="1"/>
  <c r="CJ240" i="1"/>
  <c r="CJ241" i="1" s="1"/>
  <c r="CJ77" i="1"/>
  <c r="CJ85" i="1" l="1"/>
  <c r="CJ79" i="1"/>
  <c r="CJ80" i="1" l="1"/>
  <c r="CJ87" i="1"/>
  <c r="CJ152" i="1" l="1"/>
  <c r="CJ172" i="1"/>
  <c r="CJ138" i="1" l="1"/>
  <c r="CJ143" i="1" s="1"/>
  <c r="CJ154" i="1" s="1"/>
  <c r="CJ229" i="1"/>
  <c r="CJ196" i="1"/>
  <c r="CJ197" i="1" s="1"/>
  <c r="CK232" i="1" l="1"/>
  <c r="CJ232" i="1"/>
  <c r="CJ198" i="1"/>
  <c r="CJ199" i="1" s="1"/>
  <c r="CJ200" i="1"/>
  <c r="CJ202" i="1"/>
  <c r="CJ188" i="1"/>
  <c r="CJ191" i="1" s="1"/>
  <c r="CJ193" i="1" s="1"/>
  <c r="CJ121" i="1"/>
  <c r="CJ130" i="1" s="1"/>
  <c r="CJ236" i="1" s="1"/>
  <c r="CJ230" i="1"/>
  <c r="CJ231" i="1" l="1"/>
  <c r="CJ234" i="1" s="1"/>
  <c r="CK233" i="1"/>
  <c r="CJ233" i="1"/>
  <c r="CJ156" i="1"/>
  <c r="CJ194" i="1"/>
  <c r="CK192" i="1"/>
  <c r="CJ305" i="1" l="1"/>
  <c r="CJ242" i="1"/>
  <c r="CK69" i="1" l="1"/>
  <c r="CK71" i="1" s="1"/>
  <c r="CK207" i="1" l="1"/>
  <c r="CK240" i="1"/>
  <c r="CK241" i="1" s="1"/>
  <c r="CK269" i="1"/>
  <c r="CK73" i="1" l="1"/>
  <c r="CK77" i="1" l="1"/>
  <c r="CK227" i="1" s="1"/>
  <c r="CK79" i="1" l="1"/>
  <c r="CK85" i="1"/>
  <c r="CK87" i="1" l="1"/>
  <c r="CK80" i="1"/>
  <c r="CK152" i="1" l="1"/>
  <c r="CK172" i="1"/>
  <c r="CK196" i="1" s="1"/>
  <c r="CK197" i="1" s="1"/>
  <c r="CK200" i="1" l="1"/>
  <c r="CK202" i="1"/>
  <c r="CK198" i="1"/>
  <c r="CK199" i="1" s="1"/>
  <c r="CK138" i="1"/>
  <c r="CK143" i="1" s="1"/>
  <c r="CK154" i="1" s="1"/>
  <c r="CK121" i="1" l="1"/>
  <c r="CK130" i="1" s="1"/>
  <c r="CK236" i="1" s="1"/>
  <c r="CK188" i="1"/>
  <c r="CK191" i="1" s="1"/>
  <c r="CK193" i="1" s="1"/>
  <c r="CK194" i="1" l="1"/>
  <c r="CL192" i="1"/>
  <c r="CK305" i="1"/>
  <c r="CK156" i="1"/>
  <c r="CK242" i="1" l="1"/>
  <c r="BL4" i="67" l="1"/>
  <c r="BL5" i="67"/>
  <c r="BQ71" i="67"/>
  <c r="BL74" i="67"/>
  <c r="BL7" i="67" l="1"/>
  <c r="BQ162" i="67"/>
  <c r="BQ4" i="67"/>
  <c r="BQ72" i="67"/>
  <c r="BQ74" i="67" s="1"/>
  <c r="BV71" i="67"/>
  <c r="BL219" i="67"/>
  <c r="BL6" i="67"/>
  <c r="BL199" i="67" l="1"/>
  <c r="BL212" i="67" s="1"/>
  <c r="CL5" i="1"/>
  <c r="BQ10" i="67"/>
  <c r="BQ8" i="67"/>
  <c r="BQ9" i="67"/>
  <c r="BL149" i="67"/>
  <c r="BL142" i="67"/>
  <c r="BL150" i="67"/>
  <c r="BL141" i="67"/>
  <c r="BL151" i="67"/>
  <c r="BL140" i="67"/>
  <c r="BL146" i="67"/>
  <c r="BL155" i="67"/>
  <c r="BL152" i="67"/>
  <c r="BL143" i="67"/>
  <c r="BL154" i="67"/>
  <c r="BL145" i="67"/>
  <c r="BQ11" i="67"/>
  <c r="CQ271" i="1" s="1"/>
  <c r="BL144" i="67"/>
  <c r="BL156" i="67"/>
  <c r="BL153" i="67"/>
  <c r="BL13" i="67"/>
  <c r="BQ219" i="67"/>
  <c r="BV72" i="67"/>
  <c r="BV74" i="67" s="1"/>
  <c r="CA71" i="67"/>
  <c r="BV162" i="67"/>
  <c r="BQ5" i="67"/>
  <c r="BQ7" i="67" s="1"/>
  <c r="BQ142" i="67" s="1"/>
  <c r="CL6" i="1"/>
  <c r="CL298" i="1"/>
  <c r="BQ199" i="67" l="1"/>
  <c r="BV199" i="67" s="1"/>
  <c r="CA199" i="67" s="1"/>
  <c r="CF199" i="67" s="1"/>
  <c r="CK199" i="67" s="1"/>
  <c r="CL224" i="1"/>
  <c r="CL214" i="1"/>
  <c r="CQ214" i="1" s="1"/>
  <c r="CV214" i="1" s="1"/>
  <c r="DA214" i="1" s="1"/>
  <c r="DF214" i="1" s="1"/>
  <c r="DK214" i="1" s="1"/>
  <c r="CL209" i="1"/>
  <c r="CQ209" i="1" s="1"/>
  <c r="CV209" i="1" s="1"/>
  <c r="DA209" i="1" s="1"/>
  <c r="DF209" i="1" s="1"/>
  <c r="DK209" i="1" s="1"/>
  <c r="CL223" i="1"/>
  <c r="CQ223" i="1" s="1"/>
  <c r="CV223" i="1" s="1"/>
  <c r="DA223" i="1" s="1"/>
  <c r="DF223" i="1" s="1"/>
  <c r="DK223" i="1" s="1"/>
  <c r="CL208" i="1"/>
  <c r="CL225" i="1"/>
  <c r="CQ225" i="1" s="1"/>
  <c r="CV225" i="1" s="1"/>
  <c r="DA225" i="1" s="1"/>
  <c r="DF225" i="1" s="1"/>
  <c r="DK225" i="1" s="1"/>
  <c r="CL210" i="1"/>
  <c r="CL205" i="1"/>
  <c r="CL213" i="1"/>
  <c r="CQ213" i="1" s="1"/>
  <c r="CV213" i="1" s="1"/>
  <c r="DA213" i="1" s="1"/>
  <c r="DF213" i="1" s="1"/>
  <c r="DK213" i="1" s="1"/>
  <c r="CL222" i="1"/>
  <c r="CQ222" i="1" s="1"/>
  <c r="CV222" i="1" s="1"/>
  <c r="DA222" i="1" s="1"/>
  <c r="DF222" i="1" s="1"/>
  <c r="DK222" i="1" s="1"/>
  <c r="CL10" i="1"/>
  <c r="CL215" i="1"/>
  <c r="CL216" i="1"/>
  <c r="CQ216" i="1" s="1"/>
  <c r="CL219" i="1"/>
  <c r="BQ15" i="67"/>
  <c r="CQ7" i="1" s="1"/>
  <c r="CQ270" i="1" s="1"/>
  <c r="BV9" i="67"/>
  <c r="BV8" i="67"/>
  <c r="BL169" i="67"/>
  <c r="CL55" i="1" s="1"/>
  <c r="BL225" i="67"/>
  <c r="BV10" i="67"/>
  <c r="BQ152" i="67"/>
  <c r="CF71" i="67"/>
  <c r="CA72" i="67"/>
  <c r="CA74" i="67" s="1"/>
  <c r="CA162" i="67"/>
  <c r="CL181" i="1"/>
  <c r="CL13" i="1"/>
  <c r="CL17" i="1" s="1"/>
  <c r="CL206" i="1" s="1"/>
  <c r="CL246" i="1"/>
  <c r="CL304" i="1"/>
  <c r="CQ5" i="1"/>
  <c r="BQ146" i="67"/>
  <c r="BQ156" i="67"/>
  <c r="BQ143" i="67"/>
  <c r="BQ151" i="67"/>
  <c r="BQ155" i="67"/>
  <c r="BQ13" i="67"/>
  <c r="BQ12" i="67" s="1"/>
  <c r="BQ141" i="67"/>
  <c r="BQ145" i="67"/>
  <c r="BQ149" i="67"/>
  <c r="BQ153" i="67"/>
  <c r="BQ168" i="67"/>
  <c r="BQ140" i="67"/>
  <c r="BQ154" i="67"/>
  <c r="BQ144" i="67"/>
  <c r="BQ150" i="67"/>
  <c r="BV219" i="67"/>
  <c r="BQ6" i="67"/>
  <c r="CL11" i="1" l="1"/>
  <c r="CQ10" i="1"/>
  <c r="CV10" i="1" s="1"/>
  <c r="DA10" i="1" s="1"/>
  <c r="DF10" i="1" s="1"/>
  <c r="DK10" i="1" s="1"/>
  <c r="BL178" i="67"/>
  <c r="BL200" i="67"/>
  <c r="BL213" i="67" s="1"/>
  <c r="BL186" i="67"/>
  <c r="BL177" i="67"/>
  <c r="BL175" i="67"/>
  <c r="BL176" i="67"/>
  <c r="BL226" i="67"/>
  <c r="BL185" i="67"/>
  <c r="CL57" i="1"/>
  <c r="BV15" i="67"/>
  <c r="CV7" i="1" s="1"/>
  <c r="CV270" i="1" s="1"/>
  <c r="BL187" i="67"/>
  <c r="BL184" i="67"/>
  <c r="BL181" i="67"/>
  <c r="CL245" i="1"/>
  <c r="CL14" i="1"/>
  <c r="CF162" i="67"/>
  <c r="CK71" i="67"/>
  <c r="CF72" i="67"/>
  <c r="CF74" i="67" s="1"/>
  <c r="CQ6" i="1"/>
  <c r="CQ125" i="1"/>
  <c r="CQ118" i="1"/>
  <c r="CQ120" i="1"/>
  <c r="CQ137" i="1"/>
  <c r="CQ141" i="1"/>
  <c r="CQ178" i="1"/>
  <c r="CQ298" i="1"/>
  <c r="CA219" i="67"/>
  <c r="BQ225" i="67"/>
  <c r="BQ169" i="67"/>
  <c r="CL247" i="1"/>
  <c r="CL302" i="1"/>
  <c r="CQ9" i="1" l="1"/>
  <c r="CQ13" i="1" s="1"/>
  <c r="CQ14" i="1" s="1"/>
  <c r="CQ15" i="1" s="1"/>
  <c r="CL56" i="1"/>
  <c r="CL58" i="1" s="1"/>
  <c r="CL61" i="1"/>
  <c r="CL301" i="1" s="1"/>
  <c r="CL239" i="1"/>
  <c r="CL299" i="1"/>
  <c r="CL62" i="1"/>
  <c r="CL15" i="1"/>
  <c r="CQ210" i="1"/>
  <c r="CQ246" i="1" s="1"/>
  <c r="CL303" i="1"/>
  <c r="CQ180" i="1"/>
  <c r="CQ181" i="1" s="1"/>
  <c r="CM60" i="1"/>
  <c r="CL19" i="1"/>
  <c r="CL18" i="1"/>
  <c r="CK162" i="67"/>
  <c r="CK72" i="67"/>
  <c r="CK74" i="67" s="1"/>
  <c r="CQ215" i="1"/>
  <c r="CQ304" i="1"/>
  <c r="CF219" i="67"/>
  <c r="CQ55" i="1"/>
  <c r="BQ176" i="67"/>
  <c r="BQ177" i="67"/>
  <c r="BQ181" i="67"/>
  <c r="BQ186" i="67"/>
  <c r="BQ200" i="67"/>
  <c r="BQ213" i="67" s="1"/>
  <c r="BQ226" i="67"/>
  <c r="BQ178" i="67"/>
  <c r="BQ185" i="67"/>
  <c r="BQ187" i="67"/>
  <c r="BQ175" i="67"/>
  <c r="BQ184" i="67"/>
  <c r="CL248" i="1"/>
  <c r="CQ205" i="1" l="1"/>
  <c r="CQ134" i="1"/>
  <c r="CQ221" i="1" s="1"/>
  <c r="CQ247" i="1" s="1"/>
  <c r="CQ119" i="1"/>
  <c r="CQ212" i="1" s="1"/>
  <c r="CQ245" i="1" s="1"/>
  <c r="BV68" i="67"/>
  <c r="BV59" i="67" s="1"/>
  <c r="BV134" i="67"/>
  <c r="BV125" i="67" s="1"/>
  <c r="BV113" i="67"/>
  <c r="BV104" i="67" s="1"/>
  <c r="CL20" i="1"/>
  <c r="CQ56" i="1"/>
  <c r="CQ58" i="1" s="1"/>
  <c r="CQ17" i="1"/>
  <c r="CQ57" i="1"/>
  <c r="CQ299" i="1"/>
  <c r="CQ239" i="1"/>
  <c r="CQ241" i="1" s="1"/>
  <c r="CK219" i="67"/>
  <c r="CN60" i="1"/>
  <c r="CN217" i="1"/>
  <c r="CQ248" i="1" l="1"/>
  <c r="CQ171" i="1"/>
  <c r="CQ303" i="1" s="1"/>
  <c r="CA125" i="67"/>
  <c r="BV126" i="67"/>
  <c r="BV167" i="67"/>
  <c r="BV105" i="67"/>
  <c r="BV107" i="67" s="1"/>
  <c r="BV165" i="67"/>
  <c r="CA104" i="67"/>
  <c r="BV37" i="67"/>
  <c r="BV28" i="67" s="1"/>
  <c r="BV24" i="67"/>
  <c r="BV60" i="67"/>
  <c r="BV62" i="67" s="1"/>
  <c r="CA59" i="67"/>
  <c r="CQ18" i="1"/>
  <c r="CQ20" i="1" s="1"/>
  <c r="CQ19" i="1"/>
  <c r="CQ206" i="1"/>
  <c r="CV274" i="1" l="1"/>
  <c r="CA28" i="67"/>
  <c r="BV29" i="67"/>
  <c r="BV31" i="67" s="1"/>
  <c r="CA105" i="67"/>
  <c r="CA107" i="67" s="1"/>
  <c r="CA165" i="67"/>
  <c r="CF104" i="67"/>
  <c r="BV224" i="67"/>
  <c r="CA60" i="67"/>
  <c r="CA62" i="67" s="1"/>
  <c r="CF59" i="67"/>
  <c r="BV26" i="67"/>
  <c r="BV17" i="67" s="1"/>
  <c r="BV11" i="67"/>
  <c r="CV271" i="1" s="1"/>
  <c r="BV222" i="67"/>
  <c r="BV128" i="67"/>
  <c r="CA167" i="67"/>
  <c r="CF125" i="67"/>
  <c r="CA126" i="67"/>
  <c r="CF60" i="67" l="1"/>
  <c r="CF62" i="67" s="1"/>
  <c r="CK59" i="67"/>
  <c r="CA128" i="67"/>
  <c r="DA274" i="1"/>
  <c r="CF105" i="67"/>
  <c r="CF107" i="67" s="1"/>
  <c r="CK104" i="67"/>
  <c r="CF165" i="67"/>
  <c r="CA224" i="67"/>
  <c r="CF126" i="67"/>
  <c r="CK125" i="67"/>
  <c r="CF167" i="67"/>
  <c r="CF224" i="67" s="1"/>
  <c r="BV18" i="67"/>
  <c r="BV159" i="67"/>
  <c r="BV4" i="67"/>
  <c r="CA222" i="67"/>
  <c r="CF28" i="67"/>
  <c r="CA29" i="67"/>
  <c r="CA31" i="67" s="1"/>
  <c r="BV216" i="67" l="1"/>
  <c r="BV20" i="67"/>
  <c r="BV5" i="67"/>
  <c r="CF128" i="67"/>
  <c r="CF222" i="67"/>
  <c r="CK126" i="67"/>
  <c r="CK128" i="67" s="1"/>
  <c r="CK167" i="67"/>
  <c r="CF29" i="67"/>
  <c r="CK28" i="67"/>
  <c r="CK165" i="67"/>
  <c r="CK105" i="67"/>
  <c r="CK107" i="67" s="1"/>
  <c r="CK60" i="67"/>
  <c r="CK62" i="67" s="1"/>
  <c r="DF274" i="1"/>
  <c r="DK274" i="1" l="1"/>
  <c r="CA24" i="67"/>
  <c r="CK222" i="67"/>
  <c r="CF31" i="67"/>
  <c r="CK224" i="67"/>
  <c r="BV7" i="67"/>
  <c r="CA9" i="67" s="1"/>
  <c r="BV6" i="67"/>
  <c r="CK29" i="67"/>
  <c r="BV149" i="67" l="1"/>
  <c r="CA26" i="67"/>
  <c r="CA17" i="67" s="1"/>
  <c r="CA11" i="67"/>
  <c r="DA271" i="1" s="1"/>
  <c r="BV143" i="67"/>
  <c r="BV146" i="67"/>
  <c r="BV156" i="67"/>
  <c r="BV13" i="67"/>
  <c r="BV12" i="67" s="1"/>
  <c r="BV145" i="67"/>
  <c r="CV5" i="1"/>
  <c r="BV168" i="67"/>
  <c r="BV153" i="67"/>
  <c r="BV152" i="67"/>
  <c r="BV142" i="67"/>
  <c r="BV151" i="67"/>
  <c r="BV154" i="67"/>
  <c r="BV141" i="67"/>
  <c r="BV144" i="67"/>
  <c r="BV150" i="67"/>
  <c r="BV140" i="67"/>
  <c r="BV155" i="67"/>
  <c r="CA8" i="67"/>
  <c r="CK31" i="67"/>
  <c r="CA10" i="67"/>
  <c r="CA15" i="67" s="1"/>
  <c r="DA7" i="1" s="1"/>
  <c r="DA270" i="1" s="1"/>
  <c r="BM4" i="67"/>
  <c r="BM5" i="67"/>
  <c r="BN71" i="67"/>
  <c r="BS79" i="67" l="1"/>
  <c r="BR75" i="67"/>
  <c r="BR76" i="67" s="1"/>
  <c r="BS76" i="67" s="1"/>
  <c r="CA18" i="67"/>
  <c r="CA159" i="67"/>
  <c r="CA4" i="67"/>
  <c r="BV225" i="67"/>
  <c r="BV169" i="67"/>
  <c r="CV9" i="1"/>
  <c r="CV141" i="1"/>
  <c r="CV298" i="1"/>
  <c r="CV125" i="1"/>
  <c r="CV180" i="1" s="1"/>
  <c r="CV120" i="1"/>
  <c r="CV178" i="1"/>
  <c r="CV118" i="1"/>
  <c r="CV137" i="1"/>
  <c r="CV6" i="1"/>
  <c r="BM74" i="67"/>
  <c r="BR77" i="67"/>
  <c r="BN80" i="67"/>
  <c r="BN4" i="67"/>
  <c r="BN162" i="67"/>
  <c r="BN193" i="67" s="1"/>
  <c r="BN206" i="67" s="1"/>
  <c r="BM219" i="67"/>
  <c r="BS78" i="67"/>
  <c r="BN72" i="67"/>
  <c r="BN73" i="67" s="1"/>
  <c r="CV13" i="1" l="1"/>
  <c r="CV14" i="1" s="1"/>
  <c r="CV15" i="1" s="1"/>
  <c r="CV205" i="1"/>
  <c r="CV134" i="1"/>
  <c r="CV221" i="1" s="1"/>
  <c r="CV247" i="1" s="1"/>
  <c r="CV119" i="1"/>
  <c r="CV212" i="1" s="1"/>
  <c r="CV245" i="1" s="1"/>
  <c r="CV215" i="1"/>
  <c r="CV304" i="1"/>
  <c r="CV181" i="1"/>
  <c r="CV210" i="1"/>
  <c r="CV246" i="1" s="1"/>
  <c r="BV176" i="67"/>
  <c r="BV200" i="67"/>
  <c r="BV213" i="67" s="1"/>
  <c r="BV185" i="67"/>
  <c r="BV175" i="67"/>
  <c r="BV184" i="67"/>
  <c r="BV226" i="67"/>
  <c r="BV178" i="67"/>
  <c r="CV55" i="1"/>
  <c r="BV187" i="67"/>
  <c r="BV186" i="67"/>
  <c r="BV177" i="67"/>
  <c r="BV181" i="67"/>
  <c r="CA216" i="67"/>
  <c r="CA20" i="67"/>
  <c r="CA5" i="67"/>
  <c r="BN74" i="67"/>
  <c r="BM7" i="67"/>
  <c r="CM5" i="1" s="1"/>
  <c r="BR80" i="67"/>
  <c r="BR71" i="67" s="1"/>
  <c r="BN219" i="67"/>
  <c r="BN5" i="67"/>
  <c r="BN6" i="67" s="1"/>
  <c r="BM6" i="67"/>
  <c r="CM223" i="1" l="1"/>
  <c r="CR223" i="1" s="1"/>
  <c r="CW223" i="1" s="1"/>
  <c r="DB223" i="1" s="1"/>
  <c r="DG223" i="1" s="1"/>
  <c r="DL223" i="1" s="1"/>
  <c r="CM225" i="1"/>
  <c r="CR225" i="1" s="1"/>
  <c r="CW225" i="1" s="1"/>
  <c r="DB225" i="1" s="1"/>
  <c r="DG225" i="1" s="1"/>
  <c r="DL225" i="1" s="1"/>
  <c r="CM214" i="1"/>
  <c r="CR214" i="1" s="1"/>
  <c r="CW214" i="1" s="1"/>
  <c r="DB214" i="1" s="1"/>
  <c r="DG214" i="1" s="1"/>
  <c r="DL214" i="1" s="1"/>
  <c r="CM224" i="1"/>
  <c r="CR224" i="1" s="1"/>
  <c r="CW224" i="1" s="1"/>
  <c r="DB224" i="1" s="1"/>
  <c r="DG224" i="1" s="1"/>
  <c r="DL224" i="1" s="1"/>
  <c r="CM209" i="1"/>
  <c r="CR209" i="1" s="1"/>
  <c r="CW209" i="1" s="1"/>
  <c r="DB209" i="1" s="1"/>
  <c r="DG209" i="1" s="1"/>
  <c r="DL209" i="1" s="1"/>
  <c r="CM213" i="1"/>
  <c r="CR213" i="1" s="1"/>
  <c r="CW213" i="1" s="1"/>
  <c r="DB213" i="1" s="1"/>
  <c r="DG213" i="1" s="1"/>
  <c r="DL213" i="1" s="1"/>
  <c r="CM222" i="1"/>
  <c r="CR222" i="1" s="1"/>
  <c r="CW222" i="1" s="1"/>
  <c r="DB222" i="1" s="1"/>
  <c r="DG222" i="1" s="1"/>
  <c r="DL222" i="1" s="1"/>
  <c r="CM216" i="1"/>
  <c r="CR216" i="1" s="1"/>
  <c r="BM199" i="67"/>
  <c r="CV171" i="1"/>
  <c r="CV303" i="1" s="1"/>
  <c r="CA7" i="67"/>
  <c r="CF9" i="67" s="1"/>
  <c r="CA6" i="67"/>
  <c r="CF24" i="67"/>
  <c r="CV248" i="1"/>
  <c r="CV57" i="1"/>
  <c r="CV239" i="1"/>
  <c r="CV241" i="1" s="1"/>
  <c r="CV56" i="1"/>
  <c r="CV58" i="1" s="1"/>
  <c r="CV299" i="1"/>
  <c r="CV17" i="1"/>
  <c r="BM150" i="67"/>
  <c r="BN7" i="67"/>
  <c r="BN152" i="67" s="1"/>
  <c r="BM141" i="67"/>
  <c r="BM151" i="67"/>
  <c r="BM144" i="67"/>
  <c r="BM153" i="67"/>
  <c r="BM156" i="67"/>
  <c r="BM143" i="67"/>
  <c r="BM140" i="67"/>
  <c r="BM149" i="67"/>
  <c r="BM146" i="67"/>
  <c r="BM142" i="67"/>
  <c r="BM154" i="67"/>
  <c r="BM13" i="67"/>
  <c r="BM145" i="67"/>
  <c r="BM155" i="67"/>
  <c r="BR11" i="67"/>
  <c r="CR271" i="1" s="1"/>
  <c r="BM152" i="67"/>
  <c r="BR10" i="67"/>
  <c r="BS14" i="67"/>
  <c r="BR162" i="67"/>
  <c r="BR72" i="67"/>
  <c r="BR74" i="67" s="1"/>
  <c r="BS71" i="67"/>
  <c r="BX78" i="67" s="1"/>
  <c r="BR231" i="67"/>
  <c r="BN140" i="67"/>
  <c r="BN154" i="67"/>
  <c r="BN155" i="67"/>
  <c r="BN156" i="67"/>
  <c r="BN145" i="67"/>
  <c r="BN149" i="67"/>
  <c r="BN168" i="67"/>
  <c r="CN5" i="1"/>
  <c r="CM6" i="1"/>
  <c r="CM219" i="1"/>
  <c r="CM298" i="1"/>
  <c r="BN153" i="67" l="1"/>
  <c r="BN146" i="67"/>
  <c r="BN150" i="67"/>
  <c r="BN143" i="67"/>
  <c r="BN13" i="67"/>
  <c r="BN142" i="67"/>
  <c r="BS10" i="67"/>
  <c r="BN141" i="67"/>
  <c r="BN151" i="67"/>
  <c r="BN144" i="67"/>
  <c r="BM212" i="67"/>
  <c r="BR199" i="67"/>
  <c r="BW199" i="67" s="1"/>
  <c r="CB199" i="67" s="1"/>
  <c r="CG199" i="67" s="1"/>
  <c r="CL199" i="67" s="1"/>
  <c r="BN199" i="67"/>
  <c r="BN212" i="67" s="1"/>
  <c r="CN10" i="1"/>
  <c r="CN11" i="1" s="1"/>
  <c r="CN35" i="1"/>
  <c r="CF8" i="67"/>
  <c r="CV18" i="1"/>
  <c r="CV20" i="1" s="1"/>
  <c r="CV206" i="1"/>
  <c r="CV19" i="1"/>
  <c r="CA149" i="67"/>
  <c r="CF10" i="67"/>
  <c r="CF15" i="67" s="1"/>
  <c r="DF7" i="1" s="1"/>
  <c r="DF270" i="1" s="1"/>
  <c r="CA13" i="67"/>
  <c r="CA12" i="67" s="1"/>
  <c r="CA153" i="67"/>
  <c r="CA156" i="67"/>
  <c r="CA143" i="67"/>
  <c r="CA146" i="67"/>
  <c r="CA142" i="67"/>
  <c r="DA5" i="1"/>
  <c r="CA145" i="67"/>
  <c r="CA152" i="67"/>
  <c r="CA168" i="67"/>
  <c r="CA144" i="67"/>
  <c r="CA154" i="67"/>
  <c r="CA151" i="67"/>
  <c r="CA141" i="67"/>
  <c r="CA150" i="67"/>
  <c r="CA155" i="67"/>
  <c r="CA140" i="67"/>
  <c r="CF26" i="67"/>
  <c r="CF17" i="67" s="1"/>
  <c r="CF11" i="67"/>
  <c r="DF271" i="1" s="1"/>
  <c r="BS11" i="67"/>
  <c r="CS271" i="1" s="1"/>
  <c r="BM169" i="67"/>
  <c r="BM225" i="67"/>
  <c r="CN141" i="1"/>
  <c r="CN225" i="1"/>
  <c r="CN120" i="1"/>
  <c r="CN213" i="1"/>
  <c r="CN6" i="1"/>
  <c r="CN219" i="1"/>
  <c r="CN298" i="1"/>
  <c r="BS72" i="67"/>
  <c r="BS73" i="67" s="1"/>
  <c r="CN142" i="1"/>
  <c r="CN224" i="1"/>
  <c r="CN118" i="1"/>
  <c r="CN209" i="1"/>
  <c r="CM210" i="1"/>
  <c r="CM246" i="1" s="1"/>
  <c r="CN210" i="1"/>
  <c r="CN246" i="1" s="1"/>
  <c r="BN225" i="67"/>
  <c r="BN169" i="67"/>
  <c r="BN200" i="67" s="1"/>
  <c r="BN213" i="67" s="1"/>
  <c r="BR219" i="67"/>
  <c r="CN125" i="1"/>
  <c r="CN214" i="1"/>
  <c r="CN137" i="1"/>
  <c r="CN222" i="1"/>
  <c r="CM215" i="1"/>
  <c r="CM304" i="1"/>
  <c r="BW76" i="67"/>
  <c r="BW77" i="67"/>
  <c r="BS80" i="67"/>
  <c r="BS74" i="67"/>
  <c r="BM226" i="67" l="1"/>
  <c r="CM55" i="1"/>
  <c r="BM185" i="67"/>
  <c r="BM181" i="67"/>
  <c r="BM176" i="67"/>
  <c r="BM175" i="67"/>
  <c r="BM200" i="67"/>
  <c r="BM213" i="67" s="1"/>
  <c r="CS10" i="1"/>
  <c r="CX10" i="1" s="1"/>
  <c r="DC10" i="1" s="1"/>
  <c r="DH10" i="1" s="1"/>
  <c r="DM10" i="1" s="1"/>
  <c r="CN37" i="1"/>
  <c r="CF18" i="67"/>
  <c r="CF159" i="67"/>
  <c r="CF4" i="67"/>
  <c r="CA225" i="67"/>
  <c r="CA169" i="67"/>
  <c r="DA9" i="1"/>
  <c r="DA13" i="1" s="1"/>
  <c r="DA14" i="1" s="1"/>
  <c r="DA15" i="1" s="1"/>
  <c r="DA141" i="1"/>
  <c r="DA125" i="1"/>
  <c r="DA180" i="1" s="1"/>
  <c r="DA6" i="1"/>
  <c r="DA178" i="1"/>
  <c r="DA298" i="1"/>
  <c r="DA137" i="1"/>
  <c r="DA118" i="1"/>
  <c r="DA120" i="1"/>
  <c r="BM187" i="67"/>
  <c r="BM178" i="67"/>
  <c r="BM184" i="67"/>
  <c r="BM186" i="67"/>
  <c r="BM177" i="67"/>
  <c r="CM181" i="1"/>
  <c r="CN181" i="1"/>
  <c r="CN216" i="1"/>
  <c r="CN215" i="1"/>
  <c r="CN304" i="1"/>
  <c r="BN185" i="67"/>
  <c r="BN186" i="67"/>
  <c r="BN187" i="67"/>
  <c r="BN226" i="67"/>
  <c r="BN176" i="67"/>
  <c r="BN177" i="67"/>
  <c r="BN178" i="67"/>
  <c r="BN181" i="67"/>
  <c r="BN184" i="67"/>
  <c r="BN175" i="67"/>
  <c r="CN302" i="1"/>
  <c r="CM302" i="1"/>
  <c r="CN126" i="1"/>
  <c r="CO217" i="1" s="1"/>
  <c r="CT217" i="1" s="1"/>
  <c r="CY217" i="1" s="1"/>
  <c r="DD217" i="1" s="1"/>
  <c r="DI217" i="1" s="1"/>
  <c r="CN218" i="1"/>
  <c r="CM218" i="1"/>
  <c r="BR235" i="67"/>
  <c r="BW75" i="67"/>
  <c r="BW80" i="67"/>
  <c r="BW71" i="67" s="1"/>
  <c r="CN205" i="1"/>
  <c r="CN223" i="1"/>
  <c r="CA176" i="67" l="1"/>
  <c r="CA200" i="67"/>
  <c r="CA213" i="67" s="1"/>
  <c r="CA226" i="67"/>
  <c r="CA175" i="67"/>
  <c r="CA184" i="67"/>
  <c r="DA55" i="1"/>
  <c r="CA178" i="67"/>
  <c r="CA185" i="67"/>
  <c r="CA177" i="67"/>
  <c r="CA186" i="67"/>
  <c r="CA187" i="67"/>
  <c r="CA181" i="67"/>
  <c r="DA181" i="1"/>
  <c r="DA304" i="1"/>
  <c r="DA215" i="1"/>
  <c r="CF20" i="67"/>
  <c r="CF5" i="67"/>
  <c r="CF6" i="67" s="1"/>
  <c r="DA210" i="1"/>
  <c r="DA246" i="1" s="1"/>
  <c r="DA205" i="1"/>
  <c r="DA119" i="1"/>
  <c r="DA212" i="1" s="1"/>
  <c r="DA245" i="1" s="1"/>
  <c r="DA134" i="1"/>
  <c r="DA221" i="1" s="1"/>
  <c r="DA247" i="1" s="1"/>
  <c r="CF216" i="67"/>
  <c r="BW72" i="67"/>
  <c r="BW74" i="67" s="1"/>
  <c r="BX71" i="67"/>
  <c r="BW162" i="67"/>
  <c r="BX75" i="67"/>
  <c r="CO181" i="1"/>
  <c r="CM10" i="1"/>
  <c r="CM205" i="1"/>
  <c r="CM13" i="1"/>
  <c r="CM17" i="1" s="1"/>
  <c r="CK24" i="67" l="1"/>
  <c r="DA171" i="1"/>
  <c r="DA303" i="1" s="1"/>
  <c r="CF7" i="67"/>
  <c r="CK8" i="67" s="1"/>
  <c r="DA248" i="1"/>
  <c r="DA56" i="1"/>
  <c r="DA58" i="1" s="1"/>
  <c r="DA57" i="1"/>
  <c r="DA239" i="1"/>
  <c r="DA241" i="1" s="1"/>
  <c r="DA17" i="1"/>
  <c r="DA299" i="1"/>
  <c r="CM11" i="1"/>
  <c r="BW219" i="67"/>
  <c r="BX80" i="67"/>
  <c r="CB76" i="67"/>
  <c r="CB77" i="67"/>
  <c r="CN134" i="1"/>
  <c r="CN221" i="1"/>
  <c r="CN247" i="1" s="1"/>
  <c r="CN220" i="1"/>
  <c r="CM221" i="1"/>
  <c r="CM247" i="1" s="1"/>
  <c r="CC78" i="67"/>
  <c r="CO60" i="1"/>
  <c r="CO302" i="1"/>
  <c r="CN119" i="1"/>
  <c r="CM212" i="1"/>
  <c r="CM245" i="1" s="1"/>
  <c r="CN212" i="1"/>
  <c r="CN245" i="1" s="1"/>
  <c r="CN211" i="1"/>
  <c r="BX74" i="67"/>
  <c r="BX72" i="67"/>
  <c r="BX73" i="67" s="1"/>
  <c r="CM14" i="1"/>
  <c r="CN13" i="1"/>
  <c r="CN14" i="1" s="1"/>
  <c r="CN15" i="1" s="1"/>
  <c r="CK10" i="67" l="1"/>
  <c r="CK26" i="67"/>
  <c r="CK17" i="67" s="1"/>
  <c r="CK11" i="67"/>
  <c r="DK271" i="1" s="1"/>
  <c r="DA18" i="1"/>
  <c r="DA20" i="1" s="1"/>
  <c r="DA206" i="1"/>
  <c r="DA19" i="1"/>
  <c r="CF145" i="67"/>
  <c r="CF156" i="67"/>
  <c r="CF152" i="67"/>
  <c r="DF5" i="1"/>
  <c r="CF168" i="67"/>
  <c r="CF146" i="67"/>
  <c r="CF142" i="67"/>
  <c r="CF13" i="67"/>
  <c r="CF12" i="67" s="1"/>
  <c r="CF153" i="67"/>
  <c r="CF143" i="67"/>
  <c r="CF144" i="67"/>
  <c r="CF154" i="67"/>
  <c r="CF151" i="67"/>
  <c r="CF141" i="67"/>
  <c r="CF155" i="67"/>
  <c r="CF150" i="67"/>
  <c r="CF140" i="67"/>
  <c r="CF149" i="67"/>
  <c r="CK9" i="67"/>
  <c r="CK15" i="67" s="1"/>
  <c r="DK7" i="1" s="1"/>
  <c r="DK270" i="1" s="1"/>
  <c r="CM57" i="1"/>
  <c r="CM56" i="1"/>
  <c r="CM299" i="1"/>
  <c r="CN55" i="1"/>
  <c r="CM61" i="1"/>
  <c r="CM239" i="1"/>
  <c r="CM15" i="1"/>
  <c r="CN248" i="1"/>
  <c r="CP162" i="1"/>
  <c r="CP126" i="1" s="1"/>
  <c r="CM248" i="1"/>
  <c r="CM18" i="1"/>
  <c r="CM19" i="1"/>
  <c r="CN17" i="1"/>
  <c r="CM206" i="1"/>
  <c r="CM303" i="1"/>
  <c r="CO218" i="1"/>
  <c r="CB75" i="67"/>
  <c r="CB80" i="67"/>
  <c r="CB71" i="67" s="1"/>
  <c r="DF9" i="1" l="1"/>
  <c r="DF178" i="1"/>
  <c r="DF141" i="1"/>
  <c r="DF6" i="1"/>
  <c r="DF298" i="1"/>
  <c r="DF125" i="1"/>
  <c r="DF180" i="1" s="1"/>
  <c r="DF181" i="1" s="1"/>
  <c r="DF120" i="1"/>
  <c r="DF118" i="1"/>
  <c r="DF137" i="1"/>
  <c r="CF225" i="67"/>
  <c r="CF169" i="67"/>
  <c r="CK18" i="67"/>
  <c r="CK159" i="67"/>
  <c r="CK4" i="67"/>
  <c r="CM62" i="1"/>
  <c r="CM301" i="1"/>
  <c r="CM58" i="1"/>
  <c r="CN57" i="1"/>
  <c r="CN239" i="1"/>
  <c r="CN285" i="1" s="1"/>
  <c r="CN56" i="1"/>
  <c r="CN58" i="1" s="1"/>
  <c r="CN61" i="1"/>
  <c r="CN251" i="1"/>
  <c r="CN299" i="1"/>
  <c r="CM20" i="1"/>
  <c r="CB162" i="67"/>
  <c r="CB72" i="67"/>
  <c r="CC71" i="67"/>
  <c r="CH78" i="67" s="1"/>
  <c r="CO303" i="1"/>
  <c r="CQ162" i="1"/>
  <c r="CQ126" i="1" s="1"/>
  <c r="CN303" i="1"/>
  <c r="CC75" i="67"/>
  <c r="CP60" i="1"/>
  <c r="CP218" i="1"/>
  <c r="CN18" i="1"/>
  <c r="CN20" i="1" s="1"/>
  <c r="CN19" i="1"/>
  <c r="CN206" i="1"/>
  <c r="DF55" i="1" l="1"/>
  <c r="CF187" i="67"/>
  <c r="CF177" i="67"/>
  <c r="CF176" i="67"/>
  <c r="CF186" i="67"/>
  <c r="CF226" i="67"/>
  <c r="CF175" i="67"/>
  <c r="CF178" i="67"/>
  <c r="CF200" i="67"/>
  <c r="CF213" i="67" s="1"/>
  <c r="CF184" i="67"/>
  <c r="CF185" i="67"/>
  <c r="CF181" i="67"/>
  <c r="DF210" i="1"/>
  <c r="DF246" i="1" s="1"/>
  <c r="CK216" i="67"/>
  <c r="DF215" i="1"/>
  <c r="DF304" i="1"/>
  <c r="CK20" i="67"/>
  <c r="CK5" i="67"/>
  <c r="DF13" i="1"/>
  <c r="DF14" i="1" s="1"/>
  <c r="DF15" i="1" s="1"/>
  <c r="DF119" i="1"/>
  <c r="DF212" i="1" s="1"/>
  <c r="DF245" i="1" s="1"/>
  <c r="DF134" i="1"/>
  <c r="DF221" i="1" s="1"/>
  <c r="DF247" i="1" s="1"/>
  <c r="DF205" i="1"/>
  <c r="CN62" i="1"/>
  <c r="CN301" i="1"/>
  <c r="CP219" i="1"/>
  <c r="CG77" i="67"/>
  <c r="CG76" i="67"/>
  <c r="CC80" i="67"/>
  <c r="CB219" i="67"/>
  <c r="CR162" i="1"/>
  <c r="CQ60" i="1"/>
  <c r="CQ218" i="1"/>
  <c r="CC72" i="67"/>
  <c r="CC73" i="67" s="1"/>
  <c r="CB74" i="67"/>
  <c r="CK7" i="67" l="1"/>
  <c r="CK149" i="67" s="1"/>
  <c r="CK6" i="67"/>
  <c r="DF248" i="1"/>
  <c r="DF171" i="1"/>
  <c r="DF303" i="1" s="1"/>
  <c r="DF56" i="1"/>
  <c r="DF58" i="1" s="1"/>
  <c r="DF57" i="1"/>
  <c r="DF239" i="1"/>
  <c r="DF241" i="1" s="1"/>
  <c r="DF17" i="1"/>
  <c r="DF299" i="1"/>
  <c r="CG75" i="67"/>
  <c r="CG80" i="67"/>
  <c r="CG71" i="67" s="1"/>
  <c r="CR60" i="1"/>
  <c r="CS162" i="1"/>
  <c r="CC74" i="67"/>
  <c r="CQ61" i="1"/>
  <c r="CQ219" i="1"/>
  <c r="DF19" i="1" l="1"/>
  <c r="DF18" i="1"/>
  <c r="DF20" i="1" s="1"/>
  <c r="DF206" i="1"/>
  <c r="CK142" i="67"/>
  <c r="CK153" i="67"/>
  <c r="CK143" i="67"/>
  <c r="DK5" i="1"/>
  <c r="CK145" i="67"/>
  <c r="CK156" i="67"/>
  <c r="CK13" i="67"/>
  <c r="CK12" i="67" s="1"/>
  <c r="CK146" i="67"/>
  <c r="CK152" i="67"/>
  <c r="CK168" i="67"/>
  <c r="CK141" i="67"/>
  <c r="CK144" i="67"/>
  <c r="CK151" i="67"/>
  <c r="CK154" i="67"/>
  <c r="CK155" i="67"/>
  <c r="CK140" i="67"/>
  <c r="CK150" i="67"/>
  <c r="CS60" i="1"/>
  <c r="CS217" i="1"/>
  <c r="CQ62" i="1"/>
  <c r="CQ301" i="1"/>
  <c r="CG72" i="67"/>
  <c r="CG74" i="67" s="1"/>
  <c r="CH71" i="67"/>
  <c r="CM78" i="67" s="1"/>
  <c r="CG162" i="67"/>
  <c r="CH75" i="67"/>
  <c r="CK225" i="67" l="1"/>
  <c r="CK169" i="67"/>
  <c r="DK6" i="1"/>
  <c r="DK125" i="1"/>
  <c r="DK180" i="1" s="1"/>
  <c r="DK178" i="1"/>
  <c r="DK298" i="1"/>
  <c r="DK120" i="1"/>
  <c r="DK9" i="1"/>
  <c r="DK137" i="1"/>
  <c r="DK141" i="1"/>
  <c r="DK118" i="1"/>
  <c r="CH74" i="67"/>
  <c r="CG219" i="67"/>
  <c r="CL76" i="67"/>
  <c r="CL77" i="67"/>
  <c r="CH80" i="67"/>
  <c r="CH72" i="67"/>
  <c r="CH73" i="67" s="1"/>
  <c r="DK215" i="1" l="1"/>
  <c r="DK304" i="1"/>
  <c r="DK13" i="1"/>
  <c r="DK14" i="1" s="1"/>
  <c r="DK15" i="1" s="1"/>
  <c r="DK119" i="1"/>
  <c r="DK212" i="1" s="1"/>
  <c r="DK245" i="1" s="1"/>
  <c r="DK205" i="1"/>
  <c r="DK134" i="1"/>
  <c r="DK221" i="1" s="1"/>
  <c r="DK247" i="1" s="1"/>
  <c r="DK181" i="1"/>
  <c r="DK210" i="1"/>
  <c r="DK246" i="1" s="1"/>
  <c r="CK226" i="67"/>
  <c r="CK200" i="67"/>
  <c r="CK213" i="67" s="1"/>
  <c r="CK175" i="67"/>
  <c r="CK178" i="67"/>
  <c r="CK184" i="67"/>
  <c r="CK176" i="67"/>
  <c r="DK55" i="1"/>
  <c r="CK185" i="67"/>
  <c r="CK177" i="67"/>
  <c r="CK186" i="67"/>
  <c r="CK187" i="67"/>
  <c r="CK181" i="67"/>
  <c r="CL75" i="67"/>
  <c r="CL80" i="67"/>
  <c r="CL71" i="67" s="1"/>
  <c r="DK171" i="1" l="1"/>
  <c r="DK303" i="1" s="1"/>
  <c r="DK56" i="1"/>
  <c r="DK58" i="1" s="1"/>
  <c r="DK17" i="1"/>
  <c r="DK57" i="1"/>
  <c r="DK239" i="1"/>
  <c r="DK241" i="1" s="1"/>
  <c r="DK299" i="1"/>
  <c r="DK248" i="1"/>
  <c r="CL162" i="67"/>
  <c r="CL72" i="67"/>
  <c r="CL74" i="67" s="1"/>
  <c r="CM71" i="67"/>
  <c r="CM80" i="67" s="1"/>
  <c r="CM75" i="67"/>
  <c r="DK19" i="1" l="1"/>
  <c r="DK18" i="1"/>
  <c r="DK20" i="1" s="1"/>
  <c r="DK206" i="1"/>
  <c r="CM72" i="67"/>
  <c r="CM73" i="67" s="1"/>
  <c r="CL219" i="67"/>
  <c r="CM74" i="67"/>
  <c r="CL69" i="1" l="1"/>
  <c r="CL71" i="1" l="1"/>
  <c r="CL207" i="1" s="1"/>
  <c r="CL73" i="1"/>
  <c r="CL240" i="1" l="1"/>
  <c r="CL241" i="1" s="1"/>
  <c r="CL269" i="1"/>
  <c r="CL77" i="1"/>
  <c r="CL227" i="1" s="1"/>
  <c r="CL85" i="1" l="1"/>
  <c r="CL79" i="1"/>
  <c r="CL80" i="1" l="1"/>
  <c r="CL87" i="1"/>
  <c r="CL172" i="1"/>
  <c r="CL152" i="1" l="1"/>
  <c r="CL196" i="1"/>
  <c r="CL197" i="1" s="1"/>
  <c r="CL200" i="1" l="1"/>
  <c r="CL198" i="1"/>
  <c r="CL199" i="1" s="1"/>
  <c r="CL202" i="1"/>
  <c r="CL229" i="1"/>
  <c r="CL138" i="1"/>
  <c r="CL143" i="1" s="1"/>
  <c r="CL154" i="1" s="1"/>
  <c r="CL232" i="1" l="1"/>
  <c r="CL188" i="1"/>
  <c r="CL191" i="1" s="1"/>
  <c r="CL193" i="1" s="1"/>
  <c r="CL121" i="1"/>
  <c r="CL130" i="1" s="1"/>
  <c r="CL230" i="1"/>
  <c r="CL231" i="1" l="1"/>
  <c r="CL305" i="1" s="1"/>
  <c r="CL233" i="1"/>
  <c r="CM192" i="1"/>
  <c r="CL194" i="1"/>
  <c r="CL236" i="1"/>
  <c r="CL156" i="1"/>
  <c r="CL234" i="1" l="1"/>
  <c r="CL242" i="1"/>
  <c r="BP190" i="67"/>
  <c r="BP159" i="67" s="1"/>
  <c r="BP216" i="67" s="1"/>
  <c r="BP193" i="67"/>
  <c r="BP162" i="67" s="1"/>
  <c r="BP219" i="67" s="1"/>
  <c r="BP195" i="67"/>
  <c r="BU195" i="67" s="1"/>
  <c r="BP196" i="67"/>
  <c r="BP165" i="67" s="1"/>
  <c r="BP222" i="67" s="1"/>
  <c r="BP198" i="67"/>
  <c r="BP199" i="67"/>
  <c r="BP168" i="67" s="1"/>
  <c r="BK203" i="67"/>
  <c r="BK206" i="67"/>
  <c r="BK208" i="67"/>
  <c r="BK209" i="67"/>
  <c r="BK211" i="67"/>
  <c r="BK212" i="67"/>
  <c r="BU193" i="67" l="1"/>
  <c r="BZ193" i="67" s="1"/>
  <c r="BZ162" i="67" s="1"/>
  <c r="BU196" i="67"/>
  <c r="BZ196" i="67" s="1"/>
  <c r="BZ165" i="67" s="1"/>
  <c r="BP225" i="67"/>
  <c r="BS162" i="67"/>
  <c r="BS165" i="67"/>
  <c r="BU198" i="67"/>
  <c r="BP167" i="67"/>
  <c r="BU164" i="67"/>
  <c r="BZ195" i="67"/>
  <c r="BP164" i="67"/>
  <c r="BU199" i="67"/>
  <c r="BU190" i="67"/>
  <c r="BU162" i="67" l="1"/>
  <c r="BX162" i="67" s="1"/>
  <c r="CE193" i="67"/>
  <c r="CE162" i="67" s="1"/>
  <c r="CE196" i="67"/>
  <c r="CE165" i="67" s="1"/>
  <c r="BU165" i="67"/>
  <c r="BZ222" i="67" s="1"/>
  <c r="BS167" i="67"/>
  <c r="BP224" i="67"/>
  <c r="BS193" i="67"/>
  <c r="BS206" i="67" s="1"/>
  <c r="BS219" i="67"/>
  <c r="BS164" i="67"/>
  <c r="BP221" i="67"/>
  <c r="BS196" i="67"/>
  <c r="BS209" i="67" s="1"/>
  <c r="BS222" i="67"/>
  <c r="CE195" i="67"/>
  <c r="BZ164" i="67"/>
  <c r="BP169" i="67"/>
  <c r="BU159" i="67"/>
  <c r="BZ190" i="67"/>
  <c r="BU167" i="67"/>
  <c r="BZ198" i="67"/>
  <c r="BU168" i="67"/>
  <c r="BZ199" i="67"/>
  <c r="BX164" i="67"/>
  <c r="BU221" i="67"/>
  <c r="CC162" i="67"/>
  <c r="CJ193" i="67" l="1"/>
  <c r="CJ162" i="67" s="1"/>
  <c r="CM162" i="67" s="1"/>
  <c r="BZ219" i="67"/>
  <c r="BU219" i="67"/>
  <c r="BU222" i="67"/>
  <c r="CJ196" i="67"/>
  <c r="CJ165" i="67" s="1"/>
  <c r="CJ222" i="67" s="1"/>
  <c r="BU225" i="67"/>
  <c r="BU216" i="67"/>
  <c r="CC164" i="67"/>
  <c r="BZ221" i="67"/>
  <c r="CE198" i="67"/>
  <c r="BZ167" i="67"/>
  <c r="CP55" i="1"/>
  <c r="BP176" i="67"/>
  <c r="BP178" i="67"/>
  <c r="BP200" i="67"/>
  <c r="BP213" i="67" s="1"/>
  <c r="BP226" i="67"/>
  <c r="BP184" i="67"/>
  <c r="BP181" i="67"/>
  <c r="BP186" i="67"/>
  <c r="BP175" i="67"/>
  <c r="BP177" i="67"/>
  <c r="CE164" i="67"/>
  <c r="CJ195" i="67"/>
  <c r="CJ164" i="67" s="1"/>
  <c r="BS195" i="67"/>
  <c r="BS208" i="67" s="1"/>
  <c r="BS221" i="67"/>
  <c r="BX193" i="67"/>
  <c r="BX219" i="67"/>
  <c r="CC193" i="67"/>
  <c r="CC219" i="67"/>
  <c r="BX195" i="67"/>
  <c r="BX221" i="67"/>
  <c r="BU224" i="67"/>
  <c r="CH162" i="67"/>
  <c r="CE219" i="67"/>
  <c r="CE222" i="67"/>
  <c r="BP185" i="67"/>
  <c r="BS198" i="67"/>
  <c r="BS211" i="67" s="1"/>
  <c r="BS224" i="67"/>
  <c r="BU169" i="67"/>
  <c r="BZ168" i="67"/>
  <c r="CE199" i="67"/>
  <c r="BZ159" i="67"/>
  <c r="CE190" i="67"/>
  <c r="BP187" i="67"/>
  <c r="CJ219" i="67" l="1"/>
  <c r="CH193" i="67"/>
  <c r="CH219" i="67"/>
  <c r="CE159" i="67"/>
  <c r="CJ190" i="67"/>
  <c r="CJ159" i="67" s="1"/>
  <c r="CU55" i="1"/>
  <c r="BU176" i="67"/>
  <c r="BU178" i="67"/>
  <c r="BU200" i="67"/>
  <c r="BU213" i="67" s="1"/>
  <c r="BU226" i="67"/>
  <c r="BU177" i="67"/>
  <c r="BU184" i="67"/>
  <c r="BU175" i="67"/>
  <c r="BU185" i="67"/>
  <c r="BU186" i="67"/>
  <c r="BZ216" i="67"/>
  <c r="CP56" i="1"/>
  <c r="CP58" i="1" s="1"/>
  <c r="CP17" i="1"/>
  <c r="CP57" i="1"/>
  <c r="CP61" i="1"/>
  <c r="CP239" i="1"/>
  <c r="CP241" i="1" s="1"/>
  <c r="CP299" i="1"/>
  <c r="CC195" i="67"/>
  <c r="CC221" i="67"/>
  <c r="BU181" i="67"/>
  <c r="CM193" i="67"/>
  <c r="CM219" i="67"/>
  <c r="CE168" i="67"/>
  <c r="CJ199" i="67"/>
  <c r="CJ168" i="67" s="1"/>
  <c r="CM164" i="67"/>
  <c r="CJ221" i="67"/>
  <c r="BZ224" i="67"/>
  <c r="BZ169" i="67"/>
  <c r="BZ187" i="67" s="1"/>
  <c r="BZ225" i="67"/>
  <c r="BU187" i="67"/>
  <c r="CH164" i="67"/>
  <c r="CE221" i="67"/>
  <c r="CE167" i="67"/>
  <c r="CJ198" i="67"/>
  <c r="CJ167" i="67" s="1"/>
  <c r="CJ169" i="67" l="1"/>
  <c r="CJ185" i="67" s="1"/>
  <c r="BZ181" i="67"/>
  <c r="CU17" i="1"/>
  <c r="CU57" i="1"/>
  <c r="CU56" i="1"/>
  <c r="CU58" i="1" s="1"/>
  <c r="CU239" i="1"/>
  <c r="CU241" i="1" s="1"/>
  <c r="CU299" i="1"/>
  <c r="CJ224" i="67"/>
  <c r="CP18" i="1"/>
  <c r="CP20" i="1" s="1"/>
  <c r="CP19" i="1"/>
  <c r="CP206" i="1"/>
  <c r="CJ216" i="67"/>
  <c r="CZ55" i="1"/>
  <c r="BZ176" i="67"/>
  <c r="BZ178" i="67"/>
  <c r="BZ200" i="67"/>
  <c r="BZ213" i="67" s="1"/>
  <c r="BZ226" i="67"/>
  <c r="BZ186" i="67"/>
  <c r="BZ177" i="67"/>
  <c r="BZ175" i="67"/>
  <c r="BZ184" i="67"/>
  <c r="BZ185" i="67"/>
  <c r="CJ225" i="67"/>
  <c r="CE216" i="67"/>
  <c r="CH195" i="67"/>
  <c r="CH221" i="67"/>
  <c r="CE224" i="67"/>
  <c r="CE169" i="67"/>
  <c r="CE181" i="67" s="1"/>
  <c r="CM195" i="67"/>
  <c r="CM221" i="67"/>
  <c r="CE225" i="67"/>
  <c r="CP62" i="1"/>
  <c r="CP301" i="1"/>
  <c r="CJ200" i="67" l="1"/>
  <c r="CJ181" i="67"/>
  <c r="CJ177" i="67"/>
  <c r="CJ178" i="67"/>
  <c r="CJ186" i="67"/>
  <c r="CJ184" i="67"/>
  <c r="CJ176" i="67"/>
  <c r="CJ175" i="67"/>
  <c r="DJ55" i="1"/>
  <c r="DJ56" i="1" s="1"/>
  <c r="CJ187" i="67"/>
  <c r="CZ56" i="1"/>
  <c r="CZ58" i="1" s="1"/>
  <c r="CZ17" i="1"/>
  <c r="CZ57" i="1"/>
  <c r="CZ239" i="1"/>
  <c r="CZ241" i="1" s="1"/>
  <c r="CZ299" i="1"/>
  <c r="CE187" i="67"/>
  <c r="DE55" i="1"/>
  <c r="CE176" i="67"/>
  <c r="CE178" i="67"/>
  <c r="CE200" i="67"/>
  <c r="CE213" i="67" s="1"/>
  <c r="CE226" i="67"/>
  <c r="CE175" i="67"/>
  <c r="CE177" i="67"/>
  <c r="CE184" i="67"/>
  <c r="CE186" i="67"/>
  <c r="CE185" i="67"/>
  <c r="CJ226" i="67"/>
  <c r="CU19" i="1"/>
  <c r="CU18" i="1"/>
  <c r="CU20" i="1" s="1"/>
  <c r="CU206" i="1"/>
  <c r="DJ57" i="1" l="1"/>
  <c r="DJ299" i="1"/>
  <c r="DJ17" i="1"/>
  <c r="DJ239" i="1"/>
  <c r="DJ241" i="1" s="1"/>
  <c r="DE17" i="1"/>
  <c r="DE57" i="1"/>
  <c r="DE56" i="1"/>
  <c r="DE58" i="1" s="1"/>
  <c r="DE239" i="1"/>
  <c r="DE241" i="1" s="1"/>
  <c r="DE299" i="1"/>
  <c r="CJ213" i="67"/>
  <c r="CZ18" i="1"/>
  <c r="CZ20" i="1" s="1"/>
  <c r="CZ19" i="1"/>
  <c r="CZ206" i="1"/>
  <c r="DJ18" i="1" l="1"/>
  <c r="DJ206" i="1"/>
  <c r="DJ19" i="1"/>
  <c r="DJ58" i="1"/>
  <c r="DE19" i="1"/>
  <c r="DE18" i="1"/>
  <c r="DE20" i="1" s="1"/>
  <c r="DE206" i="1"/>
  <c r="DJ20" i="1" l="1"/>
  <c r="CM69" i="1" l="1"/>
  <c r="CN69" i="1" l="1"/>
  <c r="CN71" i="1" s="1"/>
  <c r="CM71" i="1"/>
  <c r="CM73" i="1"/>
  <c r="CN240" i="1" l="1"/>
  <c r="CN241" i="1" s="1"/>
  <c r="CN207" i="1"/>
  <c r="CN269" i="1"/>
  <c r="CN286" i="1"/>
  <c r="CN287" i="1" s="1"/>
  <c r="CN252" i="1"/>
  <c r="CN253" i="1" s="1"/>
  <c r="CN73" i="1"/>
  <c r="CN77" i="1" s="1"/>
  <c r="CN85" i="1" s="1"/>
  <c r="CN87" i="1" s="1"/>
  <c r="CM77" i="1"/>
  <c r="CN227" i="1" l="1"/>
  <c r="CN79" i="1"/>
  <c r="CM79" i="1"/>
  <c r="CM85" i="1"/>
  <c r="CM227" i="1"/>
  <c r="CM207" i="1"/>
  <c r="CM269" i="1"/>
  <c r="CM240" i="1"/>
  <c r="CM241" i="1" s="1"/>
  <c r="CN80" i="1" l="1"/>
  <c r="CM80" i="1"/>
  <c r="CM87" i="1"/>
  <c r="CM172" i="1" l="1"/>
  <c r="CN172" i="1"/>
  <c r="CM152" i="1"/>
  <c r="CN148" i="1"/>
  <c r="CM196" i="1" l="1"/>
  <c r="CM197" i="1" s="1"/>
  <c r="CN152" i="1"/>
  <c r="CM138" i="1"/>
  <c r="CM143" i="1" s="1"/>
  <c r="CM154" i="1" s="1"/>
  <c r="CM229" i="1"/>
  <c r="CM232" i="1" s="1"/>
  <c r="CN196" i="1"/>
  <c r="CN197" i="1" s="1"/>
  <c r="CN198" i="1" l="1"/>
  <c r="CN199" i="1" s="1"/>
  <c r="CN202" i="1"/>
  <c r="CN200" i="1"/>
  <c r="CN188" i="1"/>
  <c r="CN191" i="1" s="1"/>
  <c r="CN193" i="1" s="1"/>
  <c r="CM188" i="1"/>
  <c r="CM191" i="1" s="1"/>
  <c r="CM193" i="1" s="1"/>
  <c r="CM194" i="1" s="1"/>
  <c r="CN138" i="1"/>
  <c r="CN143" i="1" s="1"/>
  <c r="CN154" i="1" s="1"/>
  <c r="CN229" i="1"/>
  <c r="CN232" i="1"/>
  <c r="CM121" i="1"/>
  <c r="CM130" i="1" s="1"/>
  <c r="CM208" i="1"/>
  <c r="CN208" i="1"/>
  <c r="CM230" i="1"/>
  <c r="CM202" i="1"/>
  <c r="CM200" i="1"/>
  <c r="CM198" i="1"/>
  <c r="CM199" i="1" s="1"/>
  <c r="CN233" i="1" l="1"/>
  <c r="CM233" i="1"/>
  <c r="CQ233" i="1" s="1"/>
  <c r="CR233" i="1" s="1"/>
  <c r="CT233" i="1" s="1"/>
  <c r="CU233" i="1" s="1"/>
  <c r="CV233" i="1" s="1"/>
  <c r="CW233" i="1" s="1"/>
  <c r="CY233" i="1" s="1"/>
  <c r="CZ233" i="1" s="1"/>
  <c r="DA233" i="1" s="1"/>
  <c r="DB233" i="1" s="1"/>
  <c r="DD233" i="1" s="1"/>
  <c r="DE233" i="1" s="1"/>
  <c r="DF233" i="1" s="1"/>
  <c r="DG233" i="1" s="1"/>
  <c r="DI233" i="1" s="1"/>
  <c r="DJ233" i="1" s="1"/>
  <c r="DK233" i="1" s="1"/>
  <c r="DL233" i="1" s="1"/>
  <c r="CO192" i="1"/>
  <c r="CS192" i="1" s="1"/>
  <c r="CN194" i="1"/>
  <c r="CM156" i="1"/>
  <c r="CM236" i="1"/>
  <c r="CM231" i="1"/>
  <c r="CN121" i="1"/>
  <c r="CN130" i="1" s="1"/>
  <c r="CN230" i="1"/>
  <c r="CN231" i="1" s="1"/>
  <c r="CN305" i="1" s="1"/>
  <c r="CS307" i="1"/>
  <c r="CN156" i="1" l="1"/>
  <c r="CN236" i="1"/>
  <c r="CN284" i="1"/>
  <c r="CM234" i="1"/>
  <c r="CN234" i="1" s="1"/>
  <c r="CM305" i="1"/>
  <c r="CN255" i="1"/>
  <c r="CN256" i="1" s="1"/>
  <c r="CN259" i="1" s="1"/>
  <c r="CN260" i="1" s="1"/>
  <c r="CN242" i="1"/>
  <c r="CM242" i="1"/>
  <c r="CN288" i="1" l="1"/>
  <c r="BP8" i="67"/>
  <c r="BR8" i="67" l="1"/>
  <c r="BS8" i="67" s="1"/>
  <c r="BR9" i="67"/>
  <c r="BS22" i="67"/>
  <c r="BW37" i="67" l="1"/>
  <c r="BW28" i="67" s="1"/>
  <c r="BX35" i="67"/>
  <c r="BW68" i="67"/>
  <c r="BW59" i="67" s="1"/>
  <c r="BX66" i="67"/>
  <c r="BW134" i="67"/>
  <c r="BW125" i="67" s="1"/>
  <c r="BW113" i="67"/>
  <c r="BW104" i="67" s="1"/>
  <c r="BR26" i="67"/>
  <c r="BR17" i="67" s="1"/>
  <c r="BR159" i="67" s="1"/>
  <c r="BS9" i="67"/>
  <c r="BR15" i="67"/>
  <c r="BW126" i="67" l="1"/>
  <c r="BW167" i="67"/>
  <c r="BW165" i="67"/>
  <c r="BW105" i="67"/>
  <c r="BW60" i="67"/>
  <c r="BX60" i="67" s="1"/>
  <c r="BX59" i="67"/>
  <c r="BW29" i="67"/>
  <c r="BX29" i="67" s="1"/>
  <c r="BX28" i="67"/>
  <c r="BR18" i="67"/>
  <c r="BR4" i="67"/>
  <c r="CR7" i="1"/>
  <c r="CR270" i="1" s="1"/>
  <c r="BS15" i="67"/>
  <c r="CS7" i="1" s="1"/>
  <c r="CS270" i="1" s="1"/>
  <c r="BR216" i="67"/>
  <c r="BW31" i="67" l="1"/>
  <c r="BX31" i="67" s="1"/>
  <c r="BW62" i="67"/>
  <c r="BX62" i="67" s="1"/>
  <c r="CX274" i="1" s="1"/>
  <c r="CB34" i="67"/>
  <c r="CB33" i="67"/>
  <c r="BX37" i="67"/>
  <c r="CC35" i="67"/>
  <c r="BW128" i="67"/>
  <c r="BR5" i="67"/>
  <c r="BR7" i="67" s="1"/>
  <c r="CR5" i="1" s="1"/>
  <c r="BX61" i="67"/>
  <c r="CC67" i="67"/>
  <c r="BW222" i="67"/>
  <c r="BX30" i="67"/>
  <c r="BR20" i="67"/>
  <c r="BW24" i="67" s="1"/>
  <c r="BX68" i="67"/>
  <c r="CB64" i="67"/>
  <c r="CB65" i="67"/>
  <c r="CC66" i="67"/>
  <c r="BW107" i="67"/>
  <c r="BW224" i="67"/>
  <c r="CW274" i="1" l="1"/>
  <c r="BR6" i="67"/>
  <c r="CB63" i="67"/>
  <c r="CB68" i="67"/>
  <c r="CB59" i="67" s="1"/>
  <c r="CB37" i="67"/>
  <c r="CB28" i="67" s="1"/>
  <c r="CB32" i="67"/>
  <c r="BR141" i="67"/>
  <c r="BR140" i="67"/>
  <c r="BR143" i="67"/>
  <c r="BR142" i="67"/>
  <c r="BR150" i="67"/>
  <c r="BR155" i="67"/>
  <c r="BR152" i="67"/>
  <c r="BR149" i="67"/>
  <c r="BR153" i="67"/>
  <c r="BR145" i="67"/>
  <c r="BR144" i="67"/>
  <c r="BR151" i="67"/>
  <c r="BR146" i="67"/>
  <c r="BR168" i="67"/>
  <c r="BR225" i="67" s="1"/>
  <c r="BR154" i="67"/>
  <c r="BR13" i="67"/>
  <c r="BR12" i="67" s="1"/>
  <c r="BS12" i="67" s="1"/>
  <c r="BR156" i="67"/>
  <c r="BW11" i="67"/>
  <c r="CR6" i="1"/>
  <c r="CR118" i="1"/>
  <c r="CR120" i="1"/>
  <c r="CR142" i="1"/>
  <c r="CR141" i="1"/>
  <c r="CR125" i="1"/>
  <c r="CR137" i="1"/>
  <c r="CR178" i="1"/>
  <c r="CR219" i="1"/>
  <c r="CR298" i="1"/>
  <c r="CB29" i="67" l="1"/>
  <c r="CC29" i="67" s="1"/>
  <c r="CC28" i="67"/>
  <c r="CB60" i="67"/>
  <c r="CC60" i="67" s="1"/>
  <c r="CC59" i="67"/>
  <c r="CC63" i="67"/>
  <c r="CC32" i="67"/>
  <c r="BR169" i="67"/>
  <c r="CR55" i="1" s="1"/>
  <c r="CS141" i="1"/>
  <c r="CR126" i="1"/>
  <c r="CS178" i="1"/>
  <c r="CR215" i="1"/>
  <c r="CR304" i="1"/>
  <c r="CS142" i="1"/>
  <c r="CS125" i="1"/>
  <c r="CR180" i="1"/>
  <c r="CS180" i="1" s="1"/>
  <c r="CS137" i="1"/>
  <c r="CS120" i="1"/>
  <c r="CS118" i="1"/>
  <c r="CR210" i="1"/>
  <c r="CR246" i="1" s="1"/>
  <c r="CW271" i="1"/>
  <c r="CB62" i="67" l="1"/>
  <c r="CC62" i="67" s="1"/>
  <c r="DC274" i="1" s="1"/>
  <c r="CC30" i="67"/>
  <c r="BR181" i="67"/>
  <c r="CC61" i="67"/>
  <c r="CH67" i="67"/>
  <c r="CC37" i="67"/>
  <c r="CG33" i="67"/>
  <c r="CG34" i="67"/>
  <c r="CH35" i="67"/>
  <c r="CC68" i="67"/>
  <c r="CG65" i="67"/>
  <c r="CG64" i="67"/>
  <c r="CH66" i="67"/>
  <c r="CB31" i="67"/>
  <c r="CC31" i="67" s="1"/>
  <c r="BR175" i="67"/>
  <c r="BR176" i="67"/>
  <c r="BR200" i="67"/>
  <c r="BR213" i="67" s="1"/>
  <c r="BR226" i="67"/>
  <c r="BR187" i="67"/>
  <c r="BR184" i="67"/>
  <c r="BR177" i="67"/>
  <c r="BR178" i="67"/>
  <c r="BR185" i="67"/>
  <c r="BR186" i="67"/>
  <c r="CR56" i="1"/>
  <c r="CR58" i="1" s="1"/>
  <c r="CR57" i="1"/>
  <c r="CR61" i="1"/>
  <c r="CR299" i="1"/>
  <c r="CR239" i="1"/>
  <c r="CS126" i="1"/>
  <c r="CS218" i="1"/>
  <c r="CR218" i="1"/>
  <c r="CR181" i="1"/>
  <c r="CS181" i="1"/>
  <c r="CS304" i="1"/>
  <c r="DB274" i="1" l="1"/>
  <c r="CG68" i="67"/>
  <c r="CG59" i="67" s="1"/>
  <c r="CG63" i="67"/>
  <c r="CG37" i="67"/>
  <c r="CG28" i="67" s="1"/>
  <c r="CG32" i="67"/>
  <c r="CT162" i="1"/>
  <c r="CR62" i="1"/>
  <c r="CR301" i="1"/>
  <c r="CH32" i="67" l="1"/>
  <c r="CG29" i="67"/>
  <c r="CH29" i="67" s="1"/>
  <c r="CH28" i="67"/>
  <c r="CH63" i="67"/>
  <c r="CG60" i="67"/>
  <c r="CH60" i="67" s="1"/>
  <c r="CH59" i="67"/>
  <c r="CT60" i="1"/>
  <c r="CG31" i="67" l="1"/>
  <c r="CH31" i="67" s="1"/>
  <c r="CH30" i="67"/>
  <c r="CG62" i="67"/>
  <c r="CH37" i="67"/>
  <c r="CL33" i="67"/>
  <c r="CL34" i="67"/>
  <c r="CM35" i="67"/>
  <c r="CH61" i="67"/>
  <c r="CM67" i="67"/>
  <c r="CH68" i="67"/>
  <c r="CL64" i="67"/>
  <c r="CL65" i="67"/>
  <c r="CM66" i="67"/>
  <c r="CL68" i="67" l="1"/>
  <c r="CL59" i="67" s="1"/>
  <c r="CL63" i="67"/>
  <c r="CL32" i="67"/>
  <c r="CL37" i="67"/>
  <c r="CL28" i="67" s="1"/>
  <c r="CH62" i="67"/>
  <c r="DH274" i="1" s="1"/>
  <c r="DG274" i="1"/>
  <c r="CM63" i="67" l="1"/>
  <c r="CL60" i="67"/>
  <c r="CM60" i="67" s="1"/>
  <c r="CM59" i="67"/>
  <c r="CM68" i="67" s="1"/>
  <c r="CL29" i="67"/>
  <c r="CM29" i="67" s="1"/>
  <c r="CM28" i="67"/>
  <c r="CM37" i="67" s="1"/>
  <c r="CM32" i="67"/>
  <c r="CL31" i="67" l="1"/>
  <c r="CM31" i="67" s="1"/>
  <c r="CL62" i="67"/>
  <c r="DL274" i="1" s="1"/>
  <c r="CM61" i="67"/>
  <c r="CM30" i="67"/>
  <c r="CM62" i="67" l="1"/>
  <c r="CO152" i="1" l="1"/>
  <c r="CO172" i="1"/>
  <c r="CO138" i="1" l="1"/>
  <c r="CO143" i="1" s="1"/>
  <c r="CO154" i="1" s="1"/>
  <c r="CO229" i="1"/>
  <c r="CO232" i="1" s="1"/>
  <c r="CP232" i="1" s="1"/>
  <c r="CQ232" i="1" s="1"/>
  <c r="CR232" i="1" s="1"/>
  <c r="CT232" i="1" s="1"/>
  <c r="CU232" i="1" s="1"/>
  <c r="CV232" i="1" s="1"/>
  <c r="CW232" i="1" s="1"/>
  <c r="CY232" i="1" s="1"/>
  <c r="CZ232" i="1" s="1"/>
  <c r="DA232" i="1" s="1"/>
  <c r="DB232" i="1" s="1"/>
  <c r="DD232" i="1" s="1"/>
  <c r="DE232" i="1" s="1"/>
  <c r="DF232" i="1" s="1"/>
  <c r="DG232" i="1" s="1"/>
  <c r="DI232" i="1" s="1"/>
  <c r="DJ232" i="1" s="1"/>
  <c r="DK232" i="1" s="1"/>
  <c r="DL232" i="1" s="1"/>
  <c r="CO196" i="1"/>
  <c r="CO197" i="1" s="1"/>
  <c r="CO121" i="1" l="1"/>
  <c r="CO130" i="1" s="1"/>
  <c r="CO230" i="1"/>
  <c r="CO188" i="1"/>
  <c r="CO191" i="1" s="1"/>
  <c r="CO193" i="1" s="1"/>
  <c r="CO198" i="1"/>
  <c r="CO199" i="1" s="1"/>
  <c r="CO202" i="1"/>
  <c r="CO231" i="1" l="1"/>
  <c r="CO233" i="1"/>
  <c r="CP192" i="1"/>
  <c r="CO194" i="1"/>
  <c r="CO156" i="1"/>
  <c r="CO236" i="1"/>
  <c r="CO305" i="1" l="1"/>
  <c r="BO5" i="67"/>
  <c r="BS18" i="67"/>
  <c r="BT113" i="67" l="1"/>
  <c r="BT104" i="67" s="1"/>
  <c r="BX111" i="67"/>
  <c r="BT134" i="67"/>
  <c r="BT125" i="67" s="1"/>
  <c r="BX132" i="67"/>
  <c r="BS5" i="67"/>
  <c r="BO4" i="67"/>
  <c r="BS4" i="67" s="1"/>
  <c r="BS17" i="67"/>
  <c r="BW22" i="67" s="1"/>
  <c r="BT24" i="67"/>
  <c r="BT26" i="67" s="1"/>
  <c r="BT17" i="67" s="1"/>
  <c r="BO26" i="67"/>
  <c r="BS159" i="67"/>
  <c r="BS216" i="67" s="1"/>
  <c r="BO216" i="67"/>
  <c r="BY104" i="67" l="1"/>
  <c r="BT105" i="67"/>
  <c r="BT107" i="67" s="1"/>
  <c r="BX107" i="67" s="1"/>
  <c r="BT165" i="67"/>
  <c r="BX104" i="67"/>
  <c r="CC111" i="67" s="1"/>
  <c r="BT167" i="67"/>
  <c r="BT126" i="67"/>
  <c r="BX126" i="67" s="1"/>
  <c r="BY125" i="67"/>
  <c r="BX125" i="67"/>
  <c r="BW9" i="67"/>
  <c r="BW21" i="67"/>
  <c r="BW23" i="67"/>
  <c r="BW10" i="67" s="1"/>
  <c r="BS19" i="67"/>
  <c r="BS26" i="67"/>
  <c r="BS190" i="67"/>
  <c r="BS203" i="67" s="1"/>
  <c r="BS6" i="67"/>
  <c r="BO6" i="67"/>
  <c r="BO7" i="67"/>
  <c r="BT10" i="67" s="1"/>
  <c r="BT159" i="67"/>
  <c r="BX24" i="67"/>
  <c r="BT18" i="67"/>
  <c r="BT4" i="67"/>
  <c r="BS20" i="67"/>
  <c r="BS7" i="67" l="1"/>
  <c r="BS149" i="67" s="1"/>
  <c r="BT11" i="67"/>
  <c r="CT271" i="1" s="1"/>
  <c r="BO199" i="67"/>
  <c r="CO5" i="1"/>
  <c r="BT9" i="67"/>
  <c r="BT15" i="67" s="1"/>
  <c r="BT128" i="67"/>
  <c r="BX128" i="67" s="1"/>
  <c r="BT8" i="67"/>
  <c r="CB131" i="67"/>
  <c r="CB130" i="67"/>
  <c r="BX134" i="67"/>
  <c r="BT224" i="67"/>
  <c r="BX167" i="67"/>
  <c r="BT222" i="67"/>
  <c r="BX165" i="67"/>
  <c r="CC133" i="67"/>
  <c r="BY167" i="67"/>
  <c r="BY126" i="67"/>
  <c r="CD125" i="67"/>
  <c r="BY128" i="67"/>
  <c r="BX105" i="67"/>
  <c r="BX106" i="67" s="1"/>
  <c r="CC132" i="67"/>
  <c r="BX127" i="67"/>
  <c r="CB110" i="67"/>
  <c r="BX113" i="67"/>
  <c r="CB109" i="67"/>
  <c r="CD104" i="67"/>
  <c r="BY165" i="67"/>
  <c r="BY105" i="67"/>
  <c r="BY107" i="67" s="1"/>
  <c r="BW15" i="67"/>
  <c r="CW7" i="1" s="1"/>
  <c r="CW270" i="1" s="1"/>
  <c r="BW8" i="67"/>
  <c r="BX21" i="67"/>
  <c r="BW26" i="67"/>
  <c r="BW17" i="67" s="1"/>
  <c r="BX11" i="67"/>
  <c r="CX271" i="1" s="1"/>
  <c r="BO13" i="67"/>
  <c r="BO140" i="67"/>
  <c r="BO149" i="67"/>
  <c r="BO152" i="67"/>
  <c r="BO155" i="67"/>
  <c r="BO143" i="67"/>
  <c r="BO141" i="67"/>
  <c r="BO142" i="67"/>
  <c r="BO144" i="67"/>
  <c r="BO150" i="67"/>
  <c r="BO154" i="67"/>
  <c r="BO145" i="67"/>
  <c r="BO146" i="67"/>
  <c r="BO151" i="67"/>
  <c r="BO153" i="67"/>
  <c r="BO156" i="67"/>
  <c r="BT216" i="67"/>
  <c r="BS13" i="67"/>
  <c r="BX14" i="67"/>
  <c r="BS142" i="67"/>
  <c r="BS146" i="67"/>
  <c r="BS152" i="67"/>
  <c r="BS156" i="67"/>
  <c r="BS143" i="67"/>
  <c r="BS151" i="67"/>
  <c r="BS155" i="67"/>
  <c r="BS140" i="67"/>
  <c r="BS144" i="67"/>
  <c r="BS150" i="67"/>
  <c r="BS154" i="67"/>
  <c r="BS141" i="67"/>
  <c r="BS145" i="67"/>
  <c r="BS153" i="67"/>
  <c r="BX10" i="67"/>
  <c r="BX9" i="67"/>
  <c r="BT20" i="67"/>
  <c r="BT5" i="67"/>
  <c r="BX8" i="67" l="1"/>
  <c r="BT199" i="67"/>
  <c r="BY199" i="67" s="1"/>
  <c r="CD199" i="67" s="1"/>
  <c r="CI199" i="67" s="1"/>
  <c r="BO212" i="67"/>
  <c r="CO224" i="1"/>
  <c r="CO225" i="1"/>
  <c r="CT225" i="1" s="1"/>
  <c r="CY225" i="1" s="1"/>
  <c r="DD225" i="1" s="1"/>
  <c r="DI225" i="1" s="1"/>
  <c r="CO223" i="1"/>
  <c r="CT223" i="1" s="1"/>
  <c r="CY223" i="1" s="1"/>
  <c r="DD223" i="1" s="1"/>
  <c r="DI223" i="1" s="1"/>
  <c r="CO222" i="1"/>
  <c r="CT222" i="1" s="1"/>
  <c r="CY222" i="1" s="1"/>
  <c r="DD222" i="1" s="1"/>
  <c r="DI222" i="1" s="1"/>
  <c r="CO10" i="1"/>
  <c r="CO214" i="1"/>
  <c r="CT214" i="1" s="1"/>
  <c r="CY214" i="1" s="1"/>
  <c r="DD214" i="1" s="1"/>
  <c r="DI214" i="1" s="1"/>
  <c r="CO209" i="1"/>
  <c r="CT209" i="1" s="1"/>
  <c r="CY209" i="1" s="1"/>
  <c r="DD209" i="1" s="1"/>
  <c r="DI209" i="1" s="1"/>
  <c r="CO213" i="1"/>
  <c r="CT213" i="1" s="1"/>
  <c r="CY213" i="1" s="1"/>
  <c r="DD213" i="1" s="1"/>
  <c r="DI213" i="1" s="1"/>
  <c r="CO216" i="1"/>
  <c r="CO6" i="1"/>
  <c r="CO298" i="1"/>
  <c r="CO210" i="1"/>
  <c r="CO246" i="1" s="1"/>
  <c r="CO248" i="1" s="1"/>
  <c r="CO13" i="1"/>
  <c r="CO215" i="1"/>
  <c r="CO205" i="1"/>
  <c r="CO18" i="1"/>
  <c r="CO20" i="1" s="1"/>
  <c r="CO206" i="1"/>
  <c r="CO219" i="1"/>
  <c r="CS5" i="1"/>
  <c r="CO208" i="1"/>
  <c r="BY222" i="67"/>
  <c r="CD165" i="67"/>
  <c r="CD105" i="67"/>
  <c r="CI104" i="67"/>
  <c r="CD126" i="67"/>
  <c r="CD167" i="67"/>
  <c r="CI125" i="67"/>
  <c r="BX196" i="67"/>
  <c r="BX222" i="67"/>
  <c r="CB108" i="67"/>
  <c r="CB113" i="67"/>
  <c r="CB104" i="67" s="1"/>
  <c r="CB134" i="67"/>
  <c r="CB125" i="67" s="1"/>
  <c r="CC112" i="67"/>
  <c r="BY224" i="67"/>
  <c r="BX224" i="67"/>
  <c r="BX198" i="67"/>
  <c r="BW159" i="67"/>
  <c r="BW4" i="67"/>
  <c r="BX4" i="67" s="1"/>
  <c r="BX17" i="67"/>
  <c r="BW18" i="67"/>
  <c r="BO169" i="67"/>
  <c r="BO200" i="67" s="1"/>
  <c r="BO213" i="67" s="1"/>
  <c r="BS168" i="67"/>
  <c r="BO225" i="67"/>
  <c r="BT6" i="67"/>
  <c r="CT7" i="1"/>
  <c r="CT270" i="1" s="1"/>
  <c r="BX15" i="67"/>
  <c r="CX7" i="1" s="1"/>
  <c r="CX270" i="1" s="1"/>
  <c r="BY24" i="67"/>
  <c r="BT7" i="67"/>
  <c r="BY9" i="67" s="1"/>
  <c r="CO55" i="1" l="1"/>
  <c r="CO14" i="1"/>
  <c r="CO15" i="1" s="1"/>
  <c r="CT10" i="1"/>
  <c r="CY10" i="1" s="1"/>
  <c r="DD10" i="1" s="1"/>
  <c r="DI10" i="1" s="1"/>
  <c r="CO11" i="1"/>
  <c r="CP224" i="1"/>
  <c r="CT224" i="1"/>
  <c r="CY224" i="1" s="1"/>
  <c r="DD224" i="1" s="1"/>
  <c r="DI224" i="1" s="1"/>
  <c r="CS6" i="1"/>
  <c r="CS222" i="1"/>
  <c r="CS219" i="1"/>
  <c r="CS298" i="1"/>
  <c r="CS210" i="1"/>
  <c r="CS246" i="1" s="1"/>
  <c r="CS214" i="1"/>
  <c r="CS9" i="1"/>
  <c r="CS209" i="1"/>
  <c r="CS225" i="1"/>
  <c r="CS213" i="1"/>
  <c r="CS215" i="1"/>
  <c r="CS216" i="1"/>
  <c r="CS223" i="1"/>
  <c r="CB165" i="67"/>
  <c r="CB105" i="67"/>
  <c r="CB107" i="67" s="1"/>
  <c r="CC107" i="67" s="1"/>
  <c r="CC104" i="67"/>
  <c r="CH111" i="67" s="1"/>
  <c r="CI167" i="67"/>
  <c r="CI126" i="67"/>
  <c r="CI128" i="67" s="1"/>
  <c r="CC108" i="67"/>
  <c r="CD224" i="67"/>
  <c r="CD222" i="67"/>
  <c r="CB126" i="67"/>
  <c r="CC126" i="67" s="1"/>
  <c r="CB167" i="67"/>
  <c r="CC125" i="67"/>
  <c r="CD107" i="67"/>
  <c r="CD128" i="67"/>
  <c r="CI105" i="67"/>
  <c r="CI107" i="67" s="1"/>
  <c r="CI165" i="67"/>
  <c r="BX18" i="67"/>
  <c r="BX19" i="67" s="1"/>
  <c r="BW5" i="67"/>
  <c r="BW20" i="67"/>
  <c r="CB23" i="67"/>
  <c r="BX26" i="67"/>
  <c r="CB22" i="67"/>
  <c r="CB21" i="67" s="1"/>
  <c r="CC21" i="67" s="1"/>
  <c r="BW216" i="67"/>
  <c r="BX159" i="67"/>
  <c r="BS225" i="67"/>
  <c r="BS169" i="67"/>
  <c r="BS199" i="67"/>
  <c r="BS212" i="67" s="1"/>
  <c r="BO176" i="67"/>
  <c r="BO185" i="67"/>
  <c r="BO178" i="67"/>
  <c r="BO175" i="67"/>
  <c r="BO187" i="67"/>
  <c r="BO184" i="67"/>
  <c r="BO177" i="67"/>
  <c r="BO186" i="67"/>
  <c r="BO181" i="67"/>
  <c r="BO226" i="67"/>
  <c r="BY10" i="67"/>
  <c r="BY15" i="67" s="1"/>
  <c r="BY11" i="67"/>
  <c r="CY271" i="1" s="1"/>
  <c r="BY26" i="67"/>
  <c r="BY17" i="67" s="1"/>
  <c r="BT149" i="67"/>
  <c r="CT5" i="1"/>
  <c r="BT13" i="67"/>
  <c r="BT12" i="67" s="1"/>
  <c r="BT141" i="67"/>
  <c r="BT145" i="67"/>
  <c r="BT153" i="67"/>
  <c r="BT142" i="67"/>
  <c r="BT146" i="67"/>
  <c r="BT152" i="67"/>
  <c r="BT156" i="67"/>
  <c r="BT143" i="67"/>
  <c r="BT151" i="67"/>
  <c r="BT155" i="67"/>
  <c r="BT140" i="67"/>
  <c r="BT144" i="67"/>
  <c r="BT150" i="67"/>
  <c r="BT154" i="67"/>
  <c r="BT168" i="67"/>
  <c r="BY8" i="67"/>
  <c r="CQ224" i="1" l="1"/>
  <c r="CU224" i="1"/>
  <c r="CP142" i="1"/>
  <c r="CS205" i="1"/>
  <c r="CR9" i="1"/>
  <c r="CO299" i="1"/>
  <c r="CO239" i="1"/>
  <c r="CO57" i="1"/>
  <c r="CO56" i="1"/>
  <c r="CO58" i="1" s="1"/>
  <c r="CO61" i="1"/>
  <c r="CS55" i="1"/>
  <c r="CO69" i="1"/>
  <c r="CB128" i="67"/>
  <c r="CC128" i="67" s="1"/>
  <c r="CC134" i="67"/>
  <c r="CG131" i="67"/>
  <c r="CG130" i="67"/>
  <c r="CI224" i="67"/>
  <c r="CH132" i="67"/>
  <c r="CB224" i="67"/>
  <c r="CC167" i="67"/>
  <c r="CC105" i="67"/>
  <c r="CC106" i="67" s="1"/>
  <c r="CI222" i="67"/>
  <c r="CH133" i="67"/>
  <c r="CC127" i="67"/>
  <c r="CC113" i="67"/>
  <c r="CG110" i="67"/>
  <c r="CG109" i="67"/>
  <c r="CB222" i="67"/>
  <c r="CC165" i="67"/>
  <c r="BX216" i="67"/>
  <c r="BX190" i="67"/>
  <c r="BX20" i="67"/>
  <c r="CB24" i="67"/>
  <c r="BW6" i="67"/>
  <c r="BW7" i="67"/>
  <c r="BW149" i="67" s="1"/>
  <c r="BX5" i="67"/>
  <c r="BX6" i="67" s="1"/>
  <c r="BS176" i="67"/>
  <c r="BS184" i="67"/>
  <c r="BS226" i="67"/>
  <c r="BS178" i="67"/>
  <c r="BS187" i="67"/>
  <c r="BS177" i="67"/>
  <c r="BS185" i="67"/>
  <c r="BS186" i="67"/>
  <c r="BS175" i="67"/>
  <c r="BS181" i="67"/>
  <c r="BS200" i="67"/>
  <c r="BS213" i="67" s="1"/>
  <c r="CT6" i="1"/>
  <c r="CT9" i="1"/>
  <c r="CT13" i="1" s="1"/>
  <c r="CT118" i="1"/>
  <c r="CT120" i="1"/>
  <c r="CT125" i="1"/>
  <c r="CT137" i="1"/>
  <c r="CT141" i="1"/>
  <c r="CT142" i="1"/>
  <c r="CT178" i="1"/>
  <c r="CT298" i="1"/>
  <c r="CT219" i="1"/>
  <c r="BY18" i="67"/>
  <c r="BY4" i="67"/>
  <c r="BY159" i="67"/>
  <c r="BT169" i="67"/>
  <c r="BT225" i="67"/>
  <c r="CY7" i="1"/>
  <c r="CY270" i="1" s="1"/>
  <c r="CO71" i="1" l="1"/>
  <c r="CO73" i="1"/>
  <c r="CO77" i="1" s="1"/>
  <c r="CZ224" i="1"/>
  <c r="CU142" i="1"/>
  <c r="CS61" i="1"/>
  <c r="CS239" i="1"/>
  <c r="CS56" i="1"/>
  <c r="CS58" i="1" s="1"/>
  <c r="CS251" i="1"/>
  <c r="CS252" i="1" s="1"/>
  <c r="CS253" i="1" s="1"/>
  <c r="CS299" i="1"/>
  <c r="CS57" i="1"/>
  <c r="CV224" i="1"/>
  <c r="CQ142" i="1"/>
  <c r="CS224" i="1" s="1"/>
  <c r="CO62" i="1"/>
  <c r="CO301" i="1"/>
  <c r="CO234" i="1"/>
  <c r="CR10" i="1"/>
  <c r="CR11" i="1" s="1"/>
  <c r="CR13" i="1"/>
  <c r="CR119" i="1"/>
  <c r="CR134" i="1"/>
  <c r="CR205" i="1"/>
  <c r="CP164" i="1"/>
  <c r="CH112" i="67"/>
  <c r="CG134" i="67"/>
  <c r="CG125" i="67" s="1"/>
  <c r="CC198" i="67"/>
  <c r="CC224" i="67"/>
  <c r="CC222" i="67"/>
  <c r="CC196" i="67"/>
  <c r="CG108" i="67"/>
  <c r="CG113" i="67"/>
  <c r="CG104" i="67" s="1"/>
  <c r="CB8" i="67"/>
  <c r="CC24" i="67"/>
  <c r="CB11" i="67"/>
  <c r="CB26" i="67"/>
  <c r="CB17" i="67" s="1"/>
  <c r="CB10" i="67"/>
  <c r="BW141" i="67"/>
  <c r="BW154" i="67"/>
  <c r="BW150" i="67"/>
  <c r="BW145" i="67"/>
  <c r="BW152" i="67"/>
  <c r="BW155" i="67"/>
  <c r="BW153" i="67"/>
  <c r="BW140" i="67"/>
  <c r="BW168" i="67"/>
  <c r="BW142" i="67"/>
  <c r="BW143" i="67"/>
  <c r="BW144" i="67"/>
  <c r="BW146" i="67"/>
  <c r="BW151" i="67"/>
  <c r="CW5" i="1"/>
  <c r="BW13" i="67"/>
  <c r="BW12" i="67" s="1"/>
  <c r="BX12" i="67" s="1"/>
  <c r="BW156" i="67"/>
  <c r="CB9" i="67"/>
  <c r="BX7" i="67"/>
  <c r="CU164" i="1"/>
  <c r="CT164" i="1"/>
  <c r="BY216" i="67"/>
  <c r="BY5" i="67"/>
  <c r="BY20" i="67"/>
  <c r="CT126" i="1"/>
  <c r="CT215" i="1"/>
  <c r="CT304" i="1"/>
  <c r="CU180" i="1"/>
  <c r="CU181" i="1" s="1"/>
  <c r="CT180" i="1"/>
  <c r="CT119" i="1"/>
  <c r="CT134" i="1"/>
  <c r="CT205" i="1"/>
  <c r="CT210" i="1"/>
  <c r="CT246" i="1" s="1"/>
  <c r="CT55" i="1"/>
  <c r="BT175" i="67"/>
  <c r="BT177" i="67"/>
  <c r="BT181" i="67"/>
  <c r="BT185" i="67"/>
  <c r="BT187" i="67"/>
  <c r="BT200" i="67"/>
  <c r="BT213" i="67" s="1"/>
  <c r="BT226" i="67"/>
  <c r="BT176" i="67"/>
  <c r="BT178" i="67"/>
  <c r="BT184" i="67"/>
  <c r="BT186" i="67"/>
  <c r="CT14" i="1"/>
  <c r="CT15" i="1" s="1"/>
  <c r="CS119" i="1" l="1"/>
  <c r="CR171" i="1"/>
  <c r="CR212" i="1"/>
  <c r="CR245" i="1" s="1"/>
  <c r="CS212" i="1"/>
  <c r="CS245" i="1" s="1"/>
  <c r="CS211" i="1"/>
  <c r="CP302" i="1"/>
  <c r="CR14" i="1"/>
  <c r="CR15" i="1" s="1"/>
  <c r="CR17" i="1"/>
  <c r="CS13" i="1"/>
  <c r="CS14" i="1" s="1"/>
  <c r="CS15" i="1" s="1"/>
  <c r="DE224" i="1"/>
  <c r="CZ142" i="1"/>
  <c r="CQ164" i="1"/>
  <c r="CQ302" i="1" s="1"/>
  <c r="CR164" i="1"/>
  <c r="CR302" i="1" s="1"/>
  <c r="CS285" i="1"/>
  <c r="CS287" i="1" s="1"/>
  <c r="CS241" i="1"/>
  <c r="CO227" i="1"/>
  <c r="CO85" i="1"/>
  <c r="CO87" i="1" s="1"/>
  <c r="CO79" i="1"/>
  <c r="CO80" i="1" s="1"/>
  <c r="CO200" i="1"/>
  <c r="CS134" i="1"/>
  <c r="CR221" i="1"/>
  <c r="CR247" i="1" s="1"/>
  <c r="CS221" i="1"/>
  <c r="CS247" i="1" s="1"/>
  <c r="CS220" i="1"/>
  <c r="DA224" i="1"/>
  <c r="CV142" i="1"/>
  <c r="CV164" i="1" s="1"/>
  <c r="CS301" i="1"/>
  <c r="CS62" i="1"/>
  <c r="CO240" i="1"/>
  <c r="CO241" i="1" s="1"/>
  <c r="CO242" i="1" s="1"/>
  <c r="CO207" i="1"/>
  <c r="CO269" i="1"/>
  <c r="CG167" i="67"/>
  <c r="CG126" i="67"/>
  <c r="CH126" i="67" s="1"/>
  <c r="CH125" i="67"/>
  <c r="CM132" i="67" s="1"/>
  <c r="CG105" i="67"/>
  <c r="CG165" i="67"/>
  <c r="CH104" i="67"/>
  <c r="CM111" i="67" s="1"/>
  <c r="CH108" i="67"/>
  <c r="CC14" i="67"/>
  <c r="BX150" i="67"/>
  <c r="BX155" i="67"/>
  <c r="BX154" i="67"/>
  <c r="BX142" i="67"/>
  <c r="BX146" i="67"/>
  <c r="BX151" i="67"/>
  <c r="BX153" i="67"/>
  <c r="CC8" i="67"/>
  <c r="BX149" i="67"/>
  <c r="BX13" i="67"/>
  <c r="BX140" i="67"/>
  <c r="BX141" i="67"/>
  <c r="BX143" i="67"/>
  <c r="BX144" i="67"/>
  <c r="BX145" i="67"/>
  <c r="BX152" i="67"/>
  <c r="BX156" i="67"/>
  <c r="DB271" i="1"/>
  <c r="CC11" i="67"/>
  <c r="DC271" i="1" s="1"/>
  <c r="CB15" i="67"/>
  <c r="CC9" i="67"/>
  <c r="CC10" i="67"/>
  <c r="BW225" i="67"/>
  <c r="BW169" i="67"/>
  <c r="BX168" i="67"/>
  <c r="CB18" i="67"/>
  <c r="CB159" i="67"/>
  <c r="CC17" i="67"/>
  <c r="CB4" i="67"/>
  <c r="CC4" i="67" s="1"/>
  <c r="CW118" i="1"/>
  <c r="CW141" i="1"/>
  <c r="CW120" i="1"/>
  <c r="CW142" i="1"/>
  <c r="CW125" i="1"/>
  <c r="CW178" i="1"/>
  <c r="CW6" i="1"/>
  <c r="CW137" i="1"/>
  <c r="CW298" i="1"/>
  <c r="CX5" i="1"/>
  <c r="CU171" i="1"/>
  <c r="CU303" i="1" s="1"/>
  <c r="CT17" i="1"/>
  <c r="CT56" i="1"/>
  <c r="CT58" i="1" s="1"/>
  <c r="CT57" i="1"/>
  <c r="CT61" i="1"/>
  <c r="CT239" i="1"/>
  <c r="CT241" i="1" s="1"/>
  <c r="CT299" i="1"/>
  <c r="BY6" i="67"/>
  <c r="CT302" i="1"/>
  <c r="CU162" i="1"/>
  <c r="CU126" i="1" s="1"/>
  <c r="CT218" i="1"/>
  <c r="CT212" i="1"/>
  <c r="CT245" i="1" s="1"/>
  <c r="BY7" i="67"/>
  <c r="CD9" i="67" s="1"/>
  <c r="CT181" i="1"/>
  <c r="CD24" i="67"/>
  <c r="CT221" i="1"/>
  <c r="CT247" i="1" s="1"/>
  <c r="CT171" i="1" l="1"/>
  <c r="CT303" i="1" s="1"/>
  <c r="CR248" i="1"/>
  <c r="CS248" i="1"/>
  <c r="CR18" i="1"/>
  <c r="CR20" i="1" s="1"/>
  <c r="CR19" i="1"/>
  <c r="CR206" i="1"/>
  <c r="CS17" i="1"/>
  <c r="CR303" i="1"/>
  <c r="CS171" i="1"/>
  <c r="DF224" i="1"/>
  <c r="DA142" i="1"/>
  <c r="DA164" i="1" s="1"/>
  <c r="DJ224" i="1"/>
  <c r="DJ142" i="1" s="1"/>
  <c r="DE142" i="1"/>
  <c r="CS164" i="1"/>
  <c r="CS302" i="1" s="1"/>
  <c r="CG128" i="67"/>
  <c r="CH128" i="67" s="1"/>
  <c r="CD8" i="67"/>
  <c r="CG222" i="67"/>
  <c r="CH165" i="67"/>
  <c r="CL130" i="67"/>
  <c r="CL131" i="67"/>
  <c r="CH134" i="67"/>
  <c r="CL110" i="67"/>
  <c r="CH113" i="67"/>
  <c r="CL109" i="67"/>
  <c r="CH105" i="67"/>
  <c r="CH106" i="67" s="1"/>
  <c r="CH127" i="67"/>
  <c r="CG107" i="67"/>
  <c r="CH107" i="67" s="1"/>
  <c r="CM133" i="67"/>
  <c r="CG224" i="67"/>
  <c r="CH167" i="67"/>
  <c r="BW175" i="67"/>
  <c r="BW187" i="67"/>
  <c r="BW178" i="67"/>
  <c r="BW177" i="67"/>
  <c r="BW200" i="67"/>
  <c r="BW213" i="67" s="1"/>
  <c r="BW184" i="67"/>
  <c r="BW185" i="67"/>
  <c r="BW181" i="67"/>
  <c r="BW226" i="67"/>
  <c r="BW186" i="67"/>
  <c r="CW55" i="1"/>
  <c r="BW176" i="67"/>
  <c r="CW215" i="1"/>
  <c r="CW304" i="1"/>
  <c r="CX178" i="1"/>
  <c r="CX137" i="1"/>
  <c r="CX222" i="1"/>
  <c r="CX142" i="1"/>
  <c r="CW164" i="1"/>
  <c r="CX164" i="1" s="1"/>
  <c r="CX224" i="1"/>
  <c r="BX169" i="67"/>
  <c r="BX225" i="67"/>
  <c r="BX199" i="67"/>
  <c r="DB7" i="1"/>
  <c r="DB270" i="1" s="1"/>
  <c r="CC15" i="67"/>
  <c r="DC7" i="1" s="1"/>
  <c r="DC270" i="1" s="1"/>
  <c r="CG22" i="67"/>
  <c r="CG21" i="67" s="1"/>
  <c r="CH21" i="67" s="1"/>
  <c r="CG23" i="67"/>
  <c r="CC26" i="67"/>
  <c r="CX141" i="1"/>
  <c r="CX223" i="1" s="1"/>
  <c r="CX225" i="1"/>
  <c r="CX120" i="1"/>
  <c r="CX213" i="1"/>
  <c r="CX298" i="1"/>
  <c r="CX9" i="1"/>
  <c r="CX6" i="1"/>
  <c r="CB216" i="67"/>
  <c r="CC159" i="67"/>
  <c r="CW180" i="1"/>
  <c r="CX125" i="1"/>
  <c r="CX214" i="1"/>
  <c r="CW210" i="1"/>
  <c r="CW246" i="1" s="1"/>
  <c r="CX118" i="1"/>
  <c r="CX210" i="1"/>
  <c r="CX246" i="1" s="1"/>
  <c r="CX209" i="1"/>
  <c r="CB20" i="67"/>
  <c r="CC18" i="67"/>
  <c r="CC19" i="67" s="1"/>
  <c r="CB5" i="67"/>
  <c r="CD10" i="67"/>
  <c r="CD15" i="67" s="1"/>
  <c r="BY149" i="67"/>
  <c r="CV162" i="1"/>
  <c r="CV126" i="1" s="1"/>
  <c r="CT18" i="1"/>
  <c r="CT20" i="1" s="1"/>
  <c r="CT19" i="1"/>
  <c r="CT206" i="1"/>
  <c r="CD11" i="67"/>
  <c r="DD271" i="1" s="1"/>
  <c r="CD26" i="67"/>
  <c r="CD17" i="67" s="1"/>
  <c r="CY5" i="1"/>
  <c r="BY13" i="67"/>
  <c r="BY12" i="67" s="1"/>
  <c r="BY142" i="67"/>
  <c r="BY146" i="67"/>
  <c r="BY152" i="67"/>
  <c r="BY156" i="67"/>
  <c r="BY143" i="67"/>
  <c r="BY151" i="67"/>
  <c r="BY155" i="67"/>
  <c r="BY140" i="67"/>
  <c r="BY144" i="67"/>
  <c r="BY150" i="67"/>
  <c r="BY154" i="67"/>
  <c r="BY168" i="67"/>
  <c r="BY141" i="67"/>
  <c r="BY145" i="67"/>
  <c r="BY153" i="67"/>
  <c r="CT248" i="1"/>
  <c r="CU60" i="1"/>
  <c r="CU218" i="1"/>
  <c r="CU302" i="1"/>
  <c r="CT62" i="1"/>
  <c r="CT301" i="1"/>
  <c r="CM112" i="67" l="1"/>
  <c r="CS303" i="1"/>
  <c r="CS206" i="1"/>
  <c r="CS19" i="1"/>
  <c r="CS18" i="1"/>
  <c r="CS20" i="1" s="1"/>
  <c r="DK224" i="1"/>
  <c r="DK142" i="1" s="1"/>
  <c r="DK164" i="1" s="1"/>
  <c r="DF142" i="1"/>
  <c r="DF164" i="1" s="1"/>
  <c r="CH198" i="67"/>
  <c r="CH224" i="67"/>
  <c r="CL134" i="67"/>
  <c r="CL125" i="67" s="1"/>
  <c r="CH196" i="67"/>
  <c r="CH222" i="67"/>
  <c r="CL113" i="67"/>
  <c r="CL104" i="67" s="1"/>
  <c r="CL108" i="67"/>
  <c r="CW9" i="1"/>
  <c r="CX205" i="1"/>
  <c r="CX215" i="1"/>
  <c r="CX304" i="1"/>
  <c r="CX216" i="1"/>
  <c r="CW56" i="1"/>
  <c r="CW58" i="1" s="1"/>
  <c r="CW239" i="1"/>
  <c r="CW299" i="1"/>
  <c r="CW57" i="1"/>
  <c r="CX55" i="1"/>
  <c r="CB6" i="67"/>
  <c r="CB7" i="67"/>
  <c r="CC5" i="67"/>
  <c r="CC6" i="67" s="1"/>
  <c r="CC190" i="67"/>
  <c r="CC216" i="67"/>
  <c r="CC20" i="67"/>
  <c r="CG24" i="67"/>
  <c r="CW181" i="1"/>
  <c r="CX180" i="1"/>
  <c r="CX181" i="1" s="1"/>
  <c r="BX176" i="67"/>
  <c r="BX175" i="67"/>
  <c r="BX187" i="67"/>
  <c r="BX178" i="67"/>
  <c r="BX181" i="67"/>
  <c r="BX200" i="67"/>
  <c r="BX213" i="67" s="1"/>
  <c r="BX226" i="67"/>
  <c r="BX186" i="67"/>
  <c r="BX185" i="67"/>
  <c r="BX177" i="67"/>
  <c r="BX184" i="67"/>
  <c r="CW162" i="1"/>
  <c r="BY169" i="67"/>
  <c r="BY225" i="67"/>
  <c r="CU61" i="1"/>
  <c r="CU219" i="1"/>
  <c r="CY6" i="1"/>
  <c r="CY9" i="1"/>
  <c r="CY13" i="1" s="1"/>
  <c r="CY118" i="1"/>
  <c r="CY120" i="1"/>
  <c r="CY125" i="1"/>
  <c r="CY137" i="1"/>
  <c r="CY141" i="1"/>
  <c r="CY142" i="1"/>
  <c r="CY178" i="1"/>
  <c r="CY298" i="1"/>
  <c r="DD7" i="1"/>
  <c r="DD270" i="1" s="1"/>
  <c r="CD18" i="67"/>
  <c r="CD4" i="67"/>
  <c r="CD159" i="67"/>
  <c r="CV60" i="1"/>
  <c r="CV218" i="1"/>
  <c r="CV302" i="1"/>
  <c r="CM108" i="67" l="1"/>
  <c r="CL165" i="67"/>
  <c r="CL105" i="67"/>
  <c r="CM105" i="67" s="1"/>
  <c r="CM104" i="67"/>
  <c r="CM113" i="67" s="1"/>
  <c r="CL167" i="67"/>
  <c r="CL126" i="67"/>
  <c r="CM126" i="67" s="1"/>
  <c r="CM125" i="67"/>
  <c r="CM134" i="67" s="1"/>
  <c r="CX57" i="1"/>
  <c r="CX239" i="1"/>
  <c r="CX56" i="1"/>
  <c r="CX58" i="1" s="1"/>
  <c r="CX299" i="1"/>
  <c r="CX251" i="1"/>
  <c r="CX252" i="1" s="1"/>
  <c r="CX253" i="1" s="1"/>
  <c r="CG26" i="67"/>
  <c r="CG17" i="67" s="1"/>
  <c r="CH24" i="67"/>
  <c r="CG11" i="67"/>
  <c r="CG10" i="67"/>
  <c r="CB155" i="67"/>
  <c r="CB150" i="67"/>
  <c r="CB145" i="67"/>
  <c r="CB141" i="67"/>
  <c r="CB156" i="67"/>
  <c r="CG8" i="67"/>
  <c r="CG9" i="67"/>
  <c r="CB149" i="67"/>
  <c r="CB154" i="67"/>
  <c r="CB146" i="67"/>
  <c r="CB168" i="67"/>
  <c r="CB153" i="67"/>
  <c r="CB151" i="67"/>
  <c r="DB5" i="1"/>
  <c r="CB144" i="67"/>
  <c r="CB143" i="67"/>
  <c r="CB152" i="67"/>
  <c r="CC7" i="67"/>
  <c r="CB142" i="67"/>
  <c r="CB140" i="67"/>
  <c r="CB13" i="67"/>
  <c r="CB12" i="67" s="1"/>
  <c r="CC12" i="67" s="1"/>
  <c r="CW205" i="1"/>
  <c r="CW10" i="1"/>
  <c r="CW11" i="1" s="1"/>
  <c r="CW13" i="1"/>
  <c r="CW134" i="1"/>
  <c r="CW119" i="1"/>
  <c r="CY119" i="1"/>
  <c r="CY212" i="1" s="1"/>
  <c r="CY245" i="1" s="1"/>
  <c r="CY134" i="1"/>
  <c r="CY221" i="1" s="1"/>
  <c r="CY247" i="1" s="1"/>
  <c r="CY205" i="1"/>
  <c r="CU62" i="1"/>
  <c r="CU301" i="1"/>
  <c r="CY215" i="1"/>
  <c r="CY304" i="1"/>
  <c r="CZ180" i="1"/>
  <c r="CZ181" i="1" s="1"/>
  <c r="CY180" i="1"/>
  <c r="CY14" i="1"/>
  <c r="CY15" i="1" s="1"/>
  <c r="CZ164" i="1"/>
  <c r="CY164" i="1"/>
  <c r="CD216" i="67"/>
  <c r="CD5" i="67"/>
  <c r="CD7" i="67" s="1"/>
  <c r="CD20" i="67"/>
  <c r="CY210" i="1"/>
  <c r="CY246" i="1" s="1"/>
  <c r="CY55" i="1"/>
  <c r="BY226" i="67"/>
  <c r="BY176" i="67"/>
  <c r="BY178" i="67"/>
  <c r="BY184" i="67"/>
  <c r="BY186" i="67"/>
  <c r="BY175" i="67"/>
  <c r="BY177" i="67"/>
  <c r="BY185" i="67"/>
  <c r="BY187" i="67"/>
  <c r="BY200" i="67"/>
  <c r="BY213" i="67" s="1"/>
  <c r="BY181" i="67"/>
  <c r="CV61" i="1"/>
  <c r="CV219" i="1"/>
  <c r="CW60" i="1"/>
  <c r="CW302" i="1"/>
  <c r="CX162" i="1"/>
  <c r="CW126" i="1"/>
  <c r="CW218" i="1" s="1"/>
  <c r="CL128" i="67" l="1"/>
  <c r="CM128" i="67" s="1"/>
  <c r="CM127" i="67"/>
  <c r="CM106" i="67"/>
  <c r="CL107" i="67"/>
  <c r="CM107" i="67" s="1"/>
  <c r="CL224" i="67"/>
  <c r="CM167" i="67"/>
  <c r="CL222" i="67"/>
  <c r="CM165" i="67"/>
  <c r="CH10" i="67"/>
  <c r="CX134" i="1"/>
  <c r="CW221" i="1"/>
  <c r="CW247" i="1" s="1"/>
  <c r="CX221" i="1"/>
  <c r="CX247" i="1" s="1"/>
  <c r="CX220" i="1"/>
  <c r="CG4" i="67"/>
  <c r="CG159" i="67"/>
  <c r="CG18" i="67"/>
  <c r="CH17" i="67"/>
  <c r="CX241" i="1"/>
  <c r="CX285" i="1"/>
  <c r="CX287" i="1" s="1"/>
  <c r="CX13" i="1"/>
  <c r="CX14" i="1" s="1"/>
  <c r="CX15" i="1" s="1"/>
  <c r="CW14" i="1"/>
  <c r="CW15" i="1" s="1"/>
  <c r="CW17" i="1"/>
  <c r="CB169" i="67"/>
  <c r="CB225" i="67"/>
  <c r="CC168" i="67"/>
  <c r="CG15" i="67"/>
  <c r="CH9" i="67"/>
  <c r="DG271" i="1"/>
  <c r="CH11" i="67"/>
  <c r="DH271" i="1" s="1"/>
  <c r="CX212" i="1"/>
  <c r="CX245" i="1" s="1"/>
  <c r="CW212" i="1"/>
  <c r="CW245" i="1" s="1"/>
  <c r="CW248" i="1" s="1"/>
  <c r="CX119" i="1"/>
  <c r="CX211" i="1"/>
  <c r="CW171" i="1"/>
  <c r="CC144" i="67"/>
  <c r="CC145" i="67"/>
  <c r="CC152" i="67"/>
  <c r="CC155" i="67"/>
  <c r="CC143" i="67"/>
  <c r="CC150" i="67"/>
  <c r="CC153" i="67"/>
  <c r="CC156" i="67"/>
  <c r="CC149" i="67"/>
  <c r="CC13" i="67"/>
  <c r="CC154" i="67"/>
  <c r="CC140" i="67"/>
  <c r="CC141" i="67"/>
  <c r="CC146" i="67"/>
  <c r="CC151" i="67"/>
  <c r="CH14" i="67"/>
  <c r="CC142" i="67"/>
  <c r="DB6" i="1"/>
  <c r="DB120" i="1"/>
  <c r="DB137" i="1"/>
  <c r="DB142" i="1"/>
  <c r="DC5" i="1"/>
  <c r="DB178" i="1"/>
  <c r="DB141" i="1"/>
  <c r="DB118" i="1"/>
  <c r="DB125" i="1"/>
  <c r="DB298" i="1"/>
  <c r="CH8" i="67"/>
  <c r="CZ171" i="1"/>
  <c r="CZ303" i="1" s="1"/>
  <c r="DD5" i="1"/>
  <c r="CD13" i="67"/>
  <c r="CD12" i="67" s="1"/>
  <c r="CD143" i="67"/>
  <c r="CD151" i="67"/>
  <c r="CD155" i="67"/>
  <c r="CD140" i="67"/>
  <c r="CD144" i="67"/>
  <c r="CD150" i="67"/>
  <c r="CD154" i="67"/>
  <c r="CD168" i="67"/>
  <c r="CD141" i="67"/>
  <c r="CD145" i="67"/>
  <c r="CD153" i="67"/>
  <c r="CD142" i="67"/>
  <c r="CD146" i="67"/>
  <c r="CD152" i="67"/>
  <c r="CD156" i="67"/>
  <c r="CY248" i="1"/>
  <c r="CX126" i="1"/>
  <c r="CW219" i="1"/>
  <c r="CW61" i="1"/>
  <c r="CV62" i="1"/>
  <c r="CV301" i="1"/>
  <c r="CY17" i="1"/>
  <c r="CY56" i="1"/>
  <c r="CY58" i="1" s="1"/>
  <c r="CY57" i="1"/>
  <c r="CY239" i="1"/>
  <c r="CY241" i="1" s="1"/>
  <c r="CY299" i="1"/>
  <c r="CY181" i="1"/>
  <c r="CX60" i="1"/>
  <c r="CX217" i="1"/>
  <c r="CX302" i="1"/>
  <c r="CX218" i="1"/>
  <c r="CI8" i="67"/>
  <c r="CI9" i="67"/>
  <c r="CI10" i="67"/>
  <c r="CD149" i="67"/>
  <c r="CI24" i="67"/>
  <c r="CD6" i="67"/>
  <c r="CM198" i="67" l="1"/>
  <c r="CM224" i="67"/>
  <c r="CM196" i="67"/>
  <c r="CM222" i="67"/>
  <c r="CX248" i="1"/>
  <c r="CY171" i="1"/>
  <c r="CY303" i="1" s="1"/>
  <c r="DB304" i="1"/>
  <c r="DC178" i="1"/>
  <c r="DB215" i="1"/>
  <c r="DC120" i="1"/>
  <c r="DC213" i="1"/>
  <c r="CB177" i="67"/>
  <c r="CB226" i="67"/>
  <c r="CB186" i="67"/>
  <c r="CB178" i="67"/>
  <c r="CB185" i="67"/>
  <c r="CB176" i="67"/>
  <c r="CB181" i="67"/>
  <c r="DB55" i="1"/>
  <c r="CB175" i="67"/>
  <c r="CB200" i="67"/>
  <c r="CB213" i="67" s="1"/>
  <c r="CB184" i="67"/>
  <c r="CB187" i="67"/>
  <c r="CH26" i="67"/>
  <c r="CL22" i="67"/>
  <c r="CL23" i="67"/>
  <c r="DC125" i="1"/>
  <c r="DB180" i="1"/>
  <c r="DC214" i="1"/>
  <c r="DC6" i="1"/>
  <c r="DC9" i="1"/>
  <c r="DC298" i="1"/>
  <c r="DG7" i="1"/>
  <c r="DG270" i="1" s="1"/>
  <c r="CH15" i="67"/>
  <c r="DH7" i="1" s="1"/>
  <c r="DH270" i="1" s="1"/>
  <c r="CG5" i="67"/>
  <c r="CG7" i="67" s="1"/>
  <c r="CG20" i="67"/>
  <c r="CH18" i="67"/>
  <c r="CH19" i="67" s="1"/>
  <c r="DC118" i="1"/>
  <c r="DC209" i="1"/>
  <c r="DC210" i="1"/>
  <c r="DC246" i="1" s="1"/>
  <c r="DB210" i="1"/>
  <c r="DB246" i="1" s="1"/>
  <c r="DC142" i="1"/>
  <c r="DB164" i="1"/>
  <c r="DC164" i="1" s="1"/>
  <c r="DC224" i="1"/>
  <c r="CC169" i="67"/>
  <c r="CC199" i="67"/>
  <c r="CC225" i="67"/>
  <c r="CG216" i="67"/>
  <c r="CH159" i="67"/>
  <c r="DC141" i="1"/>
  <c r="DC223" i="1" s="1"/>
  <c r="DC225" i="1"/>
  <c r="DC137" i="1"/>
  <c r="DC222" i="1"/>
  <c r="CX171" i="1"/>
  <c r="CW303" i="1"/>
  <c r="CW206" i="1"/>
  <c r="CW19" i="1"/>
  <c r="CX17" i="1"/>
  <c r="CW18" i="1"/>
  <c r="CW20" i="1" s="1"/>
  <c r="CH4" i="67"/>
  <c r="CX219" i="1"/>
  <c r="CX61" i="1"/>
  <c r="CW62" i="1"/>
  <c r="CW301" i="1"/>
  <c r="CY162" i="1"/>
  <c r="CI15" i="67"/>
  <c r="CY18" i="1"/>
  <c r="CY20" i="1" s="1"/>
  <c r="CY19" i="1"/>
  <c r="CY206" i="1"/>
  <c r="CI11" i="67"/>
  <c r="CI26" i="67"/>
  <c r="CI17" i="67" s="1"/>
  <c r="CD169" i="67"/>
  <c r="CD225" i="67"/>
  <c r="DD9" i="1"/>
  <c r="DD13" i="1" s="1"/>
  <c r="DD6" i="1"/>
  <c r="DD118" i="1"/>
  <c r="DD120" i="1"/>
  <c r="DD125" i="1"/>
  <c r="DD137" i="1"/>
  <c r="DD141" i="1"/>
  <c r="DD142" i="1"/>
  <c r="DD178" i="1"/>
  <c r="DD298" i="1"/>
  <c r="CC185" i="67" l="1"/>
  <c r="CC178" i="67"/>
  <c r="CC226" i="67"/>
  <c r="CC187" i="67"/>
  <c r="CC184" i="67"/>
  <c r="CC181" i="67"/>
  <c r="CC175" i="67"/>
  <c r="CC200" i="67"/>
  <c r="CC213" i="67" s="1"/>
  <c r="CC186" i="67"/>
  <c r="CC177" i="67"/>
  <c r="CC176" i="67"/>
  <c r="CL10" i="67"/>
  <c r="CX206" i="1"/>
  <c r="CX18" i="1"/>
  <c r="CX20" i="1" s="1"/>
  <c r="CX19" i="1"/>
  <c r="CX303" i="1"/>
  <c r="CL24" i="67"/>
  <c r="CL26" i="67" s="1"/>
  <c r="CL17" i="67" s="1"/>
  <c r="CM17" i="67" s="1"/>
  <c r="CM26" i="67" s="1"/>
  <c r="CH20" i="67"/>
  <c r="CL9" i="67"/>
  <c r="CL21" i="67"/>
  <c r="CH216" i="67"/>
  <c r="CH190" i="67"/>
  <c r="CG6" i="67"/>
  <c r="CH5" i="67"/>
  <c r="CH6" i="67" s="1"/>
  <c r="DB9" i="1"/>
  <c r="DC205" i="1"/>
  <c r="DB181" i="1"/>
  <c r="DC180" i="1"/>
  <c r="DC181" i="1" s="1"/>
  <c r="DC215" i="1"/>
  <c r="DC216" i="1"/>
  <c r="DC304" i="1"/>
  <c r="CG149" i="67"/>
  <c r="CG145" i="67"/>
  <c r="DG5" i="1"/>
  <c r="CG154" i="67"/>
  <c r="CH7" i="67"/>
  <c r="CG13" i="67"/>
  <c r="CG12" i="67" s="1"/>
  <c r="CH12" i="67" s="1"/>
  <c r="CG156" i="67"/>
  <c r="CG140" i="67"/>
  <c r="CG168" i="67"/>
  <c r="CG151" i="67"/>
  <c r="CG152" i="67"/>
  <c r="CG153" i="67"/>
  <c r="CG142" i="67"/>
  <c r="CG143" i="67"/>
  <c r="CG144" i="67"/>
  <c r="CG141" i="67"/>
  <c r="CG146" i="67"/>
  <c r="CG150" i="67"/>
  <c r="CG155" i="67"/>
  <c r="DB57" i="1"/>
  <c r="DB239" i="1"/>
  <c r="DB299" i="1"/>
  <c r="DB56" i="1"/>
  <c r="DB58" i="1" s="1"/>
  <c r="DC55" i="1"/>
  <c r="DE164" i="1"/>
  <c r="DD164" i="1"/>
  <c r="CI4" i="67"/>
  <c r="CI18" i="67"/>
  <c r="CI159" i="67"/>
  <c r="DD119" i="1"/>
  <c r="DD212" i="1" s="1"/>
  <c r="DD245" i="1" s="1"/>
  <c r="DD134" i="1"/>
  <c r="DD221" i="1" s="1"/>
  <c r="DD247" i="1" s="1"/>
  <c r="DD205" i="1"/>
  <c r="CX62" i="1"/>
  <c r="CX301" i="1"/>
  <c r="DD55" i="1"/>
  <c r="CD176" i="67"/>
  <c r="CD178" i="67"/>
  <c r="CD184" i="67"/>
  <c r="CD186" i="67"/>
  <c r="CD175" i="67"/>
  <c r="CD177" i="67"/>
  <c r="CD185" i="67"/>
  <c r="CD187" i="67"/>
  <c r="CD200" i="67"/>
  <c r="CD213" i="67" s="1"/>
  <c r="CD226" i="67"/>
  <c r="CD181" i="67"/>
  <c r="DD210" i="1"/>
  <c r="DD246" i="1" s="1"/>
  <c r="DI271" i="1"/>
  <c r="CY60" i="1"/>
  <c r="CY302" i="1"/>
  <c r="CY126" i="1"/>
  <c r="CY218" i="1" s="1"/>
  <c r="DD215" i="1"/>
  <c r="DD304" i="1"/>
  <c r="DE180" i="1"/>
  <c r="DE181" i="1" s="1"/>
  <c r="DD180" i="1"/>
  <c r="DI7" i="1"/>
  <c r="DI270" i="1" s="1"/>
  <c r="DD14" i="1"/>
  <c r="DD15" i="1" s="1"/>
  <c r="CH149" i="67" l="1"/>
  <c r="CM10" i="67"/>
  <c r="DC239" i="1"/>
  <c r="DC56" i="1"/>
  <c r="DC58" i="1" s="1"/>
  <c r="DC299" i="1"/>
  <c r="DC57" i="1"/>
  <c r="DC251" i="1"/>
  <c r="DC252" i="1" s="1"/>
  <c r="DC253" i="1" s="1"/>
  <c r="DG6" i="1"/>
  <c r="DG137" i="1"/>
  <c r="DG298" i="1"/>
  <c r="DH5" i="1"/>
  <c r="DG178" i="1"/>
  <c r="DG118" i="1"/>
  <c r="DG141" i="1"/>
  <c r="DG120" i="1"/>
  <c r="DG142" i="1"/>
  <c r="DG125" i="1"/>
  <c r="CL18" i="67"/>
  <c r="CM18" i="67" s="1"/>
  <c r="CM19" i="67" s="1"/>
  <c r="CL4" i="67"/>
  <c r="CM4" i="67" s="1"/>
  <c r="CL159" i="67"/>
  <c r="CL216" i="67" s="1"/>
  <c r="CL8" i="67"/>
  <c r="CM8" i="67" s="1"/>
  <c r="CM21" i="67"/>
  <c r="CL11" i="67"/>
  <c r="CM24" i="67"/>
  <c r="CH168" i="67"/>
  <c r="CG225" i="67"/>
  <c r="CG169" i="67"/>
  <c r="CM14" i="67"/>
  <c r="CH153" i="67"/>
  <c r="CH156" i="67"/>
  <c r="CH140" i="67"/>
  <c r="CH13" i="67"/>
  <c r="CH142" i="67"/>
  <c r="CH143" i="67"/>
  <c r="CH144" i="67"/>
  <c r="CH141" i="67"/>
  <c r="CH146" i="67"/>
  <c r="CH151" i="67"/>
  <c r="CH150" i="67"/>
  <c r="CH145" i="67"/>
  <c r="CH152" i="67"/>
  <c r="CH155" i="67"/>
  <c r="CH154" i="67"/>
  <c r="CL15" i="67"/>
  <c r="CM9" i="67"/>
  <c r="DB134" i="1"/>
  <c r="DB13" i="1"/>
  <c r="DB205" i="1"/>
  <c r="DB119" i="1"/>
  <c r="DB10" i="1"/>
  <c r="DB11" i="1" s="1"/>
  <c r="DD181" i="1"/>
  <c r="DD248" i="1"/>
  <c r="CY219" i="1"/>
  <c r="CY61" i="1"/>
  <c r="DD17" i="1"/>
  <c r="DD56" i="1"/>
  <c r="DD58" i="1" s="1"/>
  <c r="DD57" i="1"/>
  <c r="DD239" i="1"/>
  <c r="DD241" i="1" s="1"/>
  <c r="DD299" i="1"/>
  <c r="CI216" i="67"/>
  <c r="CI5" i="67"/>
  <c r="CI20" i="67"/>
  <c r="CZ162" i="1"/>
  <c r="CZ126" i="1" s="1"/>
  <c r="DE171" i="1"/>
  <c r="DE303" i="1" s="1"/>
  <c r="CM159" i="67" l="1"/>
  <c r="CM190" i="67" s="1"/>
  <c r="DL7" i="1"/>
  <c r="DL270" i="1" s="1"/>
  <c r="CM15" i="67"/>
  <c r="DM7" i="1" s="1"/>
  <c r="DM270" i="1" s="1"/>
  <c r="DG164" i="1"/>
  <c r="DH164" i="1" s="1"/>
  <c r="DH142" i="1"/>
  <c r="DH224" i="1"/>
  <c r="DG215" i="1"/>
  <c r="DG304" i="1"/>
  <c r="DH178" i="1"/>
  <c r="DB14" i="1"/>
  <c r="DB15" i="1" s="1"/>
  <c r="DB17" i="1"/>
  <c r="DC13" i="1"/>
  <c r="DC14" i="1" s="1"/>
  <c r="DC15" i="1" s="1"/>
  <c r="CG226" i="67"/>
  <c r="CG186" i="67"/>
  <c r="CG187" i="67"/>
  <c r="CG176" i="67"/>
  <c r="CG200" i="67"/>
  <c r="CG213" i="67" s="1"/>
  <c r="CG177" i="67"/>
  <c r="CG185" i="67"/>
  <c r="CG175" i="67"/>
  <c r="CG184" i="67"/>
  <c r="CG178" i="67"/>
  <c r="CG181" i="67"/>
  <c r="DG55" i="1"/>
  <c r="DL271" i="1"/>
  <c r="CM11" i="67"/>
  <c r="DH120" i="1"/>
  <c r="DH213" i="1"/>
  <c r="DH298" i="1"/>
  <c r="DH6" i="1"/>
  <c r="DH9" i="1"/>
  <c r="DB221" i="1"/>
  <c r="DB247" i="1" s="1"/>
  <c r="DC221" i="1"/>
  <c r="DC247" i="1" s="1"/>
  <c r="DC134" i="1"/>
  <c r="DC220" i="1"/>
  <c r="CL5" i="67"/>
  <c r="CM5" i="67" s="1"/>
  <c r="CM6" i="67" s="1"/>
  <c r="CL20" i="67"/>
  <c r="CM20" i="67" s="1"/>
  <c r="DH141" i="1"/>
  <c r="DH223" i="1" s="1"/>
  <c r="DH225" i="1"/>
  <c r="DC241" i="1"/>
  <c r="DC285" i="1"/>
  <c r="DC287" i="1" s="1"/>
  <c r="DC211" i="1"/>
  <c r="DC119" i="1"/>
  <c r="DC212" i="1"/>
  <c r="DC245" i="1" s="1"/>
  <c r="DB212" i="1"/>
  <c r="DB245" i="1" s="1"/>
  <c r="DB171" i="1"/>
  <c r="CH199" i="67"/>
  <c r="CH169" i="67"/>
  <c r="CH225" i="67"/>
  <c r="DG180" i="1"/>
  <c r="DH214" i="1"/>
  <c r="DH125" i="1"/>
  <c r="DH209" i="1"/>
  <c r="DH118" i="1"/>
  <c r="DH210" i="1"/>
  <c r="DH246" i="1" s="1"/>
  <c r="DG210" i="1"/>
  <c r="DG246" i="1" s="1"/>
  <c r="DH137" i="1"/>
  <c r="DH222" i="1"/>
  <c r="CI6" i="67"/>
  <c r="CY62" i="1"/>
  <c r="CY301" i="1"/>
  <c r="CZ60" i="1"/>
  <c r="CZ218" i="1"/>
  <c r="CZ302" i="1"/>
  <c r="DD18" i="1"/>
  <c r="DD20" i="1" s="1"/>
  <c r="DD19" i="1"/>
  <c r="DD206" i="1"/>
  <c r="CI7" i="67"/>
  <c r="DA162" i="1"/>
  <c r="CM216" i="67" l="1"/>
  <c r="DC248" i="1"/>
  <c r="DD171" i="1"/>
  <c r="DD303" i="1" s="1"/>
  <c r="DB248" i="1"/>
  <c r="DG9" i="1"/>
  <c r="DH205" i="1"/>
  <c r="DH216" i="1"/>
  <c r="DH215" i="1"/>
  <c r="DH304" i="1"/>
  <c r="CH185" i="67"/>
  <c r="CH176" i="67"/>
  <c r="CH181" i="67"/>
  <c r="CH187" i="67"/>
  <c r="CH178" i="67"/>
  <c r="CH175" i="67"/>
  <c r="CH200" i="67"/>
  <c r="CH213" i="67" s="1"/>
  <c r="CH184" i="67"/>
  <c r="CH177" i="67"/>
  <c r="CH226" i="67"/>
  <c r="CH186" i="67"/>
  <c r="DG239" i="1"/>
  <c r="DH55" i="1"/>
  <c r="DG299" i="1"/>
  <c r="DG56" i="1"/>
  <c r="DG58" i="1" s="1"/>
  <c r="DG57" i="1"/>
  <c r="DC17" i="1"/>
  <c r="DB18" i="1"/>
  <c r="DB20" i="1" s="1"/>
  <c r="DB19" i="1"/>
  <c r="DB206" i="1"/>
  <c r="DG181" i="1"/>
  <c r="DH180" i="1"/>
  <c r="DH181" i="1" s="1"/>
  <c r="DB303" i="1"/>
  <c r="DC171" i="1"/>
  <c r="CL6" i="67"/>
  <c r="CL7" i="67"/>
  <c r="CM7" i="67" s="1"/>
  <c r="CM149" i="67" s="1"/>
  <c r="DA60" i="1"/>
  <c r="DA302" i="1"/>
  <c r="DA126" i="1"/>
  <c r="CZ61" i="1"/>
  <c r="CZ219" i="1"/>
  <c r="DI5" i="1"/>
  <c r="CI13" i="67"/>
  <c r="CI12" i="67" s="1"/>
  <c r="CI140" i="67"/>
  <c r="CI144" i="67"/>
  <c r="CI150" i="67"/>
  <c r="CI154" i="67"/>
  <c r="CI168" i="67"/>
  <c r="CI141" i="67"/>
  <c r="CI145" i="67"/>
  <c r="CI153" i="67"/>
  <c r="CI142" i="67"/>
  <c r="CI146" i="67"/>
  <c r="CI152" i="67"/>
  <c r="CI156" i="67"/>
  <c r="CI143" i="67"/>
  <c r="CI151" i="67"/>
  <c r="CI155" i="67"/>
  <c r="CI149" i="67"/>
  <c r="DC18" i="1" l="1"/>
  <c r="DC20" i="1" s="1"/>
  <c r="DC206" i="1"/>
  <c r="DC19" i="1"/>
  <c r="DC303" i="1"/>
  <c r="DG119" i="1"/>
  <c r="DG134" i="1"/>
  <c r="DG205" i="1"/>
  <c r="DG10" i="1"/>
  <c r="DG11" i="1" s="1"/>
  <c r="DG13" i="1"/>
  <c r="CL143" i="67"/>
  <c r="CL144" i="67"/>
  <c r="CL141" i="67"/>
  <c r="CL146" i="67"/>
  <c r="CL140" i="67"/>
  <c r="CL151" i="67"/>
  <c r="CL150" i="67"/>
  <c r="CL145" i="67"/>
  <c r="CL152" i="67"/>
  <c r="CL13" i="67"/>
  <c r="CL12" i="67" s="1"/>
  <c r="CM12" i="67" s="1"/>
  <c r="CL142" i="67"/>
  <c r="DL5" i="1"/>
  <c r="DM5" i="1" s="1"/>
  <c r="CL155" i="67"/>
  <c r="CL154" i="67"/>
  <c r="CL153" i="67"/>
  <c r="CL156" i="67"/>
  <c r="CL149" i="67"/>
  <c r="CL168" i="67"/>
  <c r="CM168" i="67" s="1"/>
  <c r="DH239" i="1"/>
  <c r="DH241" i="1" s="1"/>
  <c r="DH251" i="1"/>
  <c r="DH252" i="1" s="1"/>
  <c r="DH253" i="1" s="1"/>
  <c r="DH56" i="1"/>
  <c r="DH58" i="1" s="1"/>
  <c r="DH299" i="1"/>
  <c r="DH57" i="1"/>
  <c r="CM13" i="67"/>
  <c r="CM142" i="67"/>
  <c r="CM146" i="67"/>
  <c r="CM152" i="67"/>
  <c r="CM156" i="67"/>
  <c r="CM143" i="67"/>
  <c r="CM151" i="67"/>
  <c r="CM155" i="67"/>
  <c r="CM140" i="67"/>
  <c r="CM144" i="67"/>
  <c r="CM150" i="67"/>
  <c r="CM154" i="67"/>
  <c r="CM141" i="67"/>
  <c r="CM145" i="67"/>
  <c r="CM153" i="67"/>
  <c r="CZ62" i="1"/>
  <c r="CZ301" i="1"/>
  <c r="DB162" i="1"/>
  <c r="DB126" i="1" s="1"/>
  <c r="DI6" i="1"/>
  <c r="DI9" i="1"/>
  <c r="DI13" i="1" s="1"/>
  <c r="DI118" i="1"/>
  <c r="DI120" i="1"/>
  <c r="DI125" i="1"/>
  <c r="DI137" i="1"/>
  <c r="DI141" i="1"/>
  <c r="DI142" i="1"/>
  <c r="DI178" i="1"/>
  <c r="DI298" i="1"/>
  <c r="DA218" i="1"/>
  <c r="CI225" i="67"/>
  <c r="CI169" i="67"/>
  <c r="DA61" i="1"/>
  <c r="DA219" i="1"/>
  <c r="DL125" i="1" l="1"/>
  <c r="DM214" i="1" s="1"/>
  <c r="DL178" i="1"/>
  <c r="DM178" i="1" s="1"/>
  <c r="DL298" i="1"/>
  <c r="DL141" i="1"/>
  <c r="DM141" i="1" s="1"/>
  <c r="DM223" i="1" s="1"/>
  <c r="DL120" i="1"/>
  <c r="DM120" i="1" s="1"/>
  <c r="DL6" i="1"/>
  <c r="DL137" i="1"/>
  <c r="DM137" i="1" s="1"/>
  <c r="DL118" i="1"/>
  <c r="DM209" i="1" s="1"/>
  <c r="DL142" i="1"/>
  <c r="DM224" i="1" s="1"/>
  <c r="DG14" i="1"/>
  <c r="DG15" i="1" s="1"/>
  <c r="DH13" i="1"/>
  <c r="DH14" i="1" s="1"/>
  <c r="DH15" i="1" s="1"/>
  <c r="DG17" i="1"/>
  <c r="DG212" i="1"/>
  <c r="DG245" i="1" s="1"/>
  <c r="DH212" i="1"/>
  <c r="DH245" i="1" s="1"/>
  <c r="DG171" i="1"/>
  <c r="DH211" i="1"/>
  <c r="DH119" i="1"/>
  <c r="CL169" i="67"/>
  <c r="CL225" i="67"/>
  <c r="DH220" i="1"/>
  <c r="DH221" i="1"/>
  <c r="DH247" i="1" s="1"/>
  <c r="DH134" i="1"/>
  <c r="DG221" i="1"/>
  <c r="DG247" i="1" s="1"/>
  <c r="DI14" i="1"/>
  <c r="DI15" i="1" s="1"/>
  <c r="DC126" i="1"/>
  <c r="DJ180" i="1"/>
  <c r="DJ181" i="1" s="1"/>
  <c r="DI180" i="1"/>
  <c r="DI181" i="1" s="1"/>
  <c r="DJ164" i="1"/>
  <c r="DI164" i="1"/>
  <c r="DI55" i="1"/>
  <c r="CI175" i="67"/>
  <c r="CI177" i="67"/>
  <c r="CI185" i="67"/>
  <c r="CI187" i="67"/>
  <c r="CI200" i="67"/>
  <c r="CI213" i="67" s="1"/>
  <c r="CI176" i="67"/>
  <c r="CI178" i="67"/>
  <c r="CI184" i="67"/>
  <c r="CI186" i="67"/>
  <c r="CI226" i="67"/>
  <c r="CI181" i="67"/>
  <c r="DI210" i="1"/>
  <c r="DI246" i="1" s="1"/>
  <c r="DM6" i="1"/>
  <c r="DM9" i="1"/>
  <c r="DM298" i="1"/>
  <c r="DA62" i="1"/>
  <c r="DA301" i="1"/>
  <c r="CM225" i="67"/>
  <c r="CM169" i="67"/>
  <c r="CM199" i="67"/>
  <c r="DI215" i="1"/>
  <c r="DI304" i="1"/>
  <c r="DI119" i="1"/>
  <c r="DI134" i="1"/>
  <c r="DI205" i="1"/>
  <c r="DB60" i="1"/>
  <c r="DB302" i="1"/>
  <c r="DB218" i="1"/>
  <c r="DC162" i="1"/>
  <c r="DM210" i="1" l="1"/>
  <c r="DM246" i="1" s="1"/>
  <c r="DM225" i="1"/>
  <c r="DM213" i="1"/>
  <c r="DM222" i="1"/>
  <c r="CL176" i="67"/>
  <c r="CL175" i="67"/>
  <c r="CL200" i="67"/>
  <c r="CL213" i="67" s="1"/>
  <c r="CL187" i="67"/>
  <c r="CL178" i="67"/>
  <c r="CL177" i="67"/>
  <c r="CL226" i="67"/>
  <c r="DL55" i="1"/>
  <c r="CL184" i="67"/>
  <c r="CL185" i="67"/>
  <c r="CL181" i="67"/>
  <c r="CL186" i="67"/>
  <c r="DH248" i="1"/>
  <c r="DL304" i="1"/>
  <c r="DL215" i="1"/>
  <c r="DG248" i="1"/>
  <c r="DM142" i="1"/>
  <c r="DL164" i="1"/>
  <c r="DM164" i="1" s="1"/>
  <c r="DM125" i="1"/>
  <c r="DL180" i="1"/>
  <c r="DL181" i="1" s="1"/>
  <c r="DG303" i="1"/>
  <c r="DH171" i="1"/>
  <c r="DG19" i="1"/>
  <c r="DG206" i="1"/>
  <c r="DH17" i="1"/>
  <c r="DG18" i="1"/>
  <c r="DG20" i="1" s="1"/>
  <c r="DL210" i="1"/>
  <c r="DL246" i="1" s="1"/>
  <c r="DM118" i="1"/>
  <c r="DC60" i="1"/>
  <c r="DC217" i="1"/>
  <c r="DC218" i="1"/>
  <c r="DC302" i="1"/>
  <c r="DI221" i="1"/>
  <c r="DI247" i="1" s="1"/>
  <c r="DM215" i="1"/>
  <c r="DM216" i="1"/>
  <c r="DM304" i="1"/>
  <c r="DD162" i="1"/>
  <c r="DB219" i="1"/>
  <c r="DB61" i="1"/>
  <c r="CM226" i="67"/>
  <c r="CM176" i="67"/>
  <c r="CM178" i="67"/>
  <c r="CM184" i="67"/>
  <c r="CM186" i="67"/>
  <c r="CM175" i="67"/>
  <c r="CM177" i="67"/>
  <c r="CM185" i="67"/>
  <c r="CM187" i="67"/>
  <c r="CM200" i="67"/>
  <c r="CM213" i="67" s="1"/>
  <c r="CM181" i="67"/>
  <c r="DI171" i="1"/>
  <c r="DI212" i="1"/>
  <c r="DI245" i="1" s="1"/>
  <c r="DL9" i="1"/>
  <c r="DM205" i="1"/>
  <c r="DJ171" i="1"/>
  <c r="DJ303" i="1" s="1"/>
  <c r="DI56" i="1"/>
  <c r="DI58" i="1" s="1"/>
  <c r="DI17" i="1"/>
  <c r="DI57" i="1"/>
  <c r="DI239" i="1"/>
  <c r="DI241" i="1" s="1"/>
  <c r="DI299" i="1"/>
  <c r="DI248" i="1" l="1"/>
  <c r="DL56" i="1"/>
  <c r="DL58" i="1" s="1"/>
  <c r="DL57" i="1"/>
  <c r="DL239" i="1"/>
  <c r="DL299" i="1"/>
  <c r="DH303" i="1"/>
  <c r="DM55" i="1"/>
  <c r="DM180" i="1"/>
  <c r="DM181" i="1" s="1"/>
  <c r="DH206" i="1"/>
  <c r="DH19" i="1"/>
  <c r="DH18" i="1"/>
  <c r="DH20" i="1" s="1"/>
  <c r="DL10" i="1"/>
  <c r="DL11" i="1" s="1"/>
  <c r="DL119" i="1"/>
  <c r="DL134" i="1"/>
  <c r="DL205" i="1"/>
  <c r="DL13" i="1"/>
  <c r="DI303" i="1"/>
  <c r="DB62" i="1"/>
  <c r="DB301" i="1"/>
  <c r="DC219" i="1"/>
  <c r="DC61" i="1"/>
  <c r="DI19" i="1"/>
  <c r="DI18" i="1"/>
  <c r="DI20" i="1" s="1"/>
  <c r="DI206" i="1"/>
  <c r="DD60" i="1"/>
  <c r="DD302" i="1"/>
  <c r="DD126" i="1"/>
  <c r="DD218" i="1" s="1"/>
  <c r="DM251" i="1" l="1"/>
  <c r="DM252" i="1" s="1"/>
  <c r="DM253" i="1" s="1"/>
  <c r="DM239" i="1"/>
  <c r="DM241" i="1" s="1"/>
  <c r="DM57" i="1"/>
  <c r="DM56" i="1"/>
  <c r="DM58" i="1" s="1"/>
  <c r="DM299" i="1"/>
  <c r="DL14" i="1"/>
  <c r="DL15" i="1" s="1"/>
  <c r="DM13" i="1"/>
  <c r="DM14" i="1" s="1"/>
  <c r="DM15" i="1" s="1"/>
  <c r="DL17" i="1"/>
  <c r="DE162" i="1"/>
  <c r="DE126" i="1" s="1"/>
  <c r="DD219" i="1"/>
  <c r="DD61" i="1"/>
  <c r="DC62" i="1"/>
  <c r="DC301" i="1"/>
  <c r="DM134" i="1"/>
  <c r="DL221" i="1"/>
  <c r="DL247" i="1" s="1"/>
  <c r="DM220" i="1"/>
  <c r="DM221" i="1"/>
  <c r="DM247" i="1" s="1"/>
  <c r="DM119" i="1"/>
  <c r="DL212" i="1"/>
  <c r="DL245" i="1" s="1"/>
  <c r="DL171" i="1"/>
  <c r="DM211" i="1"/>
  <c r="DM212" i="1"/>
  <c r="DM245" i="1" s="1"/>
  <c r="DM248" i="1" l="1"/>
  <c r="DL248" i="1"/>
  <c r="DF162" i="1"/>
  <c r="DF126" i="1" s="1"/>
  <c r="DL18" i="1"/>
  <c r="DL20" i="1" s="1"/>
  <c r="DL19" i="1"/>
  <c r="DL206" i="1"/>
  <c r="DM17" i="1"/>
  <c r="DL303" i="1"/>
  <c r="DM171" i="1"/>
  <c r="DD62" i="1"/>
  <c r="DD301" i="1"/>
  <c r="DE60" i="1"/>
  <c r="DE218" i="1"/>
  <c r="DE302" i="1"/>
  <c r="DG162" i="1" l="1"/>
  <c r="DH162" i="1" s="1"/>
  <c r="DM18" i="1"/>
  <c r="DM20" i="1" s="1"/>
  <c r="DM19" i="1"/>
  <c r="DM206" i="1"/>
  <c r="DF60" i="1"/>
  <c r="DF218" i="1"/>
  <c r="DF302" i="1"/>
  <c r="DE61" i="1"/>
  <c r="DE219" i="1"/>
  <c r="DM303" i="1"/>
  <c r="DH60" i="1" l="1"/>
  <c r="DH217" i="1"/>
  <c r="DH302" i="1"/>
  <c r="DE62" i="1"/>
  <c r="DE301" i="1"/>
  <c r="DG60" i="1"/>
  <c r="DG302" i="1"/>
  <c r="DG126" i="1"/>
  <c r="DF61" i="1"/>
  <c r="DF219" i="1"/>
  <c r="DH126" i="1" l="1"/>
  <c r="DH218" i="1"/>
  <c r="DG218" i="1"/>
  <c r="DF62" i="1"/>
  <c r="DF301" i="1"/>
  <c r="DG219" i="1"/>
  <c r="DG61" i="1"/>
  <c r="DH219" i="1"/>
  <c r="DH61" i="1"/>
  <c r="DG62" i="1" l="1"/>
  <c r="DG301" i="1"/>
  <c r="DI162" i="1"/>
  <c r="DH62" i="1"/>
  <c r="DH301" i="1"/>
  <c r="DI60" i="1" l="1"/>
  <c r="DI302" i="1"/>
  <c r="DI126" i="1"/>
  <c r="DI218" i="1" s="1"/>
  <c r="DJ162" i="1" l="1"/>
  <c r="DJ126" i="1" s="1"/>
  <c r="DI219" i="1"/>
  <c r="DI61" i="1"/>
  <c r="DK162" i="1" l="1"/>
  <c r="DI62" i="1"/>
  <c r="DI301" i="1"/>
  <c r="DJ60" i="1"/>
  <c r="DJ218" i="1"/>
  <c r="DJ302" i="1"/>
  <c r="DK60" i="1" l="1"/>
  <c r="DK302" i="1"/>
  <c r="DJ61" i="1"/>
  <c r="DJ219" i="1"/>
  <c r="DK126" i="1"/>
  <c r="DK61" i="1" l="1"/>
  <c r="DK219" i="1"/>
  <c r="DJ62" i="1"/>
  <c r="DJ301" i="1"/>
  <c r="DL162" i="1"/>
  <c r="DK218" i="1"/>
  <c r="DL60" i="1" l="1"/>
  <c r="DL302" i="1"/>
  <c r="DM162" i="1"/>
  <c r="DK62" i="1"/>
  <c r="DK301" i="1"/>
  <c r="DL126" i="1"/>
  <c r="DL219" i="1" l="1"/>
  <c r="DL61" i="1"/>
  <c r="DM60" i="1"/>
  <c r="DM217" i="1"/>
  <c r="DM218" i="1"/>
  <c r="DM302" i="1"/>
  <c r="DM126" i="1"/>
  <c r="DL218" i="1"/>
  <c r="DM219" i="1" l="1"/>
  <c r="DM61" i="1"/>
  <c r="DL62" i="1"/>
  <c r="DL301" i="1"/>
  <c r="DM62" i="1" l="1"/>
  <c r="DM301" i="1"/>
  <c r="BY7" i="1" l="1"/>
  <c r="CP64" i="1"/>
  <c r="CQ64" i="1"/>
  <c r="CR64" i="1"/>
  <c r="CS64" i="1"/>
  <c r="CT64" i="1"/>
  <c r="CU64" i="1"/>
  <c r="CV64" i="1"/>
  <c r="CW64" i="1"/>
  <c r="CX64" i="1"/>
  <c r="CY64" i="1"/>
  <c r="CZ64" i="1"/>
  <c r="DA64" i="1"/>
  <c r="DB64" i="1"/>
  <c r="DC64" i="1"/>
  <c r="DD64" i="1"/>
  <c r="DE64" i="1"/>
  <c r="DF64" i="1"/>
  <c r="DG64" i="1"/>
  <c r="DH64" i="1"/>
  <c r="DI64" i="1"/>
  <c r="DJ64" i="1"/>
  <c r="DK64" i="1"/>
  <c r="DL64" i="1"/>
  <c r="DM64" i="1"/>
  <c r="CP65" i="1"/>
  <c r="CQ65" i="1"/>
  <c r="CR65" i="1"/>
  <c r="CS65" i="1"/>
  <c r="CT65" i="1"/>
  <c r="CU65" i="1"/>
  <c r="CV65" i="1"/>
  <c r="CW65" i="1"/>
  <c r="CX65" i="1"/>
  <c r="CY65" i="1"/>
  <c r="CZ65" i="1"/>
  <c r="DA65" i="1"/>
  <c r="DB65" i="1"/>
  <c r="DC65" i="1"/>
  <c r="DD65" i="1"/>
  <c r="DE65" i="1"/>
  <c r="DF65" i="1"/>
  <c r="DG65" i="1"/>
  <c r="DH65" i="1"/>
  <c r="DI65" i="1"/>
  <c r="DJ65" i="1"/>
  <c r="DK65" i="1"/>
  <c r="DL65" i="1"/>
  <c r="DM65" i="1"/>
  <c r="CP69" i="1"/>
  <c r="CQ69" i="1"/>
  <c r="CR69" i="1"/>
  <c r="CS69" i="1"/>
  <c r="CT69" i="1"/>
  <c r="CU69" i="1"/>
  <c r="CV69" i="1"/>
  <c r="CW69" i="1"/>
  <c r="CX69" i="1"/>
  <c r="CY69" i="1"/>
  <c r="CZ69" i="1"/>
  <c r="DA69" i="1"/>
  <c r="DB69" i="1"/>
  <c r="DC69" i="1"/>
  <c r="DD69" i="1"/>
  <c r="DE69" i="1"/>
  <c r="DF69" i="1"/>
  <c r="DG69" i="1"/>
  <c r="DH69" i="1"/>
  <c r="DI69" i="1"/>
  <c r="DJ69" i="1"/>
  <c r="DK69" i="1"/>
  <c r="DL69" i="1"/>
  <c r="DM69" i="1"/>
  <c r="CP70" i="1"/>
  <c r="CQ70" i="1"/>
  <c r="CR70" i="1"/>
  <c r="CS70" i="1"/>
  <c r="CT70" i="1"/>
  <c r="CU70" i="1"/>
  <c r="CV70" i="1"/>
  <c r="CW70" i="1"/>
  <c r="CX70" i="1"/>
  <c r="CY70" i="1"/>
  <c r="CZ70" i="1"/>
  <c r="DA70" i="1"/>
  <c r="DB70" i="1"/>
  <c r="DC70" i="1"/>
  <c r="DD70" i="1"/>
  <c r="DE70" i="1"/>
  <c r="DF70" i="1"/>
  <c r="DG70" i="1"/>
  <c r="DH70" i="1"/>
  <c r="DI70" i="1"/>
  <c r="DJ70" i="1"/>
  <c r="DK70" i="1"/>
  <c r="DL70" i="1"/>
  <c r="DM70" i="1"/>
  <c r="CR71" i="1"/>
  <c r="CW71" i="1"/>
  <c r="DB71" i="1"/>
  <c r="DG71" i="1"/>
  <c r="DL71" i="1"/>
  <c r="CP73" i="1"/>
  <c r="CQ73" i="1"/>
  <c r="CR73" i="1"/>
  <c r="CS73" i="1"/>
  <c r="CT73" i="1"/>
  <c r="CU73" i="1"/>
  <c r="CV73" i="1"/>
  <c r="CW73" i="1"/>
  <c r="CX73" i="1"/>
  <c r="CY73" i="1"/>
  <c r="CZ73" i="1"/>
  <c r="DA73" i="1"/>
  <c r="DB73" i="1"/>
  <c r="DC73" i="1"/>
  <c r="DD73" i="1"/>
  <c r="DE73" i="1"/>
  <c r="DF73" i="1"/>
  <c r="DG73" i="1"/>
  <c r="DH73" i="1"/>
  <c r="DI73" i="1"/>
  <c r="DJ73" i="1"/>
  <c r="DK73" i="1"/>
  <c r="DL73" i="1"/>
  <c r="DM73" i="1"/>
  <c r="CP77" i="1"/>
  <c r="CQ77" i="1"/>
  <c r="CR77" i="1"/>
  <c r="CS77" i="1"/>
  <c r="CT77" i="1"/>
  <c r="CU77" i="1"/>
  <c r="CV77" i="1"/>
  <c r="CW77" i="1"/>
  <c r="CX77" i="1"/>
  <c r="CY77" i="1"/>
  <c r="CZ77" i="1"/>
  <c r="DA77" i="1"/>
  <c r="DB77" i="1"/>
  <c r="DC77" i="1"/>
  <c r="DD77" i="1"/>
  <c r="DE77" i="1"/>
  <c r="DF77" i="1"/>
  <c r="DG77" i="1"/>
  <c r="DH77" i="1"/>
  <c r="DI77" i="1"/>
  <c r="DJ77" i="1"/>
  <c r="DK77" i="1"/>
  <c r="DL77" i="1"/>
  <c r="DM77" i="1"/>
  <c r="CP79" i="1"/>
  <c r="CQ79" i="1"/>
  <c r="CR79" i="1"/>
  <c r="CS79" i="1"/>
  <c r="CT79" i="1"/>
  <c r="CU79" i="1"/>
  <c r="CV79" i="1"/>
  <c r="CW79" i="1"/>
  <c r="CX79" i="1"/>
  <c r="CY79" i="1"/>
  <c r="CZ79" i="1"/>
  <c r="DA79" i="1"/>
  <c r="DB79" i="1"/>
  <c r="DC79" i="1"/>
  <c r="DD79" i="1"/>
  <c r="DE79" i="1"/>
  <c r="DF79" i="1"/>
  <c r="DG79" i="1"/>
  <c r="DH79" i="1"/>
  <c r="DI79" i="1"/>
  <c r="DJ79" i="1"/>
  <c r="DK79" i="1"/>
  <c r="DL79" i="1"/>
  <c r="DM79" i="1"/>
  <c r="CP80" i="1"/>
  <c r="CQ80" i="1"/>
  <c r="CR80" i="1"/>
  <c r="CS80" i="1"/>
  <c r="CT80" i="1"/>
  <c r="CU80" i="1"/>
  <c r="CV80" i="1"/>
  <c r="CW80" i="1"/>
  <c r="CX80" i="1"/>
  <c r="CY80" i="1"/>
  <c r="CZ80" i="1"/>
  <c r="DA80" i="1"/>
  <c r="DB80" i="1"/>
  <c r="DC80" i="1"/>
  <c r="DD80" i="1"/>
  <c r="DE80" i="1"/>
  <c r="DF80" i="1"/>
  <c r="DG80" i="1"/>
  <c r="DH80" i="1"/>
  <c r="DI80" i="1"/>
  <c r="DJ80" i="1"/>
  <c r="DK80" i="1"/>
  <c r="DL80" i="1"/>
  <c r="DM80" i="1"/>
  <c r="CP85" i="1"/>
  <c r="CQ85" i="1"/>
  <c r="CR85" i="1"/>
  <c r="CS85" i="1"/>
  <c r="CT85" i="1"/>
  <c r="CU85" i="1"/>
  <c r="CV85" i="1"/>
  <c r="CW85" i="1"/>
  <c r="CX85" i="1"/>
  <c r="CY85" i="1"/>
  <c r="CZ85" i="1"/>
  <c r="DA85" i="1"/>
  <c r="DB85" i="1"/>
  <c r="DC85" i="1"/>
  <c r="DD85" i="1"/>
  <c r="DE85" i="1"/>
  <c r="DF85" i="1"/>
  <c r="DG85" i="1"/>
  <c r="DH85" i="1"/>
  <c r="DI85" i="1"/>
  <c r="DJ85" i="1"/>
  <c r="DK85" i="1"/>
  <c r="DL85" i="1"/>
  <c r="DM85" i="1"/>
  <c r="CP87" i="1"/>
  <c r="CQ87" i="1"/>
  <c r="CR87" i="1"/>
  <c r="CS87" i="1"/>
  <c r="CT87" i="1"/>
  <c r="CU87" i="1"/>
  <c r="CV87" i="1"/>
  <c r="CW87" i="1"/>
  <c r="CX87" i="1"/>
  <c r="CY87" i="1"/>
  <c r="CZ87" i="1"/>
  <c r="DA87" i="1"/>
  <c r="DB87" i="1"/>
  <c r="DC87" i="1"/>
  <c r="DD87" i="1"/>
  <c r="DE87" i="1"/>
  <c r="DF87" i="1"/>
  <c r="DG87" i="1"/>
  <c r="DH87" i="1"/>
  <c r="DI87" i="1"/>
  <c r="DJ87" i="1"/>
  <c r="DK87" i="1"/>
  <c r="DL87" i="1"/>
  <c r="DM87" i="1"/>
  <c r="CP114" i="1"/>
  <c r="CQ114" i="1"/>
  <c r="CR114" i="1"/>
  <c r="CS114" i="1"/>
  <c r="CT114" i="1"/>
  <c r="CU114" i="1"/>
  <c r="CV114" i="1"/>
  <c r="CW114" i="1"/>
  <c r="CX114" i="1"/>
  <c r="CY114" i="1"/>
  <c r="CZ114" i="1"/>
  <c r="DA114" i="1"/>
  <c r="DB114" i="1"/>
  <c r="DC114" i="1"/>
  <c r="DD114" i="1"/>
  <c r="DE114" i="1"/>
  <c r="DF114" i="1"/>
  <c r="DG114" i="1"/>
  <c r="DH114" i="1"/>
  <c r="DI114" i="1"/>
  <c r="DJ114" i="1"/>
  <c r="DK114" i="1"/>
  <c r="DL114" i="1"/>
  <c r="DM114" i="1"/>
  <c r="CP121" i="1"/>
  <c r="CQ121" i="1"/>
  <c r="CR121" i="1"/>
  <c r="CS121" i="1"/>
  <c r="CT121" i="1"/>
  <c r="CU121" i="1"/>
  <c r="CV121" i="1"/>
  <c r="CW121" i="1"/>
  <c r="CX121" i="1"/>
  <c r="CY121" i="1"/>
  <c r="CZ121" i="1"/>
  <c r="DA121" i="1"/>
  <c r="DB121" i="1"/>
  <c r="DC121" i="1"/>
  <c r="DD121" i="1"/>
  <c r="DE121" i="1"/>
  <c r="DF121" i="1"/>
  <c r="DG121" i="1"/>
  <c r="DH121" i="1"/>
  <c r="DI121" i="1"/>
  <c r="DJ121" i="1"/>
  <c r="DK121" i="1"/>
  <c r="DL121" i="1"/>
  <c r="DM121" i="1"/>
  <c r="CP130" i="1"/>
  <c r="CQ130" i="1"/>
  <c r="CR130" i="1"/>
  <c r="CS130" i="1"/>
  <c r="CT130" i="1"/>
  <c r="CU130" i="1"/>
  <c r="CV130" i="1"/>
  <c r="CW130" i="1"/>
  <c r="CX130" i="1"/>
  <c r="CY130" i="1"/>
  <c r="CZ130" i="1"/>
  <c r="DA130" i="1"/>
  <c r="DB130" i="1"/>
  <c r="DC130" i="1"/>
  <c r="DD130" i="1"/>
  <c r="DE130" i="1"/>
  <c r="DF130" i="1"/>
  <c r="DG130" i="1"/>
  <c r="DH130" i="1"/>
  <c r="DI130" i="1"/>
  <c r="DJ130" i="1"/>
  <c r="DK130" i="1"/>
  <c r="DL130" i="1"/>
  <c r="DM130" i="1"/>
  <c r="CP133" i="1"/>
  <c r="CQ133" i="1"/>
  <c r="CR133" i="1"/>
  <c r="CS133" i="1"/>
  <c r="CT133" i="1"/>
  <c r="CU133" i="1"/>
  <c r="CV133" i="1"/>
  <c r="CW133" i="1"/>
  <c r="CX133" i="1"/>
  <c r="CY133" i="1"/>
  <c r="CZ133" i="1"/>
  <c r="DA133" i="1"/>
  <c r="DB133" i="1"/>
  <c r="DC133" i="1"/>
  <c r="DD133" i="1"/>
  <c r="DE133" i="1"/>
  <c r="DF133" i="1"/>
  <c r="DG133" i="1"/>
  <c r="DH133" i="1"/>
  <c r="DI133" i="1"/>
  <c r="DJ133" i="1"/>
  <c r="DK133" i="1"/>
  <c r="DL133" i="1"/>
  <c r="DM133" i="1"/>
  <c r="CP138" i="1"/>
  <c r="CQ138" i="1"/>
  <c r="CR138" i="1"/>
  <c r="CS138" i="1"/>
  <c r="CT138" i="1"/>
  <c r="CU138" i="1"/>
  <c r="CV138" i="1"/>
  <c r="CW138" i="1"/>
  <c r="CX138" i="1"/>
  <c r="CY138" i="1"/>
  <c r="CZ138" i="1"/>
  <c r="DA138" i="1"/>
  <c r="DB138" i="1"/>
  <c r="DC138" i="1"/>
  <c r="DD138" i="1"/>
  <c r="DE138" i="1"/>
  <c r="DF138" i="1"/>
  <c r="DG138" i="1"/>
  <c r="DH138" i="1"/>
  <c r="DI138" i="1"/>
  <c r="DJ138" i="1"/>
  <c r="DK138" i="1"/>
  <c r="DL138" i="1"/>
  <c r="DM138" i="1"/>
  <c r="CP143" i="1"/>
  <c r="CQ143" i="1"/>
  <c r="CR143" i="1"/>
  <c r="CS143" i="1"/>
  <c r="CT143" i="1"/>
  <c r="CU143" i="1"/>
  <c r="CV143" i="1"/>
  <c r="CW143" i="1"/>
  <c r="CX143" i="1"/>
  <c r="CY143" i="1"/>
  <c r="CZ143" i="1"/>
  <c r="DA143" i="1"/>
  <c r="DB143" i="1"/>
  <c r="DC143" i="1"/>
  <c r="DD143" i="1"/>
  <c r="DE143" i="1"/>
  <c r="DF143" i="1"/>
  <c r="DG143" i="1"/>
  <c r="DH143" i="1"/>
  <c r="DI143" i="1"/>
  <c r="DJ143" i="1"/>
  <c r="DK143" i="1"/>
  <c r="DL143" i="1"/>
  <c r="DM143" i="1"/>
  <c r="CP148" i="1"/>
  <c r="CQ148" i="1"/>
  <c r="CR148" i="1"/>
  <c r="CS148" i="1"/>
  <c r="CT148" i="1"/>
  <c r="CU148" i="1"/>
  <c r="CV148" i="1"/>
  <c r="CW148" i="1"/>
  <c r="CX148" i="1"/>
  <c r="CY148" i="1"/>
  <c r="CZ148" i="1"/>
  <c r="DA148" i="1"/>
  <c r="DB148" i="1"/>
  <c r="DC148" i="1"/>
  <c r="DD148" i="1"/>
  <c r="DE148" i="1"/>
  <c r="DF148" i="1"/>
  <c r="DG148" i="1"/>
  <c r="DH148" i="1"/>
  <c r="DI148" i="1"/>
  <c r="DJ148" i="1"/>
  <c r="DK148" i="1"/>
  <c r="DL148" i="1"/>
  <c r="DM148" i="1"/>
  <c r="CP152" i="1"/>
  <c r="CQ152" i="1"/>
  <c r="CR152" i="1"/>
  <c r="CS152" i="1"/>
  <c r="CT152" i="1"/>
  <c r="CU152" i="1"/>
  <c r="CV152" i="1"/>
  <c r="CW152" i="1"/>
  <c r="CX152" i="1"/>
  <c r="CY152" i="1"/>
  <c r="CZ152" i="1"/>
  <c r="DA152" i="1"/>
  <c r="DB152" i="1"/>
  <c r="DC152" i="1"/>
  <c r="DD152" i="1"/>
  <c r="DE152" i="1"/>
  <c r="DF152" i="1"/>
  <c r="DG152" i="1"/>
  <c r="DH152" i="1"/>
  <c r="DI152" i="1"/>
  <c r="DJ152" i="1"/>
  <c r="DK152" i="1"/>
  <c r="DL152" i="1"/>
  <c r="DM152" i="1"/>
  <c r="CP154" i="1"/>
  <c r="CQ154" i="1"/>
  <c r="CR154" i="1"/>
  <c r="CS154" i="1"/>
  <c r="CT154" i="1"/>
  <c r="CU154" i="1"/>
  <c r="CV154" i="1"/>
  <c r="CW154" i="1"/>
  <c r="CX154" i="1"/>
  <c r="CY154" i="1"/>
  <c r="CZ154" i="1"/>
  <c r="DA154" i="1"/>
  <c r="DB154" i="1"/>
  <c r="DC154" i="1"/>
  <c r="DD154" i="1"/>
  <c r="DE154" i="1"/>
  <c r="DF154" i="1"/>
  <c r="DG154" i="1"/>
  <c r="DH154" i="1"/>
  <c r="DI154" i="1"/>
  <c r="DJ154" i="1"/>
  <c r="DK154" i="1"/>
  <c r="DL154" i="1"/>
  <c r="DM154" i="1"/>
  <c r="CP156" i="1"/>
  <c r="CQ156" i="1"/>
  <c r="CR156" i="1"/>
  <c r="CS156" i="1"/>
  <c r="CT156" i="1"/>
  <c r="CU156" i="1"/>
  <c r="CV156" i="1"/>
  <c r="CW156" i="1"/>
  <c r="CX156" i="1"/>
  <c r="CY156" i="1"/>
  <c r="CZ156" i="1"/>
  <c r="DA156" i="1"/>
  <c r="DB156" i="1"/>
  <c r="DC156" i="1"/>
  <c r="DD156" i="1"/>
  <c r="DE156" i="1"/>
  <c r="DF156" i="1"/>
  <c r="DG156" i="1"/>
  <c r="DH156" i="1"/>
  <c r="DI156" i="1"/>
  <c r="DJ156" i="1"/>
  <c r="DK156" i="1"/>
  <c r="DL156" i="1"/>
  <c r="DM156" i="1"/>
  <c r="CP161" i="1"/>
  <c r="CQ161" i="1"/>
  <c r="CR161" i="1"/>
  <c r="CS161" i="1"/>
  <c r="CT161" i="1"/>
  <c r="CU161" i="1"/>
  <c r="CV161" i="1"/>
  <c r="CW161" i="1"/>
  <c r="CX161" i="1"/>
  <c r="CY161" i="1"/>
  <c r="CZ161" i="1"/>
  <c r="DA161" i="1"/>
  <c r="DB161" i="1"/>
  <c r="DC161" i="1"/>
  <c r="DD161" i="1"/>
  <c r="DE161" i="1"/>
  <c r="DF161" i="1"/>
  <c r="DG161" i="1"/>
  <c r="DH161" i="1"/>
  <c r="DI161" i="1"/>
  <c r="DJ161" i="1"/>
  <c r="DK161" i="1"/>
  <c r="DL161" i="1"/>
  <c r="DM161" i="1"/>
  <c r="CP172" i="1"/>
  <c r="CQ172" i="1"/>
  <c r="CR172" i="1"/>
  <c r="CS172" i="1"/>
  <c r="CT172" i="1"/>
  <c r="CU172" i="1"/>
  <c r="CV172" i="1"/>
  <c r="CW172" i="1"/>
  <c r="CX172" i="1"/>
  <c r="CY172" i="1"/>
  <c r="CZ172" i="1"/>
  <c r="DA172" i="1"/>
  <c r="DB172" i="1"/>
  <c r="DC172" i="1"/>
  <c r="DD172" i="1"/>
  <c r="DE172" i="1"/>
  <c r="DF172" i="1"/>
  <c r="DG172" i="1"/>
  <c r="DH172" i="1"/>
  <c r="DI172" i="1"/>
  <c r="DJ172" i="1"/>
  <c r="DK172" i="1"/>
  <c r="DL172" i="1"/>
  <c r="DM172" i="1"/>
  <c r="CP184" i="1"/>
  <c r="CQ184" i="1"/>
  <c r="CR184" i="1"/>
  <c r="CS184" i="1"/>
  <c r="CT184" i="1"/>
  <c r="CU184" i="1"/>
  <c r="CV184" i="1"/>
  <c r="CW184" i="1"/>
  <c r="CX184" i="1"/>
  <c r="CY184" i="1"/>
  <c r="CZ184" i="1"/>
  <c r="DA184" i="1"/>
  <c r="DB184" i="1"/>
  <c r="DC184" i="1"/>
  <c r="DD184" i="1"/>
  <c r="DE184" i="1"/>
  <c r="DF184" i="1"/>
  <c r="DG184" i="1"/>
  <c r="DH184" i="1"/>
  <c r="DI184" i="1"/>
  <c r="DJ184" i="1"/>
  <c r="DK184" i="1"/>
  <c r="DL184" i="1"/>
  <c r="DM184" i="1"/>
  <c r="CP188" i="1"/>
  <c r="CQ188" i="1"/>
  <c r="CR188" i="1"/>
  <c r="CS188" i="1"/>
  <c r="CT188" i="1"/>
  <c r="CU188" i="1"/>
  <c r="CV188" i="1"/>
  <c r="CW188" i="1"/>
  <c r="CX188" i="1"/>
  <c r="CY188" i="1"/>
  <c r="CZ188" i="1"/>
  <c r="DA188" i="1"/>
  <c r="DB188" i="1"/>
  <c r="DC188" i="1"/>
  <c r="DD188" i="1"/>
  <c r="DE188" i="1"/>
  <c r="DF188" i="1"/>
  <c r="DG188" i="1"/>
  <c r="DH188" i="1"/>
  <c r="DI188" i="1"/>
  <c r="DJ188" i="1"/>
  <c r="DK188" i="1"/>
  <c r="DL188" i="1"/>
  <c r="DM188" i="1"/>
  <c r="CP191" i="1"/>
  <c r="CQ191" i="1"/>
  <c r="CR191" i="1"/>
  <c r="CS191" i="1"/>
  <c r="CT191" i="1"/>
  <c r="CU191" i="1"/>
  <c r="CV191" i="1"/>
  <c r="CW191" i="1"/>
  <c r="CX191" i="1"/>
  <c r="CY191" i="1"/>
  <c r="CZ191" i="1"/>
  <c r="DA191" i="1"/>
  <c r="DB191" i="1"/>
  <c r="DC191" i="1"/>
  <c r="DD191" i="1"/>
  <c r="DE191" i="1"/>
  <c r="DF191" i="1"/>
  <c r="DG191" i="1"/>
  <c r="DH191" i="1"/>
  <c r="DI191" i="1"/>
  <c r="DJ191" i="1"/>
  <c r="DK191" i="1"/>
  <c r="DL191" i="1"/>
  <c r="DM191" i="1"/>
  <c r="CQ192" i="1"/>
  <c r="CR192" i="1"/>
  <c r="CT192" i="1"/>
  <c r="CU192" i="1"/>
  <c r="CV192" i="1"/>
  <c r="CW192" i="1"/>
  <c r="CX192" i="1"/>
  <c r="CY192" i="1"/>
  <c r="CZ192" i="1"/>
  <c r="DA192" i="1"/>
  <c r="DB192" i="1"/>
  <c r="DC192" i="1"/>
  <c r="DD192" i="1"/>
  <c r="DE192" i="1"/>
  <c r="DF192" i="1"/>
  <c r="DG192" i="1"/>
  <c r="DH192" i="1"/>
  <c r="DI192" i="1"/>
  <c r="DJ192" i="1"/>
  <c r="DK192" i="1"/>
  <c r="DL192" i="1"/>
  <c r="DM192" i="1"/>
  <c r="CP193" i="1"/>
  <c r="CQ193" i="1"/>
  <c r="CR193" i="1"/>
  <c r="CS193" i="1"/>
  <c r="CT193" i="1"/>
  <c r="CU193" i="1"/>
  <c r="CV193" i="1"/>
  <c r="CW193" i="1"/>
  <c r="CX193" i="1"/>
  <c r="CY193" i="1"/>
  <c r="CZ193" i="1"/>
  <c r="DA193" i="1"/>
  <c r="DB193" i="1"/>
  <c r="DC193" i="1"/>
  <c r="DD193" i="1"/>
  <c r="DE193" i="1"/>
  <c r="DF193" i="1"/>
  <c r="DG193" i="1"/>
  <c r="DH193" i="1"/>
  <c r="DI193" i="1"/>
  <c r="DJ193" i="1"/>
  <c r="DK193" i="1"/>
  <c r="DL193" i="1"/>
  <c r="DM193" i="1"/>
  <c r="CP194" i="1"/>
  <c r="CQ194" i="1"/>
  <c r="CR194" i="1"/>
  <c r="CS194" i="1"/>
  <c r="CT194" i="1"/>
  <c r="CU194" i="1"/>
  <c r="CV194" i="1"/>
  <c r="CW194" i="1"/>
  <c r="CX194" i="1"/>
  <c r="CY194" i="1"/>
  <c r="CZ194" i="1"/>
  <c r="DA194" i="1"/>
  <c r="DB194" i="1"/>
  <c r="DC194" i="1"/>
  <c r="DD194" i="1"/>
  <c r="DE194" i="1"/>
  <c r="DF194" i="1"/>
  <c r="DG194" i="1"/>
  <c r="DH194" i="1"/>
  <c r="DI194" i="1"/>
  <c r="DJ194" i="1"/>
  <c r="DK194" i="1"/>
  <c r="DL194" i="1"/>
  <c r="DM194" i="1"/>
  <c r="CP196" i="1"/>
  <c r="CQ196" i="1"/>
  <c r="CR196" i="1"/>
  <c r="CS196" i="1"/>
  <c r="CT196" i="1"/>
  <c r="CU196" i="1"/>
  <c r="CV196" i="1"/>
  <c r="CW196" i="1"/>
  <c r="CX196" i="1"/>
  <c r="CY196" i="1"/>
  <c r="CZ196" i="1"/>
  <c r="DA196" i="1"/>
  <c r="DB196" i="1"/>
  <c r="DC196" i="1"/>
  <c r="DD196" i="1"/>
  <c r="DE196" i="1"/>
  <c r="DF196" i="1"/>
  <c r="DG196" i="1"/>
  <c r="DH196" i="1"/>
  <c r="DI196" i="1"/>
  <c r="DJ196" i="1"/>
  <c r="DK196" i="1"/>
  <c r="DL196" i="1"/>
  <c r="DM196" i="1"/>
  <c r="CP197" i="1"/>
  <c r="CQ197" i="1"/>
  <c r="CR197" i="1"/>
  <c r="CS197" i="1"/>
  <c r="CT197" i="1"/>
  <c r="CU197" i="1"/>
  <c r="CV197" i="1"/>
  <c r="CW197" i="1"/>
  <c r="CX197" i="1"/>
  <c r="CY197" i="1"/>
  <c r="CZ197" i="1"/>
  <c r="DA197" i="1"/>
  <c r="DB197" i="1"/>
  <c r="DC197" i="1"/>
  <c r="DD197" i="1"/>
  <c r="DE197" i="1"/>
  <c r="DF197" i="1"/>
  <c r="DG197" i="1"/>
  <c r="DH197" i="1"/>
  <c r="DI197" i="1"/>
  <c r="DJ197" i="1"/>
  <c r="DK197" i="1"/>
  <c r="DL197" i="1"/>
  <c r="DM197" i="1"/>
  <c r="CP198" i="1"/>
  <c r="CQ198" i="1"/>
  <c r="CR198" i="1"/>
  <c r="CS198" i="1"/>
  <c r="CT198" i="1"/>
  <c r="CU198" i="1"/>
  <c r="CV198" i="1"/>
  <c r="CW198" i="1"/>
  <c r="CX198" i="1"/>
  <c r="CY198" i="1"/>
  <c r="CZ198" i="1"/>
  <c r="DA198" i="1"/>
  <c r="DB198" i="1"/>
  <c r="DC198" i="1"/>
  <c r="DD198" i="1"/>
  <c r="DE198" i="1"/>
  <c r="DF198" i="1"/>
  <c r="DG198" i="1"/>
  <c r="DH198" i="1"/>
  <c r="DI198" i="1"/>
  <c r="DJ198" i="1"/>
  <c r="DK198" i="1"/>
  <c r="DL198" i="1"/>
  <c r="DM198" i="1"/>
  <c r="CP199" i="1"/>
  <c r="CQ199" i="1"/>
  <c r="CR199" i="1"/>
  <c r="CS199" i="1"/>
  <c r="CT199" i="1"/>
  <c r="CU199" i="1"/>
  <c r="CV199" i="1"/>
  <c r="CW199" i="1"/>
  <c r="CX199" i="1"/>
  <c r="CY199" i="1"/>
  <c r="CZ199" i="1"/>
  <c r="DA199" i="1"/>
  <c r="DB199" i="1"/>
  <c r="DC199" i="1"/>
  <c r="DD199" i="1"/>
  <c r="DE199" i="1"/>
  <c r="DF199" i="1"/>
  <c r="DG199" i="1"/>
  <c r="DH199" i="1"/>
  <c r="DI199" i="1"/>
  <c r="DJ199" i="1"/>
  <c r="DK199" i="1"/>
  <c r="DL199" i="1"/>
  <c r="DM199" i="1"/>
  <c r="CP200" i="1"/>
  <c r="CQ200" i="1"/>
  <c r="CR200" i="1"/>
  <c r="CS200" i="1"/>
  <c r="CT200" i="1"/>
  <c r="CU200" i="1"/>
  <c r="CV200" i="1"/>
  <c r="CW200" i="1"/>
  <c r="CX200" i="1"/>
  <c r="CY200" i="1"/>
  <c r="CZ200" i="1"/>
  <c r="DA200" i="1"/>
  <c r="DB200" i="1"/>
  <c r="DC200" i="1"/>
  <c r="DD200" i="1"/>
  <c r="DE200" i="1"/>
  <c r="DF200" i="1"/>
  <c r="DG200" i="1"/>
  <c r="DH200" i="1"/>
  <c r="DI200" i="1"/>
  <c r="DJ200" i="1"/>
  <c r="DK200" i="1"/>
  <c r="DL200" i="1"/>
  <c r="DM200" i="1"/>
  <c r="CP202" i="1"/>
  <c r="CQ202" i="1"/>
  <c r="CR202" i="1"/>
  <c r="CS202" i="1"/>
  <c r="CT202" i="1"/>
  <c r="CU202" i="1"/>
  <c r="CV202" i="1"/>
  <c r="CW202" i="1"/>
  <c r="CX202" i="1"/>
  <c r="CY202" i="1"/>
  <c r="CZ202" i="1"/>
  <c r="DA202" i="1"/>
  <c r="DB202" i="1"/>
  <c r="DC202" i="1"/>
  <c r="DD202" i="1"/>
  <c r="DE202" i="1"/>
  <c r="DF202" i="1"/>
  <c r="DG202" i="1"/>
  <c r="DH202" i="1"/>
  <c r="DI202" i="1"/>
  <c r="DJ202" i="1"/>
  <c r="DK202" i="1"/>
  <c r="DL202" i="1"/>
  <c r="DM202" i="1"/>
  <c r="CR207" i="1"/>
  <c r="CW207" i="1"/>
  <c r="DB207" i="1"/>
  <c r="DG207" i="1"/>
  <c r="DL207" i="1"/>
  <c r="CP208" i="1"/>
  <c r="CQ208" i="1"/>
  <c r="CR208" i="1"/>
  <c r="CS208" i="1"/>
  <c r="CT208" i="1"/>
  <c r="CU208" i="1"/>
  <c r="CV208" i="1"/>
  <c r="CW208" i="1"/>
  <c r="CX208" i="1"/>
  <c r="CY208" i="1"/>
  <c r="CZ208" i="1"/>
  <c r="DA208" i="1"/>
  <c r="DB208" i="1"/>
  <c r="DC208" i="1"/>
  <c r="DD208" i="1"/>
  <c r="DE208" i="1"/>
  <c r="DF208" i="1"/>
  <c r="DG208" i="1"/>
  <c r="DH208" i="1"/>
  <c r="DI208" i="1"/>
  <c r="DJ208" i="1"/>
  <c r="DK208" i="1"/>
  <c r="DL208" i="1"/>
  <c r="DM208" i="1"/>
  <c r="CP227" i="1"/>
  <c r="CQ227" i="1"/>
  <c r="CR227" i="1"/>
  <c r="CS227" i="1"/>
  <c r="CT227" i="1"/>
  <c r="CU227" i="1"/>
  <c r="CV227" i="1"/>
  <c r="CW227" i="1"/>
  <c r="CX227" i="1"/>
  <c r="CY227" i="1"/>
  <c r="CZ227" i="1"/>
  <c r="DA227" i="1"/>
  <c r="DB227" i="1"/>
  <c r="DC227" i="1"/>
  <c r="DD227" i="1"/>
  <c r="DE227" i="1"/>
  <c r="DF227" i="1"/>
  <c r="DG227" i="1"/>
  <c r="DH227" i="1"/>
  <c r="DI227" i="1"/>
  <c r="DJ227" i="1"/>
  <c r="DK227" i="1"/>
  <c r="DL227" i="1"/>
  <c r="DM227" i="1"/>
  <c r="CP229" i="1"/>
  <c r="CQ229" i="1"/>
  <c r="CR229" i="1"/>
  <c r="CS229" i="1"/>
  <c r="CT229" i="1"/>
  <c r="CU229" i="1"/>
  <c r="CV229" i="1"/>
  <c r="CW229" i="1"/>
  <c r="CX229" i="1"/>
  <c r="CY229" i="1"/>
  <c r="CZ229" i="1"/>
  <c r="DA229" i="1"/>
  <c r="DB229" i="1"/>
  <c r="DC229" i="1"/>
  <c r="DD229" i="1"/>
  <c r="DE229" i="1"/>
  <c r="DF229" i="1"/>
  <c r="DG229" i="1"/>
  <c r="DH229" i="1"/>
  <c r="DI229" i="1"/>
  <c r="DJ229" i="1"/>
  <c r="DK229" i="1"/>
  <c r="DL229" i="1"/>
  <c r="DM229" i="1"/>
  <c r="CP230" i="1"/>
  <c r="CQ230" i="1"/>
  <c r="CR230" i="1"/>
  <c r="CS230" i="1"/>
  <c r="CT230" i="1"/>
  <c r="CU230" i="1"/>
  <c r="CV230" i="1"/>
  <c r="CW230" i="1"/>
  <c r="CX230" i="1"/>
  <c r="CY230" i="1"/>
  <c r="CZ230" i="1"/>
  <c r="DA230" i="1"/>
  <c r="DB230" i="1"/>
  <c r="DC230" i="1"/>
  <c r="DD230" i="1"/>
  <c r="DE230" i="1"/>
  <c r="DF230" i="1"/>
  <c r="DG230" i="1"/>
  <c r="DH230" i="1"/>
  <c r="DI230" i="1"/>
  <c r="DJ230" i="1"/>
  <c r="DK230" i="1"/>
  <c r="DL230" i="1"/>
  <c r="DM230" i="1"/>
  <c r="CP231" i="1"/>
  <c r="CQ231" i="1"/>
  <c r="CR231" i="1"/>
  <c r="CS231" i="1"/>
  <c r="CT231" i="1"/>
  <c r="CU231" i="1"/>
  <c r="CV231" i="1"/>
  <c r="CW231" i="1"/>
  <c r="CX231" i="1"/>
  <c r="CY231" i="1"/>
  <c r="CZ231" i="1"/>
  <c r="DA231" i="1"/>
  <c r="DB231" i="1"/>
  <c r="DC231" i="1"/>
  <c r="DD231" i="1"/>
  <c r="DE231" i="1"/>
  <c r="DF231" i="1"/>
  <c r="DG231" i="1"/>
  <c r="DH231" i="1"/>
  <c r="DI231" i="1"/>
  <c r="DJ231" i="1"/>
  <c r="DK231" i="1"/>
  <c r="DL231" i="1"/>
  <c r="DM231" i="1"/>
  <c r="CS232" i="1"/>
  <c r="CX232" i="1"/>
  <c r="DC232" i="1"/>
  <c r="DH232" i="1"/>
  <c r="DM232" i="1"/>
  <c r="CS233" i="1"/>
  <c r="CX233" i="1"/>
  <c r="DC233" i="1"/>
  <c r="DH233" i="1"/>
  <c r="DM233" i="1"/>
  <c r="CP234" i="1"/>
  <c r="CQ234" i="1"/>
  <c r="CR234" i="1"/>
  <c r="CS234" i="1"/>
  <c r="CT234" i="1"/>
  <c r="CU234" i="1"/>
  <c r="CV234" i="1"/>
  <c r="CW234" i="1"/>
  <c r="CX234" i="1"/>
  <c r="CY234" i="1"/>
  <c r="CZ234" i="1"/>
  <c r="DA234" i="1"/>
  <c r="DB234" i="1"/>
  <c r="DC234" i="1"/>
  <c r="DD234" i="1"/>
  <c r="DE234" i="1"/>
  <c r="DF234" i="1"/>
  <c r="DG234" i="1"/>
  <c r="DH234" i="1"/>
  <c r="DI234" i="1"/>
  <c r="DJ234" i="1"/>
  <c r="DK234" i="1"/>
  <c r="DL234" i="1"/>
  <c r="DM234" i="1"/>
  <c r="CP236" i="1"/>
  <c r="CQ236" i="1"/>
  <c r="CR236" i="1"/>
  <c r="CS236" i="1"/>
  <c r="CT236" i="1"/>
  <c r="CU236" i="1"/>
  <c r="CV236" i="1"/>
  <c r="CW236" i="1"/>
  <c r="CX236" i="1"/>
  <c r="CY236" i="1"/>
  <c r="CZ236" i="1"/>
  <c r="DA236" i="1"/>
  <c r="DB236" i="1"/>
  <c r="DC236" i="1"/>
  <c r="DD236" i="1"/>
  <c r="DE236" i="1"/>
  <c r="DF236" i="1"/>
  <c r="DG236" i="1"/>
  <c r="DH236" i="1"/>
  <c r="DI236" i="1"/>
  <c r="DJ236" i="1"/>
  <c r="DK236" i="1"/>
  <c r="DL236" i="1"/>
  <c r="DM236" i="1"/>
  <c r="CR240" i="1"/>
  <c r="CW240" i="1"/>
  <c r="DB240" i="1"/>
  <c r="DG240" i="1"/>
  <c r="DL240" i="1"/>
  <c r="CR241" i="1"/>
  <c r="CW241" i="1"/>
  <c r="DB241" i="1"/>
  <c r="DG241" i="1"/>
  <c r="DL241" i="1"/>
  <c r="CP242" i="1"/>
  <c r="CQ242" i="1"/>
  <c r="CR242" i="1"/>
  <c r="CS242" i="1"/>
  <c r="CT242" i="1"/>
  <c r="CU242" i="1"/>
  <c r="CV242" i="1"/>
  <c r="CW242" i="1"/>
  <c r="CX242" i="1"/>
  <c r="CY242" i="1"/>
  <c r="CZ242" i="1"/>
  <c r="DA242" i="1"/>
  <c r="DB242" i="1"/>
  <c r="DC242" i="1"/>
  <c r="DD242" i="1"/>
  <c r="DE242" i="1"/>
  <c r="DF242" i="1"/>
  <c r="DG242" i="1"/>
  <c r="DH242" i="1"/>
  <c r="DI242" i="1"/>
  <c r="DJ242" i="1"/>
  <c r="DK242" i="1"/>
  <c r="DL242" i="1"/>
  <c r="DM242" i="1"/>
  <c r="CS255" i="1"/>
  <c r="CX255" i="1"/>
  <c r="DC255" i="1"/>
  <c r="DH255" i="1"/>
  <c r="DM255" i="1"/>
  <c r="CS256" i="1"/>
  <c r="CX256" i="1"/>
  <c r="DC256" i="1"/>
  <c r="DH256" i="1"/>
  <c r="DM256" i="1"/>
  <c r="CS259" i="1"/>
  <c r="CX259" i="1"/>
  <c r="DC259" i="1"/>
  <c r="DH259" i="1"/>
  <c r="DM259" i="1"/>
  <c r="CS260" i="1"/>
  <c r="CX260" i="1"/>
  <c r="DC260" i="1"/>
  <c r="DH260" i="1"/>
  <c r="DM260" i="1"/>
  <c r="CR269" i="1"/>
  <c r="CW269" i="1"/>
  <c r="DB269" i="1"/>
  <c r="DG269" i="1"/>
  <c r="DL269" i="1"/>
  <c r="BY270" i="1"/>
  <c r="CS284" i="1"/>
  <c r="CX284" i="1"/>
  <c r="DC284" i="1"/>
  <c r="CS288" i="1"/>
  <c r="CX288" i="1"/>
  <c r="DC288" i="1"/>
  <c r="CP305" i="1"/>
  <c r="CQ305" i="1"/>
  <c r="CR305" i="1"/>
  <c r="CS305" i="1"/>
  <c r="CT305" i="1"/>
  <c r="CU305" i="1"/>
  <c r="CV305" i="1"/>
  <c r="CW305" i="1"/>
  <c r="CX305" i="1"/>
  <c r="CY305" i="1"/>
  <c r="CZ305" i="1"/>
  <c r="DA305" i="1"/>
  <c r="DB305" i="1"/>
  <c r="DC305" i="1"/>
  <c r="DD305" i="1"/>
  <c r="DE305" i="1"/>
  <c r="DF305" i="1"/>
  <c r="DG305" i="1"/>
  <c r="DH305" i="1"/>
  <c r="DI305" i="1"/>
  <c r="DJ305" i="1"/>
  <c r="DK305" i="1"/>
  <c r="DL305" i="1"/>
  <c r="DM305" i="1"/>
  <c r="CX307" i="1"/>
  <c r="DC307" i="1"/>
  <c r="DH307" i="1"/>
  <c r="DM307" i="1"/>
  <c r="AQ5" i="67"/>
  <c r="AR5" i="67"/>
  <c r="AT5" i="67"/>
  <c r="AQ6" i="67"/>
  <c r="AR6" i="67"/>
  <c r="AT6" i="67"/>
  <c r="AQ7" i="67"/>
  <c r="AR7" i="67"/>
  <c r="AT7" i="67"/>
  <c r="AQ13" i="67"/>
  <c r="AR13" i="67"/>
  <c r="AT13" i="67"/>
  <c r="AV13" i="67"/>
  <c r="AW13" i="67"/>
  <c r="AY13" i="67"/>
  <c r="AY14" i="67"/>
  <c r="AY15" i="67"/>
  <c r="AT18" i="67"/>
  <c r="AT19" i="67"/>
  <c r="AT20" i="67"/>
  <c r="AQ29" i="67"/>
  <c r="AR29" i="67"/>
  <c r="AT29" i="67"/>
  <c r="AQ30" i="67"/>
  <c r="AR30" i="67"/>
  <c r="AT30" i="67"/>
  <c r="AQ31" i="67"/>
  <c r="AR31" i="67"/>
  <c r="AT31" i="67"/>
  <c r="AQ140" i="67"/>
  <c r="AR140" i="67"/>
  <c r="AT140" i="67"/>
  <c r="AQ141" i="67"/>
  <c r="AR141" i="67"/>
  <c r="AT141" i="67"/>
  <c r="AQ142" i="67"/>
  <c r="AR142" i="67"/>
  <c r="AT142" i="67"/>
  <c r="AQ143" i="67"/>
  <c r="AR143" i="67"/>
  <c r="AT143" i="67"/>
  <c r="AQ144" i="67"/>
  <c r="AR144" i="67"/>
  <c r="AT144" i="67"/>
  <c r="AQ145" i="67"/>
  <c r="AR145" i="67"/>
  <c r="AT145" i="67"/>
  <c r="AQ146" i="67"/>
  <c r="AR146" i="67"/>
  <c r="AT146" i="67"/>
  <c r="AT149" i="67"/>
  <c r="AT150" i="67"/>
  <c r="AT151" i="67"/>
  <c r="AT152" i="67"/>
  <c r="AT153" i="67"/>
  <c r="AT154" i="67"/>
  <c r="AT155" i="67"/>
  <c r="AT156" i="67"/>
  <c r="BG160" i="67"/>
  <c r="BH160" i="67"/>
  <c r="BI160" i="67"/>
  <c r="BJ160" i="67"/>
  <c r="BK160" i="67"/>
  <c r="BL160" i="67"/>
  <c r="BM160" i="67"/>
  <c r="BN160" i="67"/>
  <c r="BO160" i="67"/>
  <c r="BP160" i="67"/>
  <c r="BQ160" i="67"/>
  <c r="BR160" i="67"/>
  <c r="BS160" i="67"/>
  <c r="BT160" i="67"/>
  <c r="BU160" i="67"/>
  <c r="BV160" i="67"/>
  <c r="BW160" i="67"/>
  <c r="BX160" i="67"/>
  <c r="BY160" i="67"/>
  <c r="BZ160" i="67"/>
  <c r="CA160" i="67"/>
  <c r="CB160" i="67"/>
  <c r="CC160" i="67"/>
  <c r="CD160" i="67"/>
  <c r="CE160" i="67"/>
  <c r="CF160" i="67"/>
  <c r="CG160" i="67"/>
  <c r="CH160" i="67"/>
  <c r="CI160" i="67"/>
  <c r="CJ160" i="67"/>
  <c r="CK160" i="67"/>
  <c r="CL160" i="67"/>
  <c r="CM160" i="67"/>
  <c r="BG161" i="67"/>
  <c r="BH161" i="67"/>
  <c r="BI161" i="67"/>
  <c r="BJ161" i="67"/>
  <c r="BK161" i="67"/>
  <c r="BL161" i="67"/>
  <c r="BM161" i="67"/>
  <c r="BN161" i="67"/>
  <c r="BO161" i="67"/>
  <c r="BP161" i="67"/>
  <c r="BQ161" i="67"/>
  <c r="BR161" i="67"/>
  <c r="BS161" i="67"/>
  <c r="BT161" i="67"/>
  <c r="BU161" i="67"/>
  <c r="BV161" i="67"/>
  <c r="BW161" i="67"/>
  <c r="BX161" i="67"/>
  <c r="BY161" i="67"/>
  <c r="BZ161" i="67"/>
  <c r="CA161" i="67"/>
  <c r="CB161" i="67"/>
  <c r="CC161" i="67"/>
  <c r="CD161" i="67"/>
  <c r="CE161" i="67"/>
  <c r="CF161" i="67"/>
  <c r="CG161" i="67"/>
  <c r="CH161" i="67"/>
  <c r="CI161" i="67"/>
  <c r="CJ161" i="67"/>
  <c r="CK161" i="67"/>
  <c r="CL161" i="67"/>
  <c r="CM161" i="67"/>
  <c r="BG173" i="67"/>
  <c r="BH173" i="67"/>
  <c r="BI173" i="67"/>
  <c r="BJ173" i="67"/>
  <c r="BK173" i="67"/>
  <c r="BL173" i="67"/>
  <c r="BM173" i="67"/>
  <c r="BN173" i="67"/>
  <c r="BO173" i="67"/>
  <c r="BP173" i="67"/>
  <c r="BQ173" i="67"/>
  <c r="BR173" i="67"/>
  <c r="BS173" i="67"/>
  <c r="BT173" i="67"/>
  <c r="BU173" i="67"/>
  <c r="BV173" i="67"/>
  <c r="BW173" i="67"/>
  <c r="BX173" i="67"/>
  <c r="BY173" i="67"/>
  <c r="BZ173" i="67"/>
  <c r="CA173" i="67"/>
  <c r="CB173" i="67"/>
  <c r="CC173" i="67"/>
  <c r="CD173" i="67"/>
  <c r="CE173" i="67"/>
  <c r="CF173" i="67"/>
  <c r="CG173" i="67"/>
  <c r="CH173" i="67"/>
  <c r="CI173" i="67"/>
  <c r="CJ173" i="67"/>
  <c r="CK173" i="67"/>
  <c r="CL173" i="67"/>
  <c r="CM173" i="67"/>
  <c r="BG174" i="67"/>
  <c r="BH174" i="67"/>
  <c r="BI174" i="67"/>
  <c r="BJ174" i="67"/>
  <c r="BK174" i="67"/>
  <c r="BL174" i="67"/>
  <c r="BM174" i="67"/>
  <c r="BN174" i="67"/>
  <c r="BO174" i="67"/>
  <c r="BP174" i="67"/>
  <c r="BQ174" i="67"/>
  <c r="BR174" i="67"/>
  <c r="BS174" i="67"/>
  <c r="BT174" i="67"/>
  <c r="BU174" i="67"/>
  <c r="BV174" i="67"/>
  <c r="BW174" i="67"/>
  <c r="BX174" i="67"/>
  <c r="BY174" i="67"/>
  <c r="BZ174" i="67"/>
  <c r="CA174" i="67"/>
  <c r="CB174" i="67"/>
  <c r="CC174" i="67"/>
  <c r="CD174" i="67"/>
  <c r="CE174" i="67"/>
  <c r="CF174" i="67"/>
  <c r="CG174" i="67"/>
  <c r="CH174" i="67"/>
  <c r="CI174" i="67"/>
  <c r="CJ174" i="67"/>
  <c r="CK174" i="67"/>
  <c r="CL174" i="67"/>
  <c r="CM174" i="67"/>
  <c r="BG182" i="67"/>
  <c r="BH182" i="67"/>
  <c r="BI182" i="67"/>
  <c r="BJ182" i="67"/>
  <c r="BK182" i="67"/>
  <c r="BL182" i="67"/>
  <c r="BM182" i="67"/>
  <c r="BN182" i="67"/>
  <c r="BO182" i="67"/>
  <c r="BP182" i="67"/>
  <c r="BQ182" i="67"/>
  <c r="BR182" i="67"/>
  <c r="BS182" i="67"/>
  <c r="BT182" i="67"/>
  <c r="BU182" i="67"/>
  <c r="BV182" i="67"/>
  <c r="BW182" i="67"/>
  <c r="BX182" i="67"/>
  <c r="BY182" i="67"/>
  <c r="BZ182" i="67"/>
  <c r="CA182" i="67"/>
  <c r="CB182" i="67"/>
  <c r="CC182" i="67"/>
  <c r="CD182" i="67"/>
  <c r="CE182" i="67"/>
  <c r="CF182" i="67"/>
  <c r="CG182" i="67"/>
  <c r="CH182" i="67"/>
  <c r="CI182" i="67"/>
  <c r="CJ182" i="67"/>
  <c r="CK182" i="67"/>
  <c r="CL182" i="67"/>
  <c r="CM182" i="67"/>
  <c r="BG183" i="67"/>
  <c r="BH183" i="67"/>
  <c r="BI183" i="67"/>
  <c r="BJ183" i="67"/>
  <c r="BK183" i="67"/>
  <c r="BL183" i="67"/>
  <c r="BM183" i="67"/>
  <c r="BN183" i="67"/>
  <c r="BO183" i="67"/>
  <c r="BP183" i="67"/>
  <c r="BQ183" i="67"/>
  <c r="BR183" i="67"/>
  <c r="BS183" i="67"/>
  <c r="BT183" i="67"/>
  <c r="BU183" i="67"/>
  <c r="BV183" i="67"/>
  <c r="BW183" i="67"/>
  <c r="BX183" i="67"/>
  <c r="BY183" i="67"/>
  <c r="BZ183" i="67"/>
  <c r="CA183" i="67"/>
  <c r="CB183" i="67"/>
  <c r="CC183" i="67"/>
  <c r="CD183" i="67"/>
  <c r="CE183" i="67"/>
  <c r="CF183" i="67"/>
  <c r="CG183" i="67"/>
  <c r="CH183" i="67"/>
  <c r="CI183" i="67"/>
  <c r="CJ183" i="67"/>
  <c r="CK183" i="67"/>
  <c r="CL183" i="67"/>
  <c r="CM183" i="67"/>
  <c r="BG191" i="67"/>
  <c r="BH191" i="67"/>
  <c r="BI191" i="67"/>
  <c r="BJ191" i="67"/>
  <c r="BK191" i="67"/>
  <c r="BL191" i="67"/>
  <c r="BM191" i="67"/>
  <c r="BN191" i="67"/>
  <c r="BO191" i="67"/>
  <c r="BP191" i="67"/>
  <c r="BQ191" i="67"/>
  <c r="BR191" i="67"/>
  <c r="BS191" i="67"/>
  <c r="BT191" i="67"/>
  <c r="BU191" i="67"/>
  <c r="BV191" i="67"/>
  <c r="BW191" i="67"/>
  <c r="BX191" i="67"/>
  <c r="BY191" i="67"/>
  <c r="BZ191" i="67"/>
  <c r="CA191" i="67"/>
  <c r="CB191" i="67"/>
  <c r="CC191" i="67"/>
  <c r="CD191" i="67"/>
  <c r="CE191" i="67"/>
  <c r="CF191" i="67"/>
  <c r="CG191" i="67"/>
  <c r="CH191" i="67"/>
  <c r="CI191" i="67"/>
  <c r="CJ191" i="67"/>
  <c r="CK191" i="67"/>
  <c r="CL191" i="67"/>
  <c r="CM191" i="67"/>
  <c r="BG192" i="67"/>
  <c r="BH192" i="67"/>
  <c r="BI192" i="67"/>
  <c r="BJ192" i="67"/>
  <c r="BK192" i="67"/>
  <c r="BL192" i="67"/>
  <c r="BM192" i="67"/>
  <c r="BN192" i="67"/>
  <c r="BO192" i="67"/>
  <c r="BP192" i="67"/>
  <c r="BQ192" i="67"/>
  <c r="BR192" i="67"/>
  <c r="BS192" i="67"/>
  <c r="BT192" i="67"/>
  <c r="BU192" i="67"/>
  <c r="BV192" i="67"/>
  <c r="BW192" i="67"/>
  <c r="BX192" i="67"/>
  <c r="BY192" i="67"/>
  <c r="BZ192" i="67"/>
  <c r="CA192" i="67"/>
  <c r="CB192" i="67"/>
  <c r="CC192" i="67"/>
  <c r="CD192" i="67"/>
  <c r="CE192" i="67"/>
  <c r="CF192" i="67"/>
  <c r="CG192" i="67"/>
  <c r="CH192" i="67"/>
  <c r="CI192" i="67"/>
  <c r="CJ192" i="67"/>
  <c r="CK192" i="67"/>
  <c r="CL192" i="67"/>
  <c r="CM192" i="67"/>
  <c r="AQ199" i="67"/>
  <c r="AR199" i="67"/>
  <c r="AT199" i="67"/>
  <c r="AQ200" i="67"/>
  <c r="AR200" i="67"/>
  <c r="AT200" i="67"/>
  <c r="BG204" i="67"/>
  <c r="BH204" i="67"/>
  <c r="BI204" i="67"/>
  <c r="BJ204" i="67"/>
  <c r="BK204" i="67"/>
  <c r="BL204" i="67"/>
  <c r="BM204" i="67"/>
  <c r="BN204" i="67"/>
  <c r="BO204" i="67"/>
  <c r="BS204" i="67"/>
  <c r="BG205" i="67"/>
  <c r="BH205" i="67"/>
  <c r="BI205" i="67"/>
  <c r="BJ205" i="67"/>
  <c r="BK205" i="67"/>
  <c r="BL205" i="67"/>
  <c r="BM205" i="67"/>
  <c r="BN205" i="67"/>
  <c r="BO205" i="67"/>
  <c r="BS205" i="67"/>
  <c r="AQ212" i="67"/>
  <c r="AR212" i="67"/>
  <c r="AT212" i="67"/>
  <c r="AV212" i="67"/>
  <c r="AW212" i="67"/>
  <c r="AY212" i="67"/>
  <c r="AQ213" i="67"/>
  <c r="AR213" i="67"/>
  <c r="AT213" i="67"/>
  <c r="AV213" i="67"/>
  <c r="AW213" i="67"/>
  <c r="AY213" i="67"/>
  <c r="BG217" i="67"/>
  <c r="BH217" i="67"/>
  <c r="BI217" i="67"/>
  <c r="BJ217" i="67"/>
  <c r="BK217" i="67"/>
  <c r="BL217" i="67"/>
  <c r="BM217" i="67"/>
  <c r="BN217" i="67"/>
  <c r="BO217" i="67"/>
  <c r="BP217" i="67"/>
  <c r="BQ217" i="67"/>
  <c r="BR217" i="67"/>
  <c r="BS217" i="67"/>
  <c r="BT217" i="67"/>
  <c r="BU217" i="67"/>
  <c r="BV217" i="67"/>
  <c r="BW217" i="67"/>
  <c r="BX217" i="67"/>
  <c r="BY217" i="67"/>
  <c r="BZ217" i="67"/>
  <c r="CA217" i="67"/>
  <c r="CB217" i="67"/>
  <c r="CC217" i="67"/>
  <c r="CD217" i="67"/>
  <c r="CE217" i="67"/>
  <c r="CF217" i="67"/>
  <c r="CG217" i="67"/>
  <c r="CH217" i="67"/>
  <c r="CI217" i="67"/>
  <c r="CJ217" i="67"/>
  <c r="CK217" i="67"/>
  <c r="CL217" i="67"/>
  <c r="CM217" i="67"/>
  <c r="BG218" i="67"/>
  <c r="BH218" i="67"/>
  <c r="BI218" i="67"/>
  <c r="BJ218" i="67"/>
  <c r="BK218" i="67"/>
  <c r="BL218" i="67"/>
  <c r="BM218" i="67"/>
  <c r="BN218" i="67"/>
  <c r="BO218" i="67"/>
  <c r="BP218" i="67"/>
  <c r="BQ218" i="67"/>
  <c r="BR218" i="67"/>
  <c r="BS218" i="67"/>
  <c r="BT218" i="67"/>
  <c r="BU218" i="67"/>
  <c r="BV218" i="67"/>
  <c r="BW218" i="67"/>
  <c r="BX218" i="67"/>
  <c r="BY218" i="67"/>
  <c r="BZ218" i="67"/>
  <c r="CA218" i="67"/>
  <c r="CB218" i="67"/>
  <c r="CC218" i="67"/>
  <c r="CD218" i="67"/>
  <c r="CE218" i="67"/>
  <c r="CF218" i="67"/>
  <c r="CG218" i="67"/>
  <c r="CH218" i="67"/>
  <c r="CI218" i="67"/>
  <c r="CJ218" i="67"/>
  <c r="CK218" i="67"/>
  <c r="CL218" i="67"/>
  <c r="CM218" i="67"/>
  <c r="BM229" i="67"/>
  <c r="BR229" i="67"/>
  <c r="BM230" i="67"/>
  <c r="BR230" i="67"/>
  <c r="AT370" i="67"/>
  <c r="AT371" i="67"/>
  <c r="AT374" i="67"/>
  <c r="AT375" i="67"/>
</calcChain>
</file>

<file path=xl/comments1.xml><?xml version="1.0" encoding="utf-8"?>
<comments xmlns="http://schemas.openxmlformats.org/spreadsheetml/2006/main">
  <authors>
    <author>grunke</author>
    <author>doctobob</author>
    <author>Falorni, Filippo (Research)</author>
    <author>Doctor, Bob (Research)</author>
    <author>cruzv</author>
    <author>Fitzgerald, Kyle (Research)</author>
  </authors>
  <commentList>
    <comment ref="BD4" authorId="0">
      <text>
        <r>
          <rPr>
            <b/>
            <sz val="8"/>
            <color indexed="81"/>
            <rFont val="Tahoma"/>
            <family val="2"/>
          </rPr>
          <t>grunke:</t>
        </r>
        <r>
          <rPr>
            <sz val="8"/>
            <color indexed="81"/>
            <rFont val="Tahoma"/>
            <family val="2"/>
          </rPr>
          <t xml:space="preserve">
not comparable YoY - includes CCE-NA</t>
        </r>
      </text>
    </comment>
    <comment ref="AV5" authorId="0">
      <text>
        <r>
          <rPr>
            <b/>
            <sz val="8"/>
            <color indexed="81"/>
            <rFont val="Tahoma"/>
            <family val="2"/>
          </rPr>
          <t>grunke:</t>
        </r>
        <r>
          <rPr>
            <sz val="8"/>
            <color indexed="81"/>
            <rFont val="Tahoma"/>
            <family val="2"/>
          </rPr>
          <t xml:space="preserve">
exclude $151M in bottler revs to make comparable to Q110 under new accting rules that resulted in acctng treatment as equity method investment</t>
        </r>
      </text>
    </comment>
    <comment ref="AW5" authorId="0">
      <text>
        <r>
          <rPr>
            <b/>
            <sz val="8"/>
            <color indexed="81"/>
            <rFont val="Tahoma"/>
            <family val="2"/>
          </rPr>
          <t>grunke:</t>
        </r>
        <r>
          <rPr>
            <sz val="8"/>
            <color indexed="81"/>
            <rFont val="Tahoma"/>
            <family val="2"/>
          </rPr>
          <t xml:space="preserve">
exclude $187M in bottler revs to make comparable to Q210 under new accting rules that resulted in acctng treatment as equity method investment</t>
        </r>
      </text>
    </comment>
    <comment ref="AX5" authorId="0">
      <text>
        <r>
          <rPr>
            <b/>
            <sz val="8"/>
            <color indexed="81"/>
            <rFont val="Tahoma"/>
            <family val="2"/>
          </rPr>
          <t>grunke:</t>
        </r>
        <r>
          <rPr>
            <sz val="8"/>
            <color indexed="81"/>
            <rFont val="Tahoma"/>
            <family val="2"/>
          </rPr>
          <t xml:space="preserve">
exclude $223M in bottler revs to make comparable to Q310 under new accting rules that resulted in acctng treatment as equity method investment</t>
        </r>
      </text>
    </comment>
    <comment ref="AY5" authorId="0">
      <text>
        <r>
          <rPr>
            <b/>
            <sz val="8"/>
            <color indexed="81"/>
            <rFont val="Tahoma"/>
            <family val="2"/>
          </rPr>
          <t>grunke:</t>
        </r>
        <r>
          <rPr>
            <sz val="8"/>
            <color indexed="81"/>
            <rFont val="Tahoma"/>
            <family val="2"/>
          </rPr>
          <t xml:space="preserve">
exclude $258M in bottler revs to make comparable to Q410 under new accting rules that resulted in acctng treatment as equity method investment</t>
        </r>
      </text>
    </comment>
    <comment ref="AZ5" authorId="0">
      <text>
        <r>
          <rPr>
            <b/>
            <sz val="8"/>
            <color indexed="81"/>
            <rFont val="Tahoma"/>
            <family val="2"/>
          </rPr>
          <t>grunke:</t>
        </r>
        <r>
          <rPr>
            <sz val="8"/>
            <color indexed="81"/>
            <rFont val="Tahoma"/>
            <family val="2"/>
          </rPr>
          <t xml:space="preserve">
(1) $41,635M pro-forma including CCE deal - per 2010 10-K
(2) Exclude $819M in bottler revs to make comparable to F2010 under new accting rules that resulted in acctng treatment as equity method investment</t>
        </r>
      </text>
    </comment>
    <comment ref="BE5" authorId="0">
      <text>
        <r>
          <rPr>
            <b/>
            <sz val="8"/>
            <color indexed="81"/>
            <rFont val="Tahoma"/>
            <family val="2"/>
          </rPr>
          <t>grunke:</t>
        </r>
        <r>
          <rPr>
            <sz val="8"/>
            <color indexed="81"/>
            <rFont val="Tahoma"/>
            <family val="2"/>
          </rPr>
          <t xml:space="preserve">
$43,106 pro-forma including CCE transaction - per 2010 10-K</t>
        </r>
      </text>
    </comment>
    <comment ref="BU5" authorId="1">
      <text>
        <r>
          <rPr>
            <b/>
            <sz val="8"/>
            <color indexed="81"/>
            <rFont val="Tahoma"/>
            <family val="2"/>
          </rPr>
          <t>doctobob:</t>
        </r>
        <r>
          <rPr>
            <sz val="8"/>
            <color indexed="81"/>
            <rFont val="Tahoma"/>
            <family val="2"/>
          </rPr>
          <t xml:space="preserve">
+8M from other items</t>
        </r>
      </text>
    </comment>
    <comment ref="BA6" authorId="0">
      <text>
        <r>
          <rPr>
            <b/>
            <sz val="8"/>
            <color indexed="81"/>
            <rFont val="Tahoma"/>
            <family val="2"/>
          </rPr>
          <t>grunke:</t>
        </r>
        <r>
          <rPr>
            <sz val="8"/>
            <color indexed="81"/>
            <rFont val="Tahoma"/>
            <family val="2"/>
          </rPr>
          <t xml:space="preserve">
-2% impact from acctng change</t>
        </r>
      </text>
    </comment>
    <comment ref="BB6" authorId="0">
      <text>
        <r>
          <rPr>
            <b/>
            <sz val="8"/>
            <color indexed="81"/>
            <rFont val="Tahoma"/>
            <family val="2"/>
          </rPr>
          <t>grunke:</t>
        </r>
        <r>
          <rPr>
            <sz val="8"/>
            <color indexed="81"/>
            <rFont val="Tahoma"/>
            <family val="2"/>
          </rPr>
          <t xml:space="preserve">
-2% impact from acctng change</t>
        </r>
      </text>
    </comment>
    <comment ref="BC6" authorId="0">
      <text>
        <r>
          <rPr>
            <b/>
            <sz val="8"/>
            <color indexed="81"/>
            <rFont val="Tahoma"/>
            <family val="2"/>
          </rPr>
          <t>grunke:</t>
        </r>
        <r>
          <rPr>
            <sz val="8"/>
            <color indexed="81"/>
            <rFont val="Tahoma"/>
            <family val="2"/>
          </rPr>
          <t xml:space="preserve">
3% impact from acctng change</t>
        </r>
      </text>
    </comment>
    <comment ref="CK7" authorId="2">
      <text>
        <r>
          <rPr>
            <b/>
            <sz val="9"/>
            <color indexed="81"/>
            <rFont val="Tahoma"/>
            <family val="2"/>
          </rPr>
          <t>Falorni, Filippo (Research):</t>
        </r>
        <r>
          <rPr>
            <sz val="9"/>
            <color indexed="81"/>
            <rFont val="Tahoma"/>
            <family val="2"/>
          </rPr>
          <t xml:space="preserve">
Easter shift into 2Q</t>
        </r>
      </text>
    </comment>
    <comment ref="CN7" authorId="2">
      <text>
        <r>
          <rPr>
            <b/>
            <sz val="9"/>
            <color indexed="81"/>
            <rFont val="Tahoma"/>
            <family val="2"/>
          </rPr>
          <t>Falorni, Filippo (Research):</t>
        </r>
        <r>
          <rPr>
            <sz val="9"/>
            <color indexed="81"/>
            <rFont val="Tahoma"/>
            <family val="2"/>
          </rPr>
          <t xml:space="preserve">
G at 3Q17: </t>
        </r>
        <r>
          <rPr>
            <b/>
            <sz val="9"/>
            <color indexed="81"/>
            <rFont val="Tahoma"/>
            <family val="2"/>
          </rPr>
          <t>R</t>
        </r>
        <r>
          <rPr>
            <sz val="9"/>
            <color indexed="81"/>
            <rFont val="Tahoma"/>
            <family val="2"/>
          </rPr>
          <t xml:space="preserve">
G at 2Q17: </t>
        </r>
        <r>
          <rPr>
            <b/>
            <sz val="9"/>
            <color indexed="81"/>
            <rFont val="Tahoma"/>
            <family val="2"/>
          </rPr>
          <t>R</t>
        </r>
        <r>
          <rPr>
            <sz val="9"/>
            <color indexed="81"/>
            <rFont val="Tahoma"/>
            <family val="2"/>
          </rPr>
          <t xml:space="preserve">
G at 1Q17: </t>
        </r>
        <r>
          <rPr>
            <b/>
            <sz val="9"/>
            <color indexed="81"/>
            <rFont val="Tahoma"/>
            <family val="2"/>
          </rPr>
          <t>R</t>
        </r>
        <r>
          <rPr>
            <sz val="9"/>
            <color indexed="81"/>
            <rFont val="Tahoma"/>
            <family val="2"/>
          </rPr>
          <t xml:space="preserve">
G at 4Q16: ~3%</t>
        </r>
      </text>
    </comment>
    <comment ref="CS7" authorId="2">
      <text>
        <r>
          <rPr>
            <b/>
            <sz val="9"/>
            <color indexed="81"/>
            <rFont val="Tahoma"/>
            <family val="2"/>
          </rPr>
          <t>Falorni, Filippo (Research):</t>
        </r>
        <r>
          <rPr>
            <sz val="9"/>
            <color indexed="81"/>
            <rFont val="Tahoma"/>
            <family val="2"/>
          </rPr>
          <t xml:space="preserve">
G at 4Q17: ~4%</t>
        </r>
      </text>
    </comment>
    <comment ref="AV9" authorId="0">
      <text>
        <r>
          <rPr>
            <b/>
            <sz val="8"/>
            <color indexed="81"/>
            <rFont val="Tahoma"/>
            <family val="2"/>
          </rPr>
          <t>grunke:</t>
        </r>
        <r>
          <rPr>
            <sz val="8"/>
            <color indexed="81"/>
            <rFont val="Tahoma"/>
            <family val="2"/>
          </rPr>
          <t xml:space="preserve">
exclude $96M in bottler COGS to make comparable to Q110 under new accting rules that resulted in acctng treatment as equity method investment</t>
        </r>
      </text>
    </comment>
    <comment ref="AW9" authorId="0">
      <text>
        <r>
          <rPr>
            <b/>
            <sz val="8"/>
            <color indexed="81"/>
            <rFont val="Tahoma"/>
            <family val="2"/>
          </rPr>
          <t>grunke:</t>
        </r>
        <r>
          <rPr>
            <sz val="8"/>
            <color indexed="81"/>
            <rFont val="Tahoma"/>
            <family val="2"/>
          </rPr>
          <t xml:space="preserve">
exclude $111M in bottler COGS to make comparable to Q210 under new accting rules that resulted in acctng treatment as equity method investment</t>
        </r>
      </text>
    </comment>
    <comment ref="AX9" authorId="0">
      <text>
        <r>
          <rPr>
            <b/>
            <sz val="8"/>
            <color indexed="81"/>
            <rFont val="Tahoma"/>
            <family val="2"/>
          </rPr>
          <t>grunke:</t>
        </r>
        <r>
          <rPr>
            <sz val="8"/>
            <color indexed="81"/>
            <rFont val="Tahoma"/>
            <family val="2"/>
          </rPr>
          <t xml:space="preserve">
exclude $123M in bottler COGS to make comparable to Q310 under new accting rules that resulted in acctng treatment as equity method investment</t>
        </r>
      </text>
    </comment>
    <comment ref="AY9" authorId="0">
      <text>
        <r>
          <rPr>
            <b/>
            <sz val="8"/>
            <color indexed="81"/>
            <rFont val="Tahoma"/>
            <family val="2"/>
          </rPr>
          <t>grunke:</t>
        </r>
        <r>
          <rPr>
            <sz val="8"/>
            <color indexed="81"/>
            <rFont val="Tahoma"/>
            <family val="2"/>
          </rPr>
          <t xml:space="preserve">
exclude $146M in bottler COGS to make comparable to Q410 under new accting rules that resulted in acctng treatment as equity method investment</t>
        </r>
      </text>
    </comment>
    <comment ref="AZ9" authorId="0">
      <text>
        <r>
          <rPr>
            <b/>
            <sz val="8"/>
            <color indexed="81"/>
            <rFont val="Tahoma"/>
            <family val="2"/>
          </rPr>
          <t>grunke:</t>
        </r>
        <r>
          <rPr>
            <sz val="8"/>
            <color indexed="81"/>
            <rFont val="Tahoma"/>
            <family val="2"/>
          </rPr>
          <t xml:space="preserve">
exclude $476M in bottler COGS to make comparable to F2010 under new accting rules that resulted in acctng treatment as equity method investment </t>
        </r>
      </text>
    </comment>
    <comment ref="BO9" authorId="0">
      <text>
        <r>
          <rPr>
            <b/>
            <sz val="8"/>
            <color indexed="81"/>
            <rFont val="Tahoma"/>
            <family val="2"/>
          </rPr>
          <t>grunke:</t>
        </r>
        <r>
          <rPr>
            <sz val="8"/>
            <color indexed="81"/>
            <rFont val="Tahoma"/>
            <family val="2"/>
          </rPr>
          <t xml:space="preserve">
includes $225M cost inflation from four key commodities</t>
        </r>
      </text>
    </comment>
    <comment ref="BT9" authorId="0">
      <text>
        <r>
          <rPr>
            <b/>
            <sz val="8"/>
            <color indexed="81"/>
            <rFont val="Tahoma"/>
            <family val="2"/>
          </rPr>
          <t>grunke:</t>
        </r>
        <r>
          <rPr>
            <sz val="8"/>
            <color indexed="81"/>
            <rFont val="Tahoma"/>
            <family val="2"/>
          </rPr>
          <t xml:space="preserve">
includes $100M cost inflation from four key commodities</t>
        </r>
      </text>
    </comment>
    <comment ref="AV13" authorId="0">
      <text>
        <r>
          <rPr>
            <b/>
            <sz val="8"/>
            <color indexed="81"/>
            <rFont val="Tahoma"/>
            <family val="2"/>
          </rPr>
          <t>grunke:</t>
        </r>
        <r>
          <rPr>
            <sz val="8"/>
            <color indexed="81"/>
            <rFont val="Tahoma"/>
            <family val="2"/>
          </rPr>
          <t xml:space="preserve">
exclude $55M in bottler Gross Profit to make comparable to Q110 under new accting rules that resulted in acctng treatment as equity method investment </t>
        </r>
      </text>
    </comment>
    <comment ref="AW13" authorId="0">
      <text>
        <r>
          <rPr>
            <b/>
            <sz val="8"/>
            <color indexed="81"/>
            <rFont val="Tahoma"/>
            <family val="2"/>
          </rPr>
          <t>grunke:</t>
        </r>
        <r>
          <rPr>
            <sz val="8"/>
            <color indexed="81"/>
            <rFont val="Tahoma"/>
            <family val="2"/>
          </rPr>
          <t xml:space="preserve">
exclude $76M in bottler Gross Profit to make comparable to Q210 under new accting rules that resulted in acctng treatment as equity method investment </t>
        </r>
      </text>
    </comment>
    <comment ref="AX13" authorId="0">
      <text>
        <r>
          <rPr>
            <b/>
            <sz val="8"/>
            <color indexed="81"/>
            <rFont val="Tahoma"/>
            <family val="2"/>
          </rPr>
          <t>grunke:</t>
        </r>
        <r>
          <rPr>
            <sz val="8"/>
            <color indexed="81"/>
            <rFont val="Tahoma"/>
            <family val="2"/>
          </rPr>
          <t xml:space="preserve">
exclude $100M in bottler Gross Profit to make comparable to Q310 under new accting rules that resulted in acctng treatment as equity method investment </t>
        </r>
      </text>
    </comment>
    <comment ref="AY13" authorId="0">
      <text>
        <r>
          <rPr>
            <b/>
            <sz val="8"/>
            <color indexed="81"/>
            <rFont val="Tahoma"/>
            <family val="2"/>
          </rPr>
          <t>grunke:</t>
        </r>
        <r>
          <rPr>
            <sz val="8"/>
            <color indexed="81"/>
            <rFont val="Tahoma"/>
            <family val="2"/>
          </rPr>
          <t xml:space="preserve">
exclude $112M in bottler Gross Profit to make comparable to Q410 under new accting rules that resulted in acctng treatment as equity method investment </t>
        </r>
      </text>
    </comment>
    <comment ref="AZ13" authorId="0">
      <text>
        <r>
          <rPr>
            <b/>
            <sz val="8"/>
            <color indexed="81"/>
            <rFont val="Tahoma"/>
            <family val="2"/>
          </rPr>
          <t>grunke:</t>
        </r>
        <r>
          <rPr>
            <sz val="8"/>
            <color indexed="81"/>
            <rFont val="Tahoma"/>
            <family val="2"/>
          </rPr>
          <t xml:space="preserve">
exclude $343M in bottler Gross Profit to make comparable to F2010 under new accting rules that resulted in acctng treatment as equity method investment </t>
        </r>
      </text>
    </comment>
    <comment ref="AV14" authorId="0">
      <text>
        <r>
          <rPr>
            <b/>
            <sz val="8"/>
            <color indexed="81"/>
            <rFont val="Tahoma"/>
            <family val="2"/>
          </rPr>
          <t xml:space="preserve">grunke:
</t>
        </r>
        <r>
          <rPr>
            <sz val="8"/>
            <color indexed="81"/>
            <rFont val="Tahoma"/>
            <family val="2"/>
          </rPr>
          <t>64.5% on comparble basis vs. Q110 adj for bottler accting change</t>
        </r>
      </text>
    </comment>
    <comment ref="AW14" authorId="0">
      <text>
        <r>
          <rPr>
            <b/>
            <sz val="8"/>
            <color indexed="81"/>
            <rFont val="Tahoma"/>
            <family val="2"/>
          </rPr>
          <t>grunke:</t>
        </r>
        <r>
          <rPr>
            <sz val="8"/>
            <color indexed="81"/>
            <rFont val="Tahoma"/>
            <family val="2"/>
          </rPr>
          <t xml:space="preserve">
65.3% on comparble basis vs. Q210 adj for bottler accting change</t>
        </r>
      </text>
    </comment>
    <comment ref="AX14" authorId="0">
      <text>
        <r>
          <rPr>
            <b/>
            <sz val="8"/>
            <color indexed="81"/>
            <rFont val="Tahoma"/>
            <family val="2"/>
          </rPr>
          <t>grunke:</t>
        </r>
        <r>
          <rPr>
            <sz val="8"/>
            <color indexed="81"/>
            <rFont val="Tahoma"/>
            <family val="2"/>
          </rPr>
          <t xml:space="preserve">
64.1% on comparble basis vs. Q310 adj for bottler accting change</t>
        </r>
      </text>
    </comment>
    <comment ref="AY14" authorId="0">
      <text>
        <r>
          <rPr>
            <b/>
            <sz val="8"/>
            <color indexed="81"/>
            <rFont val="Tahoma"/>
            <family val="2"/>
          </rPr>
          <t>grunke:</t>
        </r>
        <r>
          <rPr>
            <sz val="8"/>
            <color indexed="81"/>
            <rFont val="Tahoma"/>
            <family val="2"/>
          </rPr>
          <t xml:space="preserve">
65.5% on comparble basis vs. Q410 adj for bottler accting change</t>
        </r>
      </text>
    </comment>
    <comment ref="AZ14" authorId="0">
      <text>
        <r>
          <rPr>
            <b/>
            <sz val="8"/>
            <color indexed="81"/>
            <rFont val="Tahoma"/>
            <family val="2"/>
          </rPr>
          <t>grunke:</t>
        </r>
        <r>
          <rPr>
            <sz val="8"/>
            <color indexed="81"/>
            <rFont val="Tahoma"/>
            <family val="2"/>
          </rPr>
          <t xml:space="preserve">
64.8% on comparble basis vs. F2010 adj for bottler accting change</t>
        </r>
      </text>
    </comment>
    <comment ref="BO14" authorId="0">
      <text>
        <r>
          <rPr>
            <b/>
            <sz val="8"/>
            <color indexed="81"/>
            <rFont val="Tahoma"/>
            <family val="2"/>
          </rPr>
          <t>grunke:</t>
        </r>
        <r>
          <rPr>
            <sz val="8"/>
            <color indexed="81"/>
            <rFont val="Tahoma"/>
            <family val="2"/>
          </rPr>
          <t xml:space="preserve">
guidance: below 2Q and 3Q GM %</t>
        </r>
      </text>
    </comment>
    <comment ref="CD14" authorId="3">
      <text>
        <r>
          <rPr>
            <b/>
            <sz val="9"/>
            <color indexed="81"/>
            <rFont val="Tahoma"/>
            <family val="2"/>
          </rPr>
          <t>Doctor, Bob (Research):</t>
        </r>
        <r>
          <rPr>
            <sz val="9"/>
            <color indexed="81"/>
            <rFont val="Tahoma"/>
            <family val="2"/>
          </rPr>
          <t xml:space="preserve">
gm roughly inline</t>
        </r>
      </text>
    </comment>
    <comment ref="CS14" authorId="2">
      <text>
        <r>
          <rPr>
            <b/>
            <sz val="9"/>
            <color indexed="81"/>
            <rFont val="Tahoma"/>
            <family val="2"/>
          </rPr>
          <t>Falorni, Filippo (Research):</t>
        </r>
        <r>
          <rPr>
            <sz val="9"/>
            <color indexed="81"/>
            <rFont val="Tahoma"/>
            <family val="2"/>
          </rPr>
          <t xml:space="preserve">
G at 4Q17 (IR): Couple of point of pressures to ~68% goal from FX in 2017, accounting change (inflating revenue), commodities
~68% GM once refranchising is completed per 2017 CAGNY</t>
        </r>
      </text>
    </comment>
    <comment ref="BA15" authorId="0">
      <text>
        <r>
          <rPr>
            <b/>
            <sz val="8"/>
            <color indexed="81"/>
            <rFont val="Tahoma"/>
            <family val="2"/>
          </rPr>
          <t>grunke:</t>
        </r>
        <r>
          <rPr>
            <sz val="8"/>
            <color indexed="81"/>
            <rFont val="Tahoma"/>
            <family val="2"/>
          </rPr>
          <t xml:space="preserve">
177 bp on comparable basis</t>
        </r>
      </text>
    </comment>
    <comment ref="BB15" authorId="0">
      <text>
        <r>
          <rPr>
            <b/>
            <sz val="8"/>
            <color indexed="81"/>
            <rFont val="Tahoma"/>
            <family val="2"/>
          </rPr>
          <t>grunke:</t>
        </r>
        <r>
          <rPr>
            <sz val="8"/>
            <color indexed="81"/>
            <rFont val="Tahoma"/>
            <family val="2"/>
          </rPr>
          <t xml:space="preserve">
61 bp on comparable basis</t>
        </r>
      </text>
    </comment>
    <comment ref="BC15" authorId="0">
      <text>
        <r>
          <rPr>
            <b/>
            <sz val="8"/>
            <color indexed="81"/>
            <rFont val="Tahoma"/>
            <family val="2"/>
          </rPr>
          <t>grunke:</t>
        </r>
        <r>
          <rPr>
            <sz val="8"/>
            <color indexed="81"/>
            <rFont val="Tahoma"/>
            <family val="2"/>
          </rPr>
          <t xml:space="preserve">
+131 bp on comparable basis</t>
        </r>
      </text>
    </comment>
    <comment ref="BT15" authorId="4">
      <text>
        <r>
          <rPr>
            <b/>
            <sz val="8"/>
            <color indexed="81"/>
            <rFont val="Tahoma"/>
            <family val="2"/>
          </rPr>
          <t>cruzv:</t>
        </r>
        <r>
          <rPr>
            <sz val="8"/>
            <color indexed="81"/>
            <rFont val="Tahoma"/>
            <family val="2"/>
          </rPr>
          <t xml:space="preserve">
Expected to be relatively in-line with 3QTD comparable gross margins (+47 bps YoY)</t>
        </r>
      </text>
    </comment>
    <comment ref="AV17" authorId="0">
      <text>
        <r>
          <rPr>
            <b/>
            <sz val="8"/>
            <color indexed="81"/>
            <rFont val="Tahoma"/>
            <family val="2"/>
          </rPr>
          <t>grunke:</t>
        </r>
        <r>
          <rPr>
            <sz val="8"/>
            <color indexed="81"/>
            <rFont val="Tahoma"/>
            <family val="2"/>
          </rPr>
          <t xml:space="preserve">
exclude $40M in bottler SG&amp;A to make comparable to Q110 under new accting rules that resulted in acctng treatment as equity method investment </t>
        </r>
      </text>
    </comment>
    <comment ref="AW17" authorId="0">
      <text>
        <r>
          <rPr>
            <b/>
            <sz val="8"/>
            <color indexed="81"/>
            <rFont val="Tahoma"/>
            <family val="2"/>
          </rPr>
          <t>grunke:</t>
        </r>
        <r>
          <rPr>
            <sz val="8"/>
            <color indexed="81"/>
            <rFont val="Tahoma"/>
            <family val="2"/>
          </rPr>
          <t xml:space="preserve">
exclude $38M in bottler SG&amp;A to make comparable to Q210 under new accting rules that resulted in acctng treatment as equity method investment </t>
        </r>
      </text>
    </comment>
    <comment ref="AX17" authorId="0">
      <text>
        <r>
          <rPr>
            <b/>
            <sz val="8"/>
            <color indexed="81"/>
            <rFont val="Tahoma"/>
            <family val="2"/>
          </rPr>
          <t>grunke:</t>
        </r>
        <r>
          <rPr>
            <sz val="8"/>
            <color indexed="81"/>
            <rFont val="Tahoma"/>
            <family val="2"/>
          </rPr>
          <t xml:space="preserve">
exclude $48M in bottler SG&amp;A to make comparable to Q310 under new accting rules that resulted in acctng treatment as equity method investment </t>
        </r>
      </text>
    </comment>
    <comment ref="AY17" authorId="0">
      <text>
        <r>
          <rPr>
            <b/>
            <sz val="8"/>
            <color indexed="81"/>
            <rFont val="Tahoma"/>
            <family val="2"/>
          </rPr>
          <t>grunke:</t>
        </r>
        <r>
          <rPr>
            <sz val="8"/>
            <color indexed="81"/>
            <rFont val="Tahoma"/>
            <family val="2"/>
          </rPr>
          <t xml:space="preserve">
exclude $51M in bottler SG&amp;A to make comparable to Q410 under new accting rules that resulted in acctng treatment as equity method investment </t>
        </r>
      </text>
    </comment>
    <comment ref="AZ17" authorId="0">
      <text>
        <r>
          <rPr>
            <b/>
            <sz val="8"/>
            <color indexed="81"/>
            <rFont val="Tahoma"/>
            <family val="2"/>
          </rPr>
          <t>grunke:</t>
        </r>
        <r>
          <rPr>
            <sz val="8"/>
            <color indexed="81"/>
            <rFont val="Tahoma"/>
            <family val="2"/>
          </rPr>
          <t xml:space="preserve">
exclude $177M in bottler SG&amp;A to make comparable to F2010 under new accting rules that resulted in acctng treatment as equity method investment </t>
        </r>
      </text>
    </comment>
    <comment ref="A22" authorId="0">
      <text>
        <r>
          <rPr>
            <b/>
            <sz val="8"/>
            <color indexed="81"/>
            <rFont val="Tahoma"/>
            <family val="2"/>
          </rPr>
          <t>grunke:</t>
        </r>
        <r>
          <rPr>
            <sz val="8"/>
            <color indexed="81"/>
            <rFont val="Tahoma"/>
            <family val="2"/>
          </rPr>
          <t xml:space="preserve">
Note: F2009 - sum of parts do not equal whole given H12009 was adjusted for acctng changes to be comparable to 2010</t>
        </r>
      </text>
    </comment>
    <comment ref="A23" authorId="0">
      <text>
        <r>
          <rPr>
            <b/>
            <sz val="8"/>
            <color indexed="81"/>
            <rFont val="Tahoma"/>
            <family val="2"/>
          </rPr>
          <t>grunke:</t>
        </r>
        <r>
          <rPr>
            <sz val="8"/>
            <color indexed="81"/>
            <rFont val="Tahoma"/>
            <family val="2"/>
          </rPr>
          <t xml:space="preserve">
source: 10-Q</t>
        </r>
      </text>
    </comment>
    <comment ref="A34" authorId="0">
      <text>
        <r>
          <rPr>
            <b/>
            <sz val="8"/>
            <color indexed="81"/>
            <rFont val="Tahoma"/>
            <family val="2"/>
          </rPr>
          <t>grunke:</t>
        </r>
        <r>
          <rPr>
            <sz val="8"/>
            <color indexed="81"/>
            <rFont val="Tahoma"/>
            <family val="2"/>
          </rPr>
          <t xml:space="preserve">
annual disclosure included in selling and advertising line item (above)
From 10-K: </t>
        </r>
        <r>
          <rPr>
            <i/>
            <sz val="8"/>
            <color indexed="81"/>
            <rFont val="Tahoma"/>
            <family val="2"/>
          </rPr>
          <t>Our Company expenses production costs of print, radio, television and other advertisements as of the first date the
advertisements take place</t>
        </r>
      </text>
    </comment>
    <comment ref="A40" authorId="0">
      <text>
        <r>
          <rPr>
            <b/>
            <sz val="8"/>
            <color indexed="81"/>
            <rFont val="Tahoma"/>
            <family val="2"/>
          </rPr>
          <t>grunke:</t>
        </r>
        <r>
          <rPr>
            <sz val="8"/>
            <color indexed="81"/>
            <rFont val="Tahoma"/>
            <family val="2"/>
          </rPr>
          <t xml:space="preserve">
includes stock based comp</t>
        </r>
      </text>
    </comment>
    <comment ref="AF40" authorId="0">
      <text>
        <r>
          <rPr>
            <b/>
            <sz val="8"/>
            <color indexed="81"/>
            <rFont val="Tahoma"/>
            <family val="2"/>
          </rPr>
          <t>grunke:</t>
        </r>
        <r>
          <rPr>
            <sz val="8"/>
            <color indexed="81"/>
            <rFont val="Tahoma"/>
            <family val="2"/>
          </rPr>
          <t xml:space="preserve">
includes $324M in stock based comp</t>
        </r>
      </text>
    </comment>
    <comment ref="AK40" authorId="0">
      <text>
        <r>
          <rPr>
            <b/>
            <sz val="8"/>
            <color indexed="81"/>
            <rFont val="Tahoma"/>
            <family val="2"/>
          </rPr>
          <t>grunke:</t>
        </r>
        <r>
          <rPr>
            <sz val="8"/>
            <color indexed="81"/>
            <rFont val="Tahoma"/>
            <family val="2"/>
          </rPr>
          <t xml:space="preserve">
includes $324M in stock based comp</t>
        </r>
      </text>
    </comment>
    <comment ref="AP40" authorId="0">
      <text>
        <r>
          <rPr>
            <b/>
            <sz val="8"/>
            <color indexed="81"/>
            <rFont val="Tahoma"/>
            <family val="2"/>
          </rPr>
          <t>grunke:</t>
        </r>
        <r>
          <rPr>
            <sz val="8"/>
            <color indexed="81"/>
            <rFont val="Tahoma"/>
            <family val="2"/>
          </rPr>
          <t xml:space="preserve">
includes $313M in stock based comp</t>
        </r>
      </text>
    </comment>
    <comment ref="AU40" authorId="0">
      <text>
        <r>
          <rPr>
            <b/>
            <sz val="8"/>
            <color indexed="81"/>
            <rFont val="Tahoma"/>
            <family val="2"/>
          </rPr>
          <t>grunke:</t>
        </r>
        <r>
          <rPr>
            <sz val="8"/>
            <color indexed="81"/>
            <rFont val="Tahoma"/>
            <family val="2"/>
          </rPr>
          <t xml:space="preserve">
includes $$266M in stock based comp</t>
        </r>
      </text>
    </comment>
    <comment ref="AZ40" authorId="0">
      <text>
        <r>
          <rPr>
            <b/>
            <sz val="8"/>
            <color indexed="81"/>
            <rFont val="Tahoma"/>
            <family val="2"/>
          </rPr>
          <t>grunke:</t>
        </r>
        <r>
          <rPr>
            <sz val="8"/>
            <color indexed="81"/>
            <rFont val="Tahoma"/>
            <family val="2"/>
          </rPr>
          <t xml:space="preserve">
includes $241M in stock based comp</t>
        </r>
      </text>
    </comment>
    <comment ref="A50" authorId="0">
      <text>
        <r>
          <rPr>
            <b/>
            <sz val="8"/>
            <color indexed="81"/>
            <rFont val="Tahoma"/>
            <family val="2"/>
          </rPr>
          <t>grunke:</t>
        </r>
        <r>
          <rPr>
            <sz val="8"/>
            <color indexed="81"/>
            <rFont val="Tahoma"/>
            <family val="2"/>
          </rPr>
          <t xml:space="preserve">
includes stock option expense and excludes all one time items that KO reports in SG&amp;A </t>
        </r>
      </text>
    </comment>
    <comment ref="AU50" authorId="0">
      <text>
        <r>
          <rPr>
            <b/>
            <sz val="8"/>
            <color indexed="81"/>
            <rFont val="Tahoma"/>
            <family val="2"/>
          </rPr>
          <t>grunke:</t>
        </r>
        <r>
          <rPr>
            <sz val="8"/>
            <color indexed="81"/>
            <rFont val="Tahoma"/>
            <family val="2"/>
          </rPr>
          <t xml:space="preserve">
includes $266M in stock based comp</t>
        </r>
      </text>
    </comment>
    <comment ref="AZ50" authorId="0">
      <text>
        <r>
          <rPr>
            <b/>
            <sz val="8"/>
            <color indexed="81"/>
            <rFont val="Tahoma"/>
            <family val="2"/>
          </rPr>
          <t>grunke:</t>
        </r>
        <r>
          <rPr>
            <sz val="8"/>
            <color indexed="81"/>
            <rFont val="Tahoma"/>
            <family val="2"/>
          </rPr>
          <t xml:space="preserve">
includes $241M in stock based comp</t>
        </r>
      </text>
    </comment>
    <comment ref="BE50" authorId="0">
      <text>
        <r>
          <rPr>
            <b/>
            <sz val="8"/>
            <color indexed="81"/>
            <rFont val="Tahoma"/>
            <family val="2"/>
          </rPr>
          <t>grunke:</t>
        </r>
        <r>
          <rPr>
            <sz val="8"/>
            <color indexed="81"/>
            <rFont val="Tahoma"/>
            <family val="2"/>
          </rPr>
          <t xml:space="preserve">
includes $380M in stock based comp</t>
        </r>
      </text>
    </comment>
    <comment ref="BJ50" authorId="4">
      <text>
        <r>
          <rPr>
            <b/>
            <sz val="8"/>
            <color indexed="81"/>
            <rFont val="Tahoma"/>
            <family val="2"/>
          </rPr>
          <t>cruzv:</t>
        </r>
        <r>
          <rPr>
            <sz val="8"/>
            <color indexed="81"/>
            <rFont val="Tahoma"/>
            <family val="2"/>
          </rPr>
          <t xml:space="preserve">
Includes $354 in stock-based comp expense</t>
        </r>
      </text>
    </comment>
    <comment ref="BO50" authorId="4">
      <text>
        <r>
          <rPr>
            <b/>
            <sz val="8"/>
            <color indexed="81"/>
            <rFont val="Tahoma"/>
            <family val="2"/>
          </rPr>
          <t>cruzv:</t>
        </r>
        <r>
          <rPr>
            <sz val="8"/>
            <color indexed="81"/>
            <rFont val="Tahoma"/>
            <family val="2"/>
          </rPr>
          <t xml:space="preserve">
Includes $259 in stock-based comp expense</t>
        </r>
      </text>
    </comment>
    <comment ref="BT50" authorId="4">
      <text>
        <r>
          <rPr>
            <b/>
            <sz val="8"/>
            <color indexed="81"/>
            <rFont val="Tahoma"/>
            <family val="2"/>
          </rPr>
          <t>cruzv:</t>
        </r>
        <r>
          <rPr>
            <sz val="8"/>
            <color indexed="81"/>
            <rFont val="Tahoma"/>
            <family val="2"/>
          </rPr>
          <t xml:space="preserve">
Includes $227 in stock-based comp expense</t>
        </r>
      </text>
    </comment>
    <comment ref="AV55" authorId="0">
      <text>
        <r>
          <rPr>
            <b/>
            <sz val="8"/>
            <color indexed="81"/>
            <rFont val="Tahoma"/>
            <family val="2"/>
          </rPr>
          <t>grunke:</t>
        </r>
        <r>
          <rPr>
            <sz val="8"/>
            <color indexed="81"/>
            <rFont val="Tahoma"/>
            <family val="2"/>
          </rPr>
          <t xml:space="preserve">
exclude $15M in bottler op inc to make comparable to Q110 under new accting rules that resulted in acctng treatment as equity method investment</t>
        </r>
      </text>
    </comment>
    <comment ref="AW55" authorId="0">
      <text>
        <r>
          <rPr>
            <b/>
            <sz val="8"/>
            <color indexed="81"/>
            <rFont val="Tahoma"/>
            <family val="2"/>
          </rPr>
          <t>grunke:</t>
        </r>
        <r>
          <rPr>
            <sz val="8"/>
            <color indexed="81"/>
            <rFont val="Tahoma"/>
            <family val="2"/>
          </rPr>
          <t xml:space="preserve">
exclude $38M in bottler op inc to make comparable to Q210 under new accting rules that resulted in acctng treatment as equity method investment</t>
        </r>
      </text>
    </comment>
    <comment ref="AX55" authorId="0">
      <text>
        <r>
          <rPr>
            <b/>
            <sz val="8"/>
            <color indexed="81"/>
            <rFont val="Tahoma"/>
            <family val="2"/>
          </rPr>
          <t>grunke:</t>
        </r>
        <r>
          <rPr>
            <sz val="8"/>
            <color indexed="81"/>
            <rFont val="Tahoma"/>
            <family val="2"/>
          </rPr>
          <t xml:space="preserve">
exclude $52M in bottler op inc to make comparable to Q310 under new accting rules that resulted in acctng treatment as equity method investment</t>
        </r>
      </text>
    </comment>
    <comment ref="AY55" authorId="0">
      <text>
        <r>
          <rPr>
            <b/>
            <sz val="8"/>
            <color indexed="81"/>
            <rFont val="Tahoma"/>
            <family val="2"/>
          </rPr>
          <t>grunke:</t>
        </r>
        <r>
          <rPr>
            <sz val="8"/>
            <color indexed="81"/>
            <rFont val="Tahoma"/>
            <family val="2"/>
          </rPr>
          <t xml:space="preserve">
exclude $61M in bottler op inc to make comparable to Q410 under new accting rules that resulted in acctng treatment as equity method investment</t>
        </r>
      </text>
    </comment>
    <comment ref="AZ55" authorId="0">
      <text>
        <r>
          <rPr>
            <b/>
            <sz val="8"/>
            <color indexed="81"/>
            <rFont val="Tahoma"/>
            <family val="2"/>
          </rPr>
          <t>grunke:</t>
        </r>
        <r>
          <rPr>
            <sz val="8"/>
            <color indexed="81"/>
            <rFont val="Tahoma"/>
            <family val="2"/>
          </rPr>
          <t xml:space="preserve">
exclude $166M in bottler op inc to make comparable to F2010 under new accting rules that resulted in acctng treatment as equity method investment</t>
        </r>
      </text>
    </comment>
    <comment ref="AV56" authorId="0">
      <text>
        <r>
          <rPr>
            <b/>
            <sz val="8"/>
            <color indexed="81"/>
            <rFont val="Tahoma"/>
            <family val="2"/>
          </rPr>
          <t>grunke:</t>
        </r>
        <r>
          <rPr>
            <sz val="8"/>
            <color indexed="81"/>
            <rFont val="Tahoma"/>
            <family val="2"/>
          </rPr>
          <t xml:space="preserve">
27.6% on comparble basis vs. Q110 adj for bottler accting change</t>
        </r>
      </text>
    </comment>
    <comment ref="AW56" authorId="0">
      <text>
        <r>
          <rPr>
            <b/>
            <sz val="8"/>
            <color indexed="81"/>
            <rFont val="Tahoma"/>
            <family val="2"/>
          </rPr>
          <t>grunke:</t>
        </r>
        <r>
          <rPr>
            <sz val="8"/>
            <color indexed="81"/>
            <rFont val="Tahoma"/>
            <family val="2"/>
          </rPr>
          <t xml:space="preserve">
30.6% on comparble basis vs. Q210 adj for bottler accting change</t>
        </r>
      </text>
    </comment>
    <comment ref="AX56" authorId="0">
      <text>
        <r>
          <rPr>
            <b/>
            <sz val="8"/>
            <color indexed="81"/>
            <rFont val="Tahoma"/>
            <family val="2"/>
          </rPr>
          <t>grunke:</t>
        </r>
        <r>
          <rPr>
            <sz val="8"/>
            <color indexed="81"/>
            <rFont val="Tahoma"/>
            <family val="2"/>
          </rPr>
          <t xml:space="preserve">
27.4% on comparble basis vs. Q310 adj for bottler accting change</t>
        </r>
      </text>
    </comment>
    <comment ref="AY56" authorId="0">
      <text>
        <r>
          <rPr>
            <b/>
            <sz val="8"/>
            <color indexed="81"/>
            <rFont val="Tahoma"/>
            <family val="2"/>
          </rPr>
          <t>grunke:</t>
        </r>
        <r>
          <rPr>
            <sz val="8"/>
            <color indexed="81"/>
            <rFont val="Tahoma"/>
            <family val="2"/>
          </rPr>
          <t xml:space="preserve">
25.1% on comparble basis vs. Q410 adj for bottler accting change</t>
        </r>
      </text>
    </comment>
    <comment ref="AZ56" authorId="0">
      <text>
        <r>
          <rPr>
            <b/>
            <sz val="8"/>
            <color indexed="81"/>
            <rFont val="Tahoma"/>
            <family val="2"/>
          </rPr>
          <t>grunke:</t>
        </r>
        <r>
          <rPr>
            <sz val="8"/>
            <color indexed="81"/>
            <rFont val="Tahoma"/>
            <family val="2"/>
          </rPr>
          <t xml:space="preserve">
27.8% on comparble basis vs. F2010 adj for bottler accting change</t>
        </r>
      </text>
    </comment>
    <comment ref="CS56" authorId="2">
      <text>
        <r>
          <rPr>
            <b/>
            <sz val="9"/>
            <color indexed="81"/>
            <rFont val="Tahoma"/>
            <family val="2"/>
          </rPr>
          <t>Falorni, Filippo (Research):</t>
        </r>
        <r>
          <rPr>
            <sz val="9"/>
            <color indexed="81"/>
            <rFont val="Tahoma"/>
            <family val="2"/>
          </rPr>
          <t xml:space="preserve">
CAGNY 2017  ~33%</t>
        </r>
      </text>
    </comment>
    <comment ref="DC56" authorId="2">
      <text>
        <r>
          <rPr>
            <b/>
            <sz val="9"/>
            <color indexed="81"/>
            <rFont val="Tahoma"/>
            <family val="2"/>
          </rPr>
          <t>Falorni, Filippo (Research):</t>
        </r>
        <r>
          <rPr>
            <sz val="9"/>
            <color indexed="81"/>
            <rFont val="Tahoma"/>
            <family val="2"/>
          </rPr>
          <t xml:space="preserve">
G at 2017 analyst day: "at least 35%" by 2020</t>
        </r>
      </text>
    </comment>
    <comment ref="BX57" authorId="3">
      <text>
        <r>
          <rPr>
            <b/>
            <sz val="9"/>
            <color indexed="81"/>
            <rFont val="Tahoma"/>
            <family val="2"/>
          </rPr>
          <t>Doctor, Bob (Research):</t>
        </r>
        <r>
          <rPr>
            <sz val="9"/>
            <color indexed="81"/>
            <rFont val="Tahoma"/>
            <family val="2"/>
          </rPr>
          <t xml:space="preserve">
6-7% currency Impact</t>
        </r>
      </text>
    </comment>
    <comment ref="CO57" authorId="2">
      <text>
        <r>
          <rPr>
            <b/>
            <sz val="9"/>
            <color indexed="81"/>
            <rFont val="Tahoma"/>
            <family val="2"/>
          </rPr>
          <t>Falorni, Filippo (Research):</t>
        </r>
        <r>
          <rPr>
            <sz val="9"/>
            <color indexed="81"/>
            <rFont val="Tahoma"/>
            <family val="2"/>
          </rPr>
          <t xml:space="preserve">
G at 4Q17: 
+1% tailwind from FX
(6%) structural headwind
</t>
        </r>
      </text>
    </comment>
    <comment ref="CP57" authorId="2">
      <text>
        <r>
          <rPr>
            <b/>
            <sz val="9"/>
            <color indexed="81"/>
            <rFont val="Tahoma"/>
            <family val="2"/>
          </rPr>
          <t>Falorni, Filippo (Research):</t>
        </r>
        <r>
          <rPr>
            <sz val="9"/>
            <color indexed="81"/>
            <rFont val="Tahoma"/>
            <family val="2"/>
          </rPr>
          <t xml:space="preserve">
G at 1Q18: 
(1%) headwind from FX
(2%) accounting headwind
(4%)-(5%) structural headwind</t>
        </r>
      </text>
    </comment>
    <comment ref="CS57" authorId="2">
      <text>
        <r>
          <rPr>
            <b/>
            <sz val="9"/>
            <color indexed="81"/>
            <rFont val="Tahoma"/>
            <family val="2"/>
          </rPr>
          <t>Falorni, Filippo (Research):</t>
        </r>
        <r>
          <rPr>
            <sz val="9"/>
            <color indexed="81"/>
            <rFont val="Tahoma"/>
            <family val="2"/>
          </rPr>
          <t xml:space="preserve">
G at 1Q18: 
+8-9% comparable currency neutral op. income growth 
(1%)-0% headwind from FX
(2%) structural headwind
=+5-7% operating income growth</t>
        </r>
      </text>
    </comment>
    <comment ref="BC58" authorId="0">
      <text>
        <r>
          <rPr>
            <b/>
            <sz val="8"/>
            <color indexed="81"/>
            <rFont val="Tahoma"/>
            <family val="2"/>
          </rPr>
          <t>grunke:</t>
        </r>
        <r>
          <rPr>
            <sz val="8"/>
            <color indexed="81"/>
            <rFont val="Tahoma"/>
            <family val="2"/>
          </rPr>
          <t xml:space="preserve">
157 bps on comparable basis</t>
        </r>
      </text>
    </comment>
    <comment ref="AV64" authorId="0">
      <text>
        <r>
          <rPr>
            <b/>
            <sz val="8"/>
            <color indexed="81"/>
            <rFont val="Tahoma"/>
            <family val="2"/>
          </rPr>
          <t>grunke:</t>
        </r>
        <r>
          <rPr>
            <sz val="8"/>
            <color indexed="81"/>
            <rFont val="Tahoma"/>
            <family val="2"/>
          </rPr>
          <t xml:space="preserve">
exclude $2M in bottler interest income to make comparable to Q110 under new accting rules that resulted in acctng treatment as equity method investment</t>
        </r>
      </text>
    </comment>
    <comment ref="AW64" authorId="0">
      <text>
        <r>
          <rPr>
            <b/>
            <sz val="8"/>
            <color indexed="81"/>
            <rFont val="Tahoma"/>
            <family val="2"/>
          </rPr>
          <t>grunke:</t>
        </r>
        <r>
          <rPr>
            <sz val="8"/>
            <color indexed="81"/>
            <rFont val="Tahoma"/>
            <family val="2"/>
          </rPr>
          <t xml:space="preserve">
exclude $1M in bottler interest income to make comparable to Q210 under new accting rules that resulted in acctng treatment as equity method investment</t>
        </r>
      </text>
    </comment>
    <comment ref="AX64" authorId="0">
      <text>
        <r>
          <rPr>
            <b/>
            <sz val="8"/>
            <color indexed="81"/>
            <rFont val="Tahoma"/>
            <family val="2"/>
          </rPr>
          <t>grunke:</t>
        </r>
        <r>
          <rPr>
            <sz val="8"/>
            <color indexed="81"/>
            <rFont val="Tahoma"/>
            <family val="2"/>
          </rPr>
          <t xml:space="preserve">
exclude $1M in bottler interest income to make comparable to Q310 under new accting rules that resulted in acctng treatment as equity method investment</t>
        </r>
      </text>
    </comment>
    <comment ref="AY64" authorId="0">
      <text>
        <r>
          <rPr>
            <b/>
            <sz val="8"/>
            <color indexed="81"/>
            <rFont val="Tahoma"/>
            <family val="2"/>
          </rPr>
          <t>grunke:</t>
        </r>
        <r>
          <rPr>
            <sz val="8"/>
            <color indexed="81"/>
            <rFont val="Tahoma"/>
            <family val="2"/>
          </rPr>
          <t xml:space="preserve">
exclude $2M in bottler interest income to make comparable to Q410 under new accting rules that resulted in acctng treatment as equity method investment</t>
        </r>
      </text>
    </comment>
    <comment ref="AZ64" authorId="0">
      <text>
        <r>
          <rPr>
            <b/>
            <sz val="8"/>
            <color indexed="81"/>
            <rFont val="Tahoma"/>
            <family val="2"/>
          </rPr>
          <t>grunke:</t>
        </r>
        <r>
          <rPr>
            <sz val="8"/>
            <color indexed="81"/>
            <rFont val="Tahoma"/>
            <family val="2"/>
          </rPr>
          <t xml:space="preserve">
exclude $6M in bottler interest income to make comparable to F2010 under new accting rules that resulted in acctng treatment as equity method investment</t>
        </r>
      </text>
    </comment>
    <comment ref="BK64" authorId="0">
      <text>
        <r>
          <rPr>
            <b/>
            <sz val="8"/>
            <color indexed="81"/>
            <rFont val="Tahoma"/>
            <family val="2"/>
          </rPr>
          <t>grunke:</t>
        </r>
        <r>
          <rPr>
            <sz val="8"/>
            <color indexed="81"/>
            <rFont val="Tahoma"/>
            <family val="2"/>
          </rPr>
          <t xml:space="preserve">
$17M swap effectiveness</t>
        </r>
      </text>
    </comment>
    <comment ref="BM64" authorId="0">
      <text>
        <r>
          <rPr>
            <b/>
            <sz val="8"/>
            <color indexed="81"/>
            <rFont val="Tahoma"/>
            <family val="2"/>
          </rPr>
          <t>grunke:</t>
        </r>
        <r>
          <rPr>
            <sz val="8"/>
            <color indexed="81"/>
            <rFont val="Tahoma"/>
            <family val="2"/>
          </rPr>
          <t xml:space="preserve">
$12M int rate swap effectiveness</t>
        </r>
      </text>
    </comment>
    <comment ref="BN64" authorId="0">
      <text>
        <r>
          <rPr>
            <b/>
            <sz val="8"/>
            <color indexed="81"/>
            <rFont val="Tahoma"/>
            <family val="2"/>
          </rPr>
          <t>grunke:</t>
        </r>
        <r>
          <rPr>
            <sz val="8"/>
            <color indexed="81"/>
            <rFont val="Tahoma"/>
            <family val="2"/>
          </rPr>
          <t xml:space="preserve">
expect to come in as net expense</t>
        </r>
      </text>
    </comment>
    <comment ref="BO64" authorId="0">
      <text>
        <r>
          <rPr>
            <b/>
            <sz val="8"/>
            <color indexed="81"/>
            <rFont val="Tahoma"/>
            <family val="2"/>
          </rPr>
          <t xml:space="preserve">grunke:
</t>
        </r>
        <r>
          <rPr>
            <sz val="8"/>
            <color indexed="81"/>
            <rFont val="Tahoma"/>
            <family val="2"/>
          </rPr>
          <t>$30-$40m NET interest income guidance</t>
        </r>
      </text>
    </comment>
    <comment ref="BT64" authorId="4">
      <text>
        <r>
          <rPr>
            <b/>
            <sz val="8"/>
            <color indexed="81"/>
            <rFont val="Tahoma"/>
            <family val="2"/>
          </rPr>
          <t>cruzv:</t>
        </r>
        <r>
          <rPr>
            <sz val="8"/>
            <color indexed="81"/>
            <rFont val="Tahoma"/>
            <family val="2"/>
          </rPr>
          <t xml:space="preserve">
"Net interest income expected to be in-line with 1H13 in 2H13"</t>
        </r>
      </text>
    </comment>
    <comment ref="BY64" authorId="4">
      <text>
        <r>
          <rPr>
            <b/>
            <sz val="8"/>
            <color indexed="81"/>
            <rFont val="Tahoma"/>
            <family val="2"/>
          </rPr>
          <t>cruzv:</t>
        </r>
        <r>
          <rPr>
            <sz val="8"/>
            <color indexed="81"/>
            <rFont val="Tahoma"/>
            <family val="2"/>
          </rPr>
          <t xml:space="preserve">
Net interest income will be 100M</t>
        </r>
      </text>
    </comment>
    <comment ref="AV65" authorId="0">
      <text>
        <r>
          <rPr>
            <b/>
            <sz val="8"/>
            <color indexed="81"/>
            <rFont val="Tahoma"/>
            <family val="2"/>
          </rPr>
          <t>grunke:</t>
        </r>
        <r>
          <rPr>
            <sz val="8"/>
            <color indexed="81"/>
            <rFont val="Tahoma"/>
            <family val="2"/>
          </rPr>
          <t xml:space="preserve">
exclude $4M in bottler interest expense to make comparable to Q110 under new accting rules that resulted in acctng treatment as equity method investment</t>
        </r>
      </text>
    </comment>
    <comment ref="AW65" authorId="0">
      <text>
        <r>
          <rPr>
            <b/>
            <sz val="8"/>
            <color indexed="81"/>
            <rFont val="Tahoma"/>
            <family val="2"/>
          </rPr>
          <t>grunke:</t>
        </r>
        <r>
          <rPr>
            <sz val="8"/>
            <color indexed="81"/>
            <rFont val="Tahoma"/>
            <family val="2"/>
          </rPr>
          <t xml:space="preserve">
exclude $4M in bottler interest expense to make comparable to Q210 under new accting rules that resulted in acctng treatment as equity method investment</t>
        </r>
      </text>
    </comment>
    <comment ref="AX65" authorId="0">
      <text>
        <r>
          <rPr>
            <b/>
            <sz val="8"/>
            <color indexed="81"/>
            <rFont val="Tahoma"/>
            <family val="2"/>
          </rPr>
          <t>grunke:</t>
        </r>
        <r>
          <rPr>
            <sz val="8"/>
            <color indexed="81"/>
            <rFont val="Tahoma"/>
            <family val="2"/>
          </rPr>
          <t xml:space="preserve">
exclude $3M in bottler interest expense to make comparable to Q310 under new accting rules that resulted in acctng treatment as equity method investment</t>
        </r>
      </text>
    </comment>
    <comment ref="AY65" authorId="0">
      <text>
        <r>
          <rPr>
            <b/>
            <sz val="8"/>
            <color indexed="81"/>
            <rFont val="Tahoma"/>
            <family val="2"/>
          </rPr>
          <t>grunke:</t>
        </r>
        <r>
          <rPr>
            <sz val="8"/>
            <color indexed="81"/>
            <rFont val="Tahoma"/>
            <family val="2"/>
          </rPr>
          <t xml:space="preserve">
exclude $5M in bottler interest expense to make comparable to Q410 under new accting rules that resulted in acctng treatment as equity method investment</t>
        </r>
      </text>
    </comment>
    <comment ref="AZ65" authorId="0">
      <text>
        <r>
          <rPr>
            <b/>
            <sz val="8"/>
            <color indexed="81"/>
            <rFont val="Tahoma"/>
            <family val="2"/>
          </rPr>
          <t>grunke:</t>
        </r>
        <r>
          <rPr>
            <sz val="8"/>
            <color indexed="81"/>
            <rFont val="Tahoma"/>
            <family val="2"/>
          </rPr>
          <t xml:space="preserve">
exclude $16M in bottler interest expense to make comparable to F2010 under new accting rules that resulted in acctng treatment as equity method investment</t>
        </r>
      </text>
    </comment>
    <comment ref="CD65" authorId="3">
      <text>
        <r>
          <rPr>
            <b/>
            <sz val="9"/>
            <color indexed="81"/>
            <rFont val="Tahoma"/>
            <family val="2"/>
          </rPr>
          <t>Doctor, Bob (Research):</t>
        </r>
        <r>
          <rPr>
            <sz val="9"/>
            <color indexed="81"/>
            <rFont val="Tahoma"/>
            <family val="2"/>
          </rPr>
          <t xml:space="preserve">
slight net int expense</t>
        </r>
      </text>
    </comment>
    <comment ref="CH65" authorId="2">
      <text>
        <r>
          <rPr>
            <b/>
            <sz val="9"/>
            <color indexed="81"/>
            <rFont val="Tahoma"/>
            <family val="2"/>
          </rPr>
          <t>Falorni, Filippo (Research):</t>
        </r>
        <r>
          <rPr>
            <sz val="9"/>
            <color indexed="81"/>
            <rFont val="Tahoma"/>
            <family val="2"/>
          </rPr>
          <t xml:space="preserve">
Includes 1x impact from hedging expenses</t>
        </r>
      </text>
    </comment>
    <comment ref="CI65" authorId="5">
      <text>
        <r>
          <rPr>
            <b/>
            <sz val="9"/>
            <color indexed="81"/>
            <rFont val="Tahoma"/>
            <family val="2"/>
          </rPr>
          <t>Fitzgerald, Kyle (Research):</t>
        </r>
        <r>
          <rPr>
            <sz val="9"/>
            <color indexed="81"/>
            <rFont val="Tahoma"/>
            <family val="2"/>
          </rPr>
          <t xml:space="preserve">
greater</t>
        </r>
      </text>
    </comment>
    <comment ref="CJ65" authorId="2">
      <text>
        <r>
          <rPr>
            <b/>
            <sz val="9"/>
            <color indexed="81"/>
            <rFont val="Tahoma"/>
            <family val="2"/>
          </rPr>
          <t>Falorni, Filippo (Research):</t>
        </r>
        <r>
          <rPr>
            <sz val="9"/>
            <color indexed="81"/>
            <rFont val="Tahoma"/>
            <family val="2"/>
          </rPr>
          <t xml:space="preserve">
G at 4Q16: Higher increase in interest expenses in 1H</t>
        </r>
      </text>
    </comment>
    <comment ref="CK65" authorId="2">
      <text>
        <r>
          <rPr>
            <b/>
            <sz val="9"/>
            <color indexed="81"/>
            <rFont val="Tahoma"/>
            <family val="2"/>
          </rPr>
          <t>Falorni, Filippo (Research):</t>
        </r>
        <r>
          <rPr>
            <sz val="9"/>
            <color indexed="81"/>
            <rFont val="Tahoma"/>
            <family val="2"/>
          </rPr>
          <t xml:space="preserve">
G at 4Q16: Higher increase in interest expenses in 1H</t>
        </r>
      </text>
    </comment>
    <comment ref="CN65" authorId="2">
      <text>
        <r>
          <rPr>
            <b/>
            <sz val="9"/>
            <color indexed="81"/>
            <rFont val="Tahoma"/>
            <family val="2"/>
          </rPr>
          <t>Falorni, Filippo (Research):</t>
        </r>
        <r>
          <rPr>
            <sz val="9"/>
            <color indexed="81"/>
            <rFont val="Tahoma"/>
            <family val="2"/>
          </rPr>
          <t xml:space="preserve">
G at 4Q16: Higher interest expenses in 2017</t>
        </r>
      </text>
    </comment>
    <comment ref="AV66" authorId="0">
      <text>
        <r>
          <rPr>
            <b/>
            <sz val="8"/>
            <color indexed="81"/>
            <rFont val="Tahoma"/>
            <family val="2"/>
          </rPr>
          <t>grunke:</t>
        </r>
        <r>
          <rPr>
            <sz val="8"/>
            <color indexed="81"/>
            <rFont val="Tahoma"/>
            <family val="2"/>
          </rPr>
          <t xml:space="preserve">
include (add) $12M in equity income to make comparable to Q110 under new accting rules that resulted in acctng treatment as equity method investment</t>
        </r>
      </text>
    </comment>
    <comment ref="AW66" authorId="0">
      <text>
        <r>
          <rPr>
            <b/>
            <sz val="8"/>
            <color indexed="81"/>
            <rFont val="Tahoma"/>
            <family val="2"/>
          </rPr>
          <t>grunke:</t>
        </r>
        <r>
          <rPr>
            <sz val="8"/>
            <color indexed="81"/>
            <rFont val="Tahoma"/>
            <family val="2"/>
          </rPr>
          <t xml:space="preserve">
include (add) $17M in equity income to make comparable to Q210 under new accting rules that resulted in acctng treatment as equity method investment</t>
        </r>
      </text>
    </comment>
    <comment ref="AX66" authorId="0">
      <text>
        <r>
          <rPr>
            <b/>
            <sz val="8"/>
            <color indexed="81"/>
            <rFont val="Tahoma"/>
            <family val="2"/>
          </rPr>
          <t>grunke:</t>
        </r>
        <r>
          <rPr>
            <sz val="8"/>
            <color indexed="81"/>
            <rFont val="Tahoma"/>
            <family val="2"/>
          </rPr>
          <t xml:space="preserve">
include (add) $23M in equity income to make comparable to Q310 under new accting rules that resulted in acctng treatment as equity method investment</t>
        </r>
      </text>
    </comment>
    <comment ref="AY66" authorId="0">
      <text>
        <r>
          <rPr>
            <b/>
            <sz val="8"/>
            <color indexed="81"/>
            <rFont val="Tahoma"/>
            <family val="2"/>
          </rPr>
          <t>grunke:</t>
        </r>
        <r>
          <rPr>
            <sz val="8"/>
            <color indexed="81"/>
            <rFont val="Tahoma"/>
            <family val="2"/>
          </rPr>
          <t xml:space="preserve">
include (add) $27M in equity income to make comparable to Q410 under new accting rules that resulted in acctng treatment as equity method investment</t>
        </r>
      </text>
    </comment>
    <comment ref="AZ66" authorId="0">
      <text>
        <r>
          <rPr>
            <b/>
            <sz val="8"/>
            <color indexed="81"/>
            <rFont val="Tahoma"/>
            <family val="2"/>
          </rPr>
          <t>grunke:</t>
        </r>
        <r>
          <rPr>
            <sz val="8"/>
            <color indexed="81"/>
            <rFont val="Tahoma"/>
            <family val="2"/>
          </rPr>
          <t xml:space="preserve">
include (add) $79M in equity income to make comparable to F2010 under new accting rules that resulted in acctng treatment as equity method investment</t>
        </r>
      </text>
    </comment>
    <comment ref="BN66" authorId="0">
      <text>
        <r>
          <rPr>
            <b/>
            <sz val="8"/>
            <color indexed="81"/>
            <rFont val="Tahoma"/>
            <family val="2"/>
          </rPr>
          <t>grunke:</t>
        </r>
        <r>
          <rPr>
            <sz val="8"/>
            <color indexed="81"/>
            <rFont val="Tahoma"/>
            <family val="2"/>
          </rPr>
          <t xml:space="preserve">
includes Aujuan</t>
        </r>
      </text>
    </comment>
    <comment ref="BP66" authorId="0">
      <text>
        <r>
          <rPr>
            <b/>
            <sz val="8"/>
            <color indexed="81"/>
            <rFont val="Tahoma"/>
            <family val="2"/>
          </rPr>
          <t>grunke:</t>
        </r>
        <r>
          <rPr>
            <sz val="8"/>
            <color indexed="81"/>
            <rFont val="Tahoma"/>
            <family val="2"/>
          </rPr>
          <t xml:space="preserve">
includes Aujuan, 49% Phillipines, and additional 22% stake in Mikuni</t>
        </r>
      </text>
    </comment>
    <comment ref="BQ66" authorId="0">
      <text>
        <r>
          <rPr>
            <b/>
            <sz val="8"/>
            <color indexed="81"/>
            <rFont val="Tahoma"/>
            <family val="2"/>
          </rPr>
          <t>grunke:</t>
        </r>
        <r>
          <rPr>
            <sz val="8"/>
            <color indexed="81"/>
            <rFont val="Tahoma"/>
            <family val="2"/>
          </rPr>
          <t xml:space="preserve">
includes 49% Phillipines, and additional 22% stake in Mikuni</t>
        </r>
      </text>
    </comment>
    <comment ref="BR66" authorId="0">
      <text>
        <r>
          <rPr>
            <b/>
            <sz val="8"/>
            <color indexed="81"/>
            <rFont val="Tahoma"/>
            <family val="2"/>
          </rPr>
          <t>grunke:</t>
        </r>
        <r>
          <rPr>
            <sz val="8"/>
            <color indexed="81"/>
            <rFont val="Tahoma"/>
            <family val="2"/>
          </rPr>
          <t xml:space="preserve">
includes 49% Phillipines, and additional 22% stake in Mikuni</t>
        </r>
      </text>
    </comment>
    <comment ref="BS66" authorId="0">
      <text>
        <r>
          <rPr>
            <b/>
            <sz val="8"/>
            <color indexed="81"/>
            <rFont val="Tahoma"/>
            <family val="2"/>
          </rPr>
          <t>grunke:</t>
        </r>
        <r>
          <rPr>
            <sz val="8"/>
            <color indexed="81"/>
            <rFont val="Tahoma"/>
            <family val="2"/>
          </rPr>
          <t xml:space="preserve">
includes 49% Phillipines, and additional 22% stake in Mikuni</t>
        </r>
      </text>
    </comment>
    <comment ref="AV67" authorId="0">
      <text>
        <r>
          <rPr>
            <b/>
            <sz val="8"/>
            <color indexed="81"/>
            <rFont val="Tahoma"/>
            <family val="2"/>
          </rPr>
          <t>grunke:</t>
        </r>
        <r>
          <rPr>
            <sz val="8"/>
            <color indexed="81"/>
            <rFont val="Tahoma"/>
            <family val="2"/>
          </rPr>
          <t xml:space="preserve">
include $4M in other non op loss to make comparable to Q110 under new accting rules that resulted in acctng treatment as equity method investment</t>
        </r>
      </text>
    </comment>
    <comment ref="AW67" authorId="0">
      <text>
        <r>
          <rPr>
            <b/>
            <sz val="8"/>
            <color indexed="81"/>
            <rFont val="Tahoma"/>
            <family val="2"/>
          </rPr>
          <t>grunke:</t>
        </r>
        <r>
          <rPr>
            <sz val="8"/>
            <color indexed="81"/>
            <rFont val="Tahoma"/>
            <family val="2"/>
          </rPr>
          <t xml:space="preserve">
include $1M in other non op gain to make comparable to Q210 under new accting rules that resulted in acctng treatment as equity method investment</t>
        </r>
      </text>
    </comment>
    <comment ref="AY67" authorId="0">
      <text>
        <r>
          <rPr>
            <b/>
            <sz val="8"/>
            <color indexed="81"/>
            <rFont val="Tahoma"/>
            <family val="2"/>
          </rPr>
          <t>grunke:</t>
        </r>
        <r>
          <rPr>
            <sz val="8"/>
            <color indexed="81"/>
            <rFont val="Tahoma"/>
            <family val="2"/>
          </rPr>
          <t xml:space="preserve">
include $1M in other non op gain to make comparable to Q410 under new accting rules that resulted in acctng treatment as equity method investment</t>
        </r>
      </text>
    </comment>
    <comment ref="AZ67" authorId="0">
      <text>
        <r>
          <rPr>
            <b/>
            <sz val="8"/>
            <color indexed="81"/>
            <rFont val="Tahoma"/>
            <family val="2"/>
          </rPr>
          <t>grunke:</t>
        </r>
        <r>
          <rPr>
            <sz val="8"/>
            <color indexed="81"/>
            <rFont val="Tahoma"/>
            <family val="2"/>
          </rPr>
          <t xml:space="preserve">
include $2M in other non op loss to make comparable to F2010 under new accting rules that resulted in acctng treatment as equity method investment</t>
        </r>
      </text>
    </comment>
    <comment ref="CJ67" authorId="2">
      <text>
        <r>
          <rPr>
            <b/>
            <sz val="9"/>
            <color indexed="81"/>
            <rFont val="Tahoma"/>
            <family val="2"/>
          </rPr>
          <t>Falorni, Filippo (Research):</t>
        </r>
        <r>
          <rPr>
            <sz val="9"/>
            <color indexed="81"/>
            <rFont val="Tahoma"/>
            <family val="2"/>
          </rPr>
          <t xml:space="preserve">
Adjusted for pension reclassification</t>
        </r>
      </text>
    </comment>
    <comment ref="CK67" authorId="2">
      <text>
        <r>
          <rPr>
            <b/>
            <sz val="9"/>
            <color indexed="81"/>
            <rFont val="Tahoma"/>
            <family val="2"/>
          </rPr>
          <t>Falorni, Filippo (Research):</t>
        </r>
        <r>
          <rPr>
            <sz val="9"/>
            <color indexed="81"/>
            <rFont val="Tahoma"/>
            <family val="2"/>
          </rPr>
          <t xml:space="preserve">
Adjusted for pension reclassification</t>
        </r>
      </text>
    </comment>
    <comment ref="CL67" authorId="2">
      <text>
        <r>
          <rPr>
            <b/>
            <sz val="9"/>
            <color indexed="81"/>
            <rFont val="Tahoma"/>
            <family val="2"/>
          </rPr>
          <t>Falorni, Filippo (Research):</t>
        </r>
        <r>
          <rPr>
            <sz val="9"/>
            <color indexed="81"/>
            <rFont val="Tahoma"/>
            <family val="2"/>
          </rPr>
          <t xml:space="preserve">
Adjusted for pension reclassification</t>
        </r>
      </text>
    </comment>
    <comment ref="CM67" authorId="2">
      <text>
        <r>
          <rPr>
            <b/>
            <sz val="9"/>
            <color indexed="81"/>
            <rFont val="Tahoma"/>
            <family val="2"/>
          </rPr>
          <t>Falorni, Filippo (Research):</t>
        </r>
        <r>
          <rPr>
            <sz val="9"/>
            <color indexed="81"/>
            <rFont val="Tahoma"/>
            <family val="2"/>
          </rPr>
          <t xml:space="preserve">
Adjusted for pension reclassification</t>
        </r>
      </text>
    </comment>
    <comment ref="AV69" authorId="0">
      <text>
        <r>
          <rPr>
            <b/>
            <sz val="8"/>
            <color indexed="81"/>
            <rFont val="Tahoma"/>
            <family val="2"/>
          </rPr>
          <t>grunke:</t>
        </r>
        <r>
          <rPr>
            <sz val="8"/>
            <color indexed="81"/>
            <rFont val="Tahoma"/>
            <family val="2"/>
          </rPr>
          <t xml:space="preserve">
exclude $5M in bottler pretax income to make comparable to Q110 under new accting rules that resulted in acctng treatment as equity method investment</t>
        </r>
      </text>
    </comment>
    <comment ref="AW69" authorId="0">
      <text>
        <r>
          <rPr>
            <b/>
            <sz val="8"/>
            <color indexed="81"/>
            <rFont val="Tahoma"/>
            <family val="2"/>
          </rPr>
          <t>grunke:</t>
        </r>
        <r>
          <rPr>
            <sz val="8"/>
            <color indexed="81"/>
            <rFont val="Tahoma"/>
            <family val="2"/>
          </rPr>
          <t xml:space="preserve">
exclude $17M in bottler pretax income to make comparable to Q210 under new accting rules that resulted in acctng treatment as equity method investment</t>
        </r>
      </text>
    </comment>
    <comment ref="AX69" authorId="0">
      <text>
        <r>
          <rPr>
            <b/>
            <sz val="8"/>
            <color indexed="81"/>
            <rFont val="Tahoma"/>
            <family val="2"/>
          </rPr>
          <t>grunke:</t>
        </r>
        <r>
          <rPr>
            <sz val="8"/>
            <color indexed="81"/>
            <rFont val="Tahoma"/>
            <family val="2"/>
          </rPr>
          <t xml:space="preserve">
exclude $27M in bottler pretax income to make comparable to Q310 under new accting rules that resulted in acctng treatment as equity method investment</t>
        </r>
      </text>
    </comment>
    <comment ref="AY69" authorId="0">
      <text>
        <r>
          <rPr>
            <b/>
            <sz val="8"/>
            <color indexed="81"/>
            <rFont val="Tahoma"/>
            <family val="2"/>
          </rPr>
          <t>grunke:</t>
        </r>
        <r>
          <rPr>
            <sz val="8"/>
            <color indexed="81"/>
            <rFont val="Tahoma"/>
            <family val="2"/>
          </rPr>
          <t xml:space="preserve">
exclude $30M in bottler pretax income to make comparable to Q410 under new accting rules that resulted in acctng treatment as equity method investment</t>
        </r>
      </text>
    </comment>
    <comment ref="AZ69" authorId="0">
      <text>
        <r>
          <rPr>
            <b/>
            <sz val="8"/>
            <color indexed="81"/>
            <rFont val="Tahoma"/>
            <family val="2"/>
          </rPr>
          <t>grunke:</t>
        </r>
        <r>
          <rPr>
            <sz val="8"/>
            <color indexed="81"/>
            <rFont val="Tahoma"/>
            <family val="2"/>
          </rPr>
          <t xml:space="preserve">
exclude $79M in bottler pretax income to make comparable to F2010 under new accting rules that resulted in acctng treatment as equity method investment</t>
        </r>
      </text>
    </comment>
    <comment ref="CJ69" authorId="2">
      <text>
        <r>
          <rPr>
            <b/>
            <sz val="9"/>
            <color indexed="81"/>
            <rFont val="Tahoma"/>
            <family val="2"/>
          </rPr>
          <t>Falorni, Filippo (Research):</t>
        </r>
        <r>
          <rPr>
            <sz val="9"/>
            <color indexed="81"/>
            <rFont val="Tahoma"/>
            <family val="2"/>
          </rPr>
          <t xml:space="preserve">
(4%)-(3%) from FX
(2%)-(1%) from structural items</t>
        </r>
      </text>
    </comment>
    <comment ref="CN69" authorId="2">
      <text>
        <r>
          <rPr>
            <b/>
            <sz val="9"/>
            <color indexed="81"/>
            <rFont val="Tahoma"/>
            <family val="2"/>
          </rPr>
          <t>Falorni, Filippo (Research):</t>
        </r>
        <r>
          <rPr>
            <sz val="9"/>
            <color indexed="81"/>
            <rFont val="Tahoma"/>
            <family val="2"/>
          </rPr>
          <t xml:space="preserve">
+7-8% ex-FX and structural items
(1%) from FX
(7%)-(6%) from structural items
Net (1%)-0% Pretax income growth</t>
        </r>
      </text>
    </comment>
    <comment ref="CS69" authorId="2">
      <text>
        <r>
          <rPr>
            <b/>
            <sz val="9"/>
            <color indexed="81"/>
            <rFont val="Tahoma"/>
            <family val="2"/>
          </rPr>
          <t>Falorni, Filippo (Research):</t>
        </r>
        <r>
          <rPr>
            <sz val="9"/>
            <color indexed="81"/>
            <rFont val="Tahoma"/>
            <family val="2"/>
          </rPr>
          <t xml:space="preserve">
(LSD%) from FX
(2%)-(1%) from structural items
</t>
        </r>
      </text>
    </comment>
    <comment ref="AV70" authorId="0">
      <text>
        <r>
          <rPr>
            <b/>
            <sz val="8"/>
            <color indexed="81"/>
            <rFont val="Tahoma"/>
            <family val="2"/>
          </rPr>
          <t>grunke:</t>
        </r>
        <r>
          <rPr>
            <sz val="8"/>
            <color indexed="81"/>
            <rFont val="Tahoma"/>
            <family val="2"/>
          </rPr>
          <t xml:space="preserve">
exclude $3M in bottler taxes to make comparable to Q110 under new accting rules that resulted in acctng treatment as equity method investment</t>
        </r>
      </text>
    </comment>
    <comment ref="AW70" authorId="0">
      <text>
        <r>
          <rPr>
            <b/>
            <sz val="8"/>
            <color indexed="81"/>
            <rFont val="Tahoma"/>
            <family val="2"/>
          </rPr>
          <t>grunke:</t>
        </r>
        <r>
          <rPr>
            <sz val="8"/>
            <color indexed="81"/>
            <rFont val="Tahoma"/>
            <family val="2"/>
          </rPr>
          <t xml:space="preserve">
exclude $11M in bottler taxes to make comparable to Q210 under new accting rules that resulted in acctng treatment as equity method investment</t>
        </r>
      </text>
    </comment>
    <comment ref="AX70" authorId="0">
      <text>
        <r>
          <rPr>
            <b/>
            <sz val="8"/>
            <color indexed="81"/>
            <rFont val="Tahoma"/>
            <family val="2"/>
          </rPr>
          <t>grunke:</t>
        </r>
        <r>
          <rPr>
            <sz val="8"/>
            <color indexed="81"/>
            <rFont val="Tahoma"/>
            <family val="2"/>
          </rPr>
          <t xml:space="preserve">
exclude $11M in bottler taxes to make comparable to Q310 under new accting rules that resulted in acctng treatment as equity method investment</t>
        </r>
      </text>
    </comment>
    <comment ref="AY70" authorId="0">
      <text>
        <r>
          <rPr>
            <b/>
            <sz val="8"/>
            <color indexed="81"/>
            <rFont val="Tahoma"/>
            <family val="2"/>
          </rPr>
          <t>grunke:</t>
        </r>
        <r>
          <rPr>
            <sz val="8"/>
            <color indexed="81"/>
            <rFont val="Tahoma"/>
            <family val="2"/>
          </rPr>
          <t xml:space="preserve">
exclude $10M in bottler taxes to make comparable to Q410 under new accting rules that resulted in acctng treatment as equity method investment</t>
        </r>
      </text>
    </comment>
    <comment ref="AZ70" authorId="0">
      <text>
        <r>
          <rPr>
            <b/>
            <sz val="8"/>
            <color indexed="81"/>
            <rFont val="Tahoma"/>
            <family val="2"/>
          </rPr>
          <t>grunke:</t>
        </r>
        <r>
          <rPr>
            <sz val="8"/>
            <color indexed="81"/>
            <rFont val="Tahoma"/>
            <family val="2"/>
          </rPr>
          <t xml:space="preserve">
exclude $35M in bottler taxes to make comparable to F2010 under new accting rules that resulted in acctng treatment as equity method investment</t>
        </r>
      </text>
    </comment>
    <comment ref="AV71" authorId="0">
      <text>
        <r>
          <rPr>
            <b/>
            <sz val="8"/>
            <color indexed="81"/>
            <rFont val="Tahoma"/>
            <family val="2"/>
          </rPr>
          <t>grunke:</t>
        </r>
        <r>
          <rPr>
            <sz val="8"/>
            <color indexed="81"/>
            <rFont val="Tahoma"/>
            <family val="2"/>
          </rPr>
          <t xml:space="preserve">
23.3% on comparable basis vs. Q110</t>
        </r>
      </text>
    </comment>
    <comment ref="AW71" authorId="0">
      <text>
        <r>
          <rPr>
            <b/>
            <sz val="8"/>
            <color indexed="81"/>
            <rFont val="Tahoma"/>
            <family val="2"/>
          </rPr>
          <t>grunke:</t>
        </r>
        <r>
          <rPr>
            <sz val="8"/>
            <color indexed="81"/>
            <rFont val="Tahoma"/>
            <family val="2"/>
          </rPr>
          <t xml:space="preserve">
23.2% on comparable basis vs. Q210 </t>
        </r>
      </text>
    </comment>
    <comment ref="BT71" authorId="4">
      <text>
        <r>
          <rPr>
            <b/>
            <sz val="8"/>
            <color indexed="81"/>
            <rFont val="Tahoma"/>
            <family val="2"/>
          </rPr>
          <t>cruzv:</t>
        </r>
        <r>
          <rPr>
            <sz val="8"/>
            <color indexed="81"/>
            <rFont val="Tahoma"/>
            <family val="2"/>
          </rPr>
          <t xml:space="preserve">
23% guidance, down from 23.5%</t>
        </r>
      </text>
    </comment>
    <comment ref="BY71" authorId="4">
      <text>
        <r>
          <rPr>
            <b/>
            <sz val="8"/>
            <color indexed="81"/>
            <rFont val="Tahoma"/>
            <family val="2"/>
          </rPr>
          <t>cruzv:</t>
        </r>
        <r>
          <rPr>
            <sz val="8"/>
            <color indexed="81"/>
            <rFont val="Tahoma"/>
            <family val="2"/>
          </rPr>
          <t xml:space="preserve">
22.5 v old23% guidance</t>
        </r>
      </text>
    </comment>
    <comment ref="CD71" authorId="3">
      <text>
        <r>
          <rPr>
            <b/>
            <sz val="9"/>
            <color indexed="81"/>
            <rFont val="Tahoma"/>
            <family val="2"/>
          </rPr>
          <t>Doctor, Bob (Research):</t>
        </r>
        <r>
          <rPr>
            <sz val="9"/>
            <color indexed="81"/>
            <rFont val="Tahoma"/>
            <family val="2"/>
          </rPr>
          <t xml:space="preserve">
remain at 22.5%</t>
        </r>
      </text>
    </comment>
    <comment ref="CI71" authorId="5">
      <text>
        <r>
          <rPr>
            <b/>
            <sz val="9"/>
            <color indexed="81"/>
            <rFont val="Tahoma"/>
            <family val="2"/>
          </rPr>
          <t>Fitzgerald, Kyle (Research):</t>
        </r>
        <r>
          <rPr>
            <sz val="9"/>
            <color indexed="81"/>
            <rFont val="Tahoma"/>
            <family val="2"/>
          </rPr>
          <t xml:space="preserve">
22.5%</t>
        </r>
      </text>
    </comment>
    <comment ref="CN71" authorId="2">
      <text>
        <r>
          <rPr>
            <b/>
            <sz val="9"/>
            <color indexed="81"/>
            <rFont val="Tahoma"/>
            <family val="2"/>
          </rPr>
          <t>Falorni, Filippo (Research):</t>
        </r>
        <r>
          <rPr>
            <sz val="9"/>
            <color indexed="81"/>
            <rFont val="Tahoma"/>
            <family val="2"/>
          </rPr>
          <t xml:space="preserve">
G at 3Q17: </t>
        </r>
        <r>
          <rPr>
            <b/>
            <sz val="9"/>
            <color indexed="81"/>
            <rFont val="Tahoma"/>
            <family val="2"/>
          </rPr>
          <t>R</t>
        </r>
        <r>
          <rPr>
            <sz val="9"/>
            <color indexed="81"/>
            <rFont val="Tahoma"/>
            <family val="2"/>
          </rPr>
          <t xml:space="preserve">
G at 2Q17: </t>
        </r>
        <r>
          <rPr>
            <b/>
            <sz val="9"/>
            <color indexed="81"/>
            <rFont val="Tahoma"/>
            <family val="2"/>
          </rPr>
          <t>R</t>
        </r>
        <r>
          <rPr>
            <sz val="9"/>
            <color indexed="81"/>
            <rFont val="Tahoma"/>
            <family val="2"/>
          </rPr>
          <t xml:space="preserve">
G at 1Q17: </t>
        </r>
        <r>
          <rPr>
            <b/>
            <sz val="9"/>
            <color indexed="81"/>
            <rFont val="Tahoma"/>
            <family val="2"/>
          </rPr>
          <t>R</t>
        </r>
        <r>
          <rPr>
            <sz val="9"/>
            <color indexed="81"/>
            <rFont val="Tahoma"/>
            <family val="2"/>
          </rPr>
          <t xml:space="preserve">
G at 4Q16: ~24% (not including tax reform)</t>
        </r>
      </text>
    </comment>
    <comment ref="CS71" authorId="2">
      <text>
        <r>
          <rPr>
            <b/>
            <sz val="9"/>
            <color indexed="81"/>
            <rFont val="Tahoma"/>
            <family val="2"/>
          </rPr>
          <t>Falorni, Filippo (Research):</t>
        </r>
        <r>
          <rPr>
            <sz val="9"/>
            <color indexed="81"/>
            <rFont val="Tahoma"/>
            <family val="2"/>
          </rPr>
          <t xml:space="preserve">
G at 1Q18: </t>
        </r>
        <r>
          <rPr>
            <b/>
            <sz val="9"/>
            <color indexed="81"/>
            <rFont val="Tahoma"/>
            <family val="2"/>
          </rPr>
          <t>R</t>
        </r>
        <r>
          <rPr>
            <sz val="9"/>
            <color indexed="81"/>
            <rFont val="Tahoma"/>
            <family val="2"/>
          </rPr>
          <t xml:space="preserve">
G at 4Q17: ~21% (post US tax reform)
G at 3Q17: </t>
        </r>
        <r>
          <rPr>
            <b/>
            <sz val="9"/>
            <color indexed="81"/>
            <rFont val="Tahoma"/>
            <family val="2"/>
          </rPr>
          <t>R</t>
        </r>
        <r>
          <rPr>
            <sz val="9"/>
            <color indexed="81"/>
            <rFont val="Tahoma"/>
            <family val="2"/>
          </rPr>
          <t xml:space="preserve">
G at 2Q17: </t>
        </r>
        <r>
          <rPr>
            <b/>
            <sz val="9"/>
            <color indexed="81"/>
            <rFont val="Tahoma"/>
            <family val="2"/>
          </rPr>
          <t>R</t>
        </r>
        <r>
          <rPr>
            <sz val="9"/>
            <color indexed="81"/>
            <rFont val="Tahoma"/>
            <family val="2"/>
          </rPr>
          <t xml:space="preserve">
G at 1Q17: </t>
        </r>
        <r>
          <rPr>
            <b/>
            <sz val="9"/>
            <color indexed="81"/>
            <rFont val="Tahoma"/>
            <family val="2"/>
          </rPr>
          <t>R</t>
        </r>
        <r>
          <rPr>
            <sz val="9"/>
            <color indexed="81"/>
            <rFont val="Tahoma"/>
            <family val="2"/>
          </rPr>
          <t xml:space="preserve">
G at 4Q16: ~26% (not including tax reform)</t>
        </r>
      </text>
    </comment>
    <comment ref="AV73" authorId="0">
      <text>
        <r>
          <rPr>
            <b/>
            <sz val="8"/>
            <color indexed="81"/>
            <rFont val="Tahoma"/>
            <family val="2"/>
          </rPr>
          <t>grunke:</t>
        </r>
        <r>
          <rPr>
            <sz val="8"/>
            <color indexed="81"/>
            <rFont val="Tahoma"/>
            <family val="2"/>
          </rPr>
          <t xml:space="preserve">
exclude $2M in net income to make comparable to Q110 under new accting rules that resulted in acctng treatment as equity method investment</t>
        </r>
      </text>
    </comment>
    <comment ref="AW73" authorId="0">
      <text>
        <r>
          <rPr>
            <b/>
            <sz val="8"/>
            <color indexed="81"/>
            <rFont val="Tahoma"/>
            <family val="2"/>
          </rPr>
          <t>grunke:</t>
        </r>
        <r>
          <rPr>
            <sz val="8"/>
            <color indexed="81"/>
            <rFont val="Tahoma"/>
            <family val="2"/>
          </rPr>
          <t xml:space="preserve">
exclude $6M in net income to make comparable to Q210 under new accting rules that resulted in acctng treatment as equity method investment</t>
        </r>
      </text>
    </comment>
    <comment ref="AX73" authorId="0">
      <text>
        <r>
          <rPr>
            <b/>
            <sz val="8"/>
            <color indexed="81"/>
            <rFont val="Tahoma"/>
            <family val="2"/>
          </rPr>
          <t>grunke:</t>
        </r>
        <r>
          <rPr>
            <sz val="8"/>
            <color indexed="81"/>
            <rFont val="Tahoma"/>
            <family val="2"/>
          </rPr>
          <t xml:space="preserve">
exclude $16M in net income to make comparable to Q310 under new accting rules that resulted in acctng treatment as equity method investment</t>
        </r>
      </text>
    </comment>
    <comment ref="AY73" authorId="0">
      <text>
        <r>
          <rPr>
            <b/>
            <sz val="8"/>
            <color indexed="81"/>
            <rFont val="Tahoma"/>
            <family val="2"/>
          </rPr>
          <t>grunke:</t>
        </r>
        <r>
          <rPr>
            <sz val="8"/>
            <color indexed="81"/>
            <rFont val="Tahoma"/>
            <family val="2"/>
          </rPr>
          <t xml:space="preserve">
exclude $20M in net income to make comparable to Q410 under new accting rules that resulted in acctng treatment as equity method investment</t>
        </r>
      </text>
    </comment>
    <comment ref="AZ73" authorId="0">
      <text>
        <r>
          <rPr>
            <b/>
            <sz val="8"/>
            <color indexed="81"/>
            <rFont val="Tahoma"/>
            <family val="2"/>
          </rPr>
          <t>grunke:</t>
        </r>
        <r>
          <rPr>
            <sz val="8"/>
            <color indexed="81"/>
            <rFont val="Tahoma"/>
            <family val="2"/>
          </rPr>
          <t xml:space="preserve">
exclude $44M in net income to make comparable to F2010 under new accting rules that resulted in acctng treatment as equity method investment</t>
        </r>
      </text>
    </comment>
    <comment ref="AV75" authorId="0">
      <text>
        <r>
          <rPr>
            <b/>
            <sz val="8"/>
            <color indexed="81"/>
            <rFont val="Tahoma"/>
            <family val="2"/>
          </rPr>
          <t>grunke:</t>
        </r>
        <r>
          <rPr>
            <sz val="8"/>
            <color indexed="81"/>
            <rFont val="Tahoma"/>
            <family val="2"/>
          </rPr>
          <t xml:space="preserve">
exclude $2M in minority interest to make comparable to Q110 under new accting rules that resulted in acctng treatment as equity method investment</t>
        </r>
      </text>
    </comment>
    <comment ref="AW75" authorId="0">
      <text>
        <r>
          <rPr>
            <b/>
            <sz val="8"/>
            <color indexed="81"/>
            <rFont val="Tahoma"/>
            <family val="2"/>
          </rPr>
          <t>grunke:</t>
        </r>
        <r>
          <rPr>
            <sz val="8"/>
            <color indexed="81"/>
            <rFont val="Tahoma"/>
            <family val="2"/>
          </rPr>
          <t xml:space="preserve">
exclude $6M in minority interest to make comparable to Q210 under new accting rules that resulted in acctng treatment as equity method investment</t>
        </r>
      </text>
    </comment>
    <comment ref="AX75" authorId="0">
      <text>
        <r>
          <rPr>
            <b/>
            <sz val="8"/>
            <color indexed="81"/>
            <rFont val="Tahoma"/>
            <family val="2"/>
          </rPr>
          <t>grunke:</t>
        </r>
        <r>
          <rPr>
            <sz val="8"/>
            <color indexed="81"/>
            <rFont val="Tahoma"/>
            <family val="2"/>
          </rPr>
          <t xml:space="preserve">
exclude $16M in minority interest to make comparable to Q310 under new accting rules that resulted in acctng treatment as equity method investment</t>
        </r>
      </text>
    </comment>
    <comment ref="AY75" authorId="0">
      <text>
        <r>
          <rPr>
            <b/>
            <sz val="8"/>
            <color indexed="81"/>
            <rFont val="Tahoma"/>
            <family val="2"/>
          </rPr>
          <t>grunke:</t>
        </r>
        <r>
          <rPr>
            <sz val="8"/>
            <color indexed="81"/>
            <rFont val="Tahoma"/>
            <family val="2"/>
          </rPr>
          <t xml:space="preserve">
exclude $20M in minority interest to make comparable to Q410 under new accting rules that resulted in acctng treatment as equity method investment</t>
        </r>
      </text>
    </comment>
    <comment ref="AZ75" authorId="0">
      <text>
        <r>
          <rPr>
            <b/>
            <sz val="8"/>
            <color indexed="81"/>
            <rFont val="Tahoma"/>
            <family val="2"/>
          </rPr>
          <t>grunke:</t>
        </r>
        <r>
          <rPr>
            <sz val="8"/>
            <color indexed="81"/>
            <rFont val="Tahoma"/>
            <family val="2"/>
          </rPr>
          <t xml:space="preserve">
exclude $44M in minority interest to make comparable to F2010 under new accting rules that resulted in acctng treatment as equity method investment</t>
        </r>
      </text>
    </comment>
    <comment ref="BX79" authorId="3">
      <text>
        <r>
          <rPr>
            <b/>
            <sz val="9"/>
            <color indexed="81"/>
            <rFont val="Tahoma"/>
            <family val="2"/>
          </rPr>
          <t>Doctor, Bob (Research):</t>
        </r>
        <r>
          <rPr>
            <sz val="9"/>
            <color indexed="81"/>
            <rFont val="Tahoma"/>
            <family val="2"/>
          </rPr>
          <t xml:space="preserve">
fx EPS impact - 9%; currecny neutral flat to slightly positive</t>
        </r>
      </text>
    </comment>
    <comment ref="CI79" authorId="3">
      <text>
        <r>
          <rPr>
            <b/>
            <sz val="9"/>
            <color indexed="81"/>
            <rFont val="Tahoma"/>
            <family val="2"/>
          </rPr>
          <t>Doctor, Bob (Research):</t>
        </r>
        <r>
          <rPr>
            <sz val="9"/>
            <color indexed="81"/>
            <rFont val="Tahoma"/>
            <family val="2"/>
          </rPr>
          <t xml:space="preserve">
-4-7%</t>
        </r>
      </text>
    </comment>
    <comment ref="CN79" authorId="2">
      <text>
        <r>
          <rPr>
            <b/>
            <sz val="9"/>
            <color indexed="81"/>
            <rFont val="Tahoma"/>
            <family val="2"/>
          </rPr>
          <t>Falorni, Filippo (Research):</t>
        </r>
        <r>
          <rPr>
            <sz val="9"/>
            <color indexed="81"/>
            <rFont val="Tahoma"/>
            <family val="2"/>
          </rPr>
          <t xml:space="preserve">
G at 3Q17: </t>
        </r>
        <r>
          <rPr>
            <b/>
            <sz val="9"/>
            <color indexed="81"/>
            <rFont val="Tahoma"/>
            <family val="2"/>
          </rPr>
          <t>R</t>
        </r>
        <r>
          <rPr>
            <sz val="9"/>
            <color indexed="81"/>
            <rFont val="Tahoma"/>
            <family val="2"/>
          </rPr>
          <t xml:space="preserve">
G at 2Q17: $1.87-$1.91 (m/p $1.89)
G at 1Q17: $1.85-$1.89 (m/p $1.87) 
G at 4Q16: $1.83-$1.89 (m/p $1.86)</t>
        </r>
      </text>
    </comment>
    <comment ref="CS79" authorId="2">
      <text>
        <r>
          <rPr>
            <b/>
            <sz val="9"/>
            <color indexed="81"/>
            <rFont val="Tahoma"/>
            <family val="2"/>
          </rPr>
          <t>Falorni, Filippo (Research):</t>
        </r>
        <r>
          <rPr>
            <sz val="9"/>
            <color indexed="81"/>
            <rFont val="Tahoma"/>
            <family val="2"/>
          </rPr>
          <t xml:space="preserve">
G at 1Q18: </t>
        </r>
        <r>
          <rPr>
            <b/>
            <sz val="9"/>
            <color indexed="81"/>
            <rFont val="Tahoma"/>
            <family val="2"/>
          </rPr>
          <t>R</t>
        </r>
        <r>
          <rPr>
            <sz val="9"/>
            <color indexed="81"/>
            <rFont val="Tahoma"/>
            <family val="2"/>
          </rPr>
          <t xml:space="preserve">
G at 4Q17: $2.06-$2.10 (m/p $2.08)</t>
        </r>
      </text>
    </comment>
    <comment ref="BP80" authorId="1">
      <text>
        <r>
          <rPr>
            <b/>
            <sz val="8"/>
            <color indexed="81"/>
            <rFont val="Tahoma"/>
            <family val="2"/>
          </rPr>
          <t>doctobob:</t>
        </r>
        <r>
          <rPr>
            <sz val="8"/>
            <color indexed="81"/>
            <rFont val="Tahoma"/>
            <family val="2"/>
          </rPr>
          <t xml:space="preserve">
FX -4% headwind</t>
        </r>
      </text>
    </comment>
    <comment ref="BS80" authorId="1">
      <text>
        <r>
          <rPr>
            <b/>
            <sz val="8"/>
            <color indexed="81"/>
            <rFont val="Tahoma"/>
            <family val="2"/>
          </rPr>
          <t>doctobob:</t>
        </r>
        <r>
          <rPr>
            <sz val="8"/>
            <color indexed="81"/>
            <rFont val="Tahoma"/>
            <family val="2"/>
          </rPr>
          <t xml:space="preserve">
fx neutral +7%</t>
        </r>
      </text>
    </comment>
    <comment ref="BT80" authorId="1">
      <text>
        <r>
          <rPr>
            <b/>
            <sz val="8"/>
            <color indexed="81"/>
            <rFont val="Tahoma"/>
            <family val="2"/>
          </rPr>
          <t>doctobob:</t>
        </r>
        <r>
          <rPr>
            <sz val="8"/>
            <color indexed="81"/>
            <rFont val="Tahoma"/>
            <family val="2"/>
          </rPr>
          <t xml:space="preserve">
FX neutral +8%</t>
        </r>
      </text>
    </comment>
    <comment ref="BY80" authorId="3">
      <text>
        <r>
          <rPr>
            <b/>
            <sz val="9"/>
            <color indexed="81"/>
            <rFont val="Tahoma"/>
            <family val="2"/>
          </rPr>
          <t>Doctor, Bob (Research):</t>
        </r>
        <r>
          <rPr>
            <sz val="9"/>
            <color indexed="81"/>
            <rFont val="Tahoma"/>
            <family val="2"/>
          </rPr>
          <t xml:space="preserve">
Below LT HSD EPS guiance; 6% FX hit to OI</t>
        </r>
      </text>
    </comment>
    <comment ref="CD80" authorId="3">
      <text>
        <r>
          <rPr>
            <b/>
            <sz val="9"/>
            <color indexed="81"/>
            <rFont val="Tahoma"/>
            <family val="2"/>
          </rPr>
          <t>Doctor, Bob (Research):</t>
        </r>
        <r>
          <rPr>
            <sz val="9"/>
            <color indexed="81"/>
            <rFont val="Tahoma"/>
            <family val="2"/>
          </rPr>
          <t xml:space="preserve">
MSD FX neutral FX; 7-8 pt fx impact</t>
        </r>
      </text>
    </comment>
    <comment ref="CN80" authorId="2">
      <text>
        <r>
          <rPr>
            <b/>
            <sz val="9"/>
            <color indexed="81"/>
            <rFont val="Tahoma"/>
            <family val="2"/>
          </rPr>
          <t>Falorni, Filippo (Research):</t>
        </r>
        <r>
          <rPr>
            <sz val="9"/>
            <color indexed="81"/>
            <rFont val="Tahoma"/>
            <family val="2"/>
          </rPr>
          <t xml:space="preserve">
G at 3Q17: </t>
        </r>
        <r>
          <rPr>
            <b/>
            <sz val="9"/>
            <color indexed="81"/>
            <rFont val="Tahoma"/>
            <family val="2"/>
          </rPr>
          <t>R</t>
        </r>
        <r>
          <rPr>
            <sz val="9"/>
            <color indexed="81"/>
            <rFont val="Tahoma"/>
            <family val="2"/>
          </rPr>
          <t xml:space="preserve">
G at 2Q17: (2%)-0
G at 1Q17: (1%)-(3%)
G at 4Q16: (1%)-(4%)</t>
        </r>
      </text>
    </comment>
    <comment ref="CQ80" authorId="2">
      <text>
        <r>
          <rPr>
            <b/>
            <sz val="9"/>
            <color indexed="81"/>
            <rFont val="Tahoma"/>
            <family val="2"/>
          </rPr>
          <t>Falorni, Filippo (Research):</t>
        </r>
        <r>
          <rPr>
            <sz val="9"/>
            <color indexed="81"/>
            <rFont val="Tahoma"/>
            <family val="2"/>
          </rPr>
          <t xml:space="preserve">
G at 4Q17: EPS growth 2H weighted</t>
        </r>
      </text>
    </comment>
    <comment ref="CR80" authorId="2">
      <text>
        <r>
          <rPr>
            <b/>
            <sz val="9"/>
            <color indexed="81"/>
            <rFont val="Tahoma"/>
            <family val="2"/>
          </rPr>
          <t>Falorni, Filippo (Research):</t>
        </r>
        <r>
          <rPr>
            <sz val="9"/>
            <color indexed="81"/>
            <rFont val="Tahoma"/>
            <family val="2"/>
          </rPr>
          <t xml:space="preserve">
G at 4Q17: EPS growth 2H weighted</t>
        </r>
      </text>
    </comment>
    <comment ref="CS80" authorId="2">
      <text>
        <r>
          <rPr>
            <b/>
            <sz val="9"/>
            <color indexed="81"/>
            <rFont val="Tahoma"/>
            <family val="2"/>
          </rPr>
          <t>Falorni, Filippo (Research):</t>
        </r>
        <r>
          <rPr>
            <sz val="9"/>
            <color indexed="81"/>
            <rFont val="Tahoma"/>
            <family val="2"/>
          </rPr>
          <t xml:space="preserve">
G at 1Q18: </t>
        </r>
        <r>
          <rPr>
            <b/>
            <sz val="9"/>
            <color indexed="81"/>
            <rFont val="Tahoma"/>
            <family val="2"/>
          </rPr>
          <t>R</t>
        </r>
        <r>
          <rPr>
            <sz val="9"/>
            <color indexed="81"/>
            <rFont val="Tahoma"/>
            <family val="2"/>
          </rPr>
          <t xml:space="preserve">
G at 4Q17: +8-10%</t>
        </r>
      </text>
    </comment>
    <comment ref="A82" authorId="0">
      <text>
        <r>
          <rPr>
            <b/>
            <sz val="8"/>
            <color indexed="81"/>
            <rFont val="Tahoma"/>
            <family val="2"/>
          </rPr>
          <t>grunke:</t>
        </r>
        <r>
          <rPr>
            <sz val="8"/>
            <color indexed="81"/>
            <rFont val="Tahoma"/>
            <family val="2"/>
          </rPr>
          <t xml:space="preserve">
includes all items impacting comparability to reconcile to GAAP EPS</t>
        </r>
      </text>
    </comment>
    <comment ref="BF101" authorId="0">
      <text>
        <r>
          <rPr>
            <b/>
            <sz val="8"/>
            <color indexed="81"/>
            <rFont val="Tahoma"/>
            <family val="2"/>
          </rPr>
          <t>grunke:</t>
        </r>
        <r>
          <rPr>
            <sz val="8"/>
            <color indexed="81"/>
            <rFont val="Tahoma"/>
            <family val="2"/>
          </rPr>
          <t xml:space="preserve">
10-Q</t>
        </r>
      </text>
    </comment>
    <comment ref="BL101" authorId="0">
      <text>
        <r>
          <rPr>
            <b/>
            <sz val="8"/>
            <color indexed="81"/>
            <rFont val="Tahoma"/>
            <family val="2"/>
          </rPr>
          <t>grunke:</t>
        </r>
        <r>
          <rPr>
            <sz val="8"/>
            <color indexed="81"/>
            <rFont val="Tahoma"/>
            <family val="2"/>
          </rPr>
          <t xml:space="preserve">
per KO IR</t>
        </r>
      </text>
    </comment>
    <comment ref="BM101" authorId="0">
      <text>
        <r>
          <rPr>
            <b/>
            <sz val="8"/>
            <color indexed="81"/>
            <rFont val="Tahoma"/>
            <family val="2"/>
          </rPr>
          <t>grunke:</t>
        </r>
        <r>
          <rPr>
            <sz val="8"/>
            <color indexed="81"/>
            <rFont val="Tahoma"/>
            <family val="2"/>
          </rPr>
          <t xml:space="preserve">
10-Q</t>
        </r>
      </text>
    </comment>
    <comment ref="BP101" authorId="4">
      <text>
        <r>
          <rPr>
            <b/>
            <sz val="8"/>
            <color indexed="81"/>
            <rFont val="Tahoma"/>
            <family val="2"/>
          </rPr>
          <t>cruzv:</t>
        </r>
        <r>
          <rPr>
            <sz val="8"/>
            <color indexed="81"/>
            <rFont val="Tahoma"/>
            <family val="2"/>
          </rPr>
          <t xml:space="preserve">
10-Q</t>
        </r>
      </text>
    </comment>
    <comment ref="BQ101" authorId="4">
      <text>
        <r>
          <rPr>
            <b/>
            <sz val="8"/>
            <color indexed="81"/>
            <rFont val="Tahoma"/>
            <family val="2"/>
          </rPr>
          <t>cruzv:</t>
        </r>
        <r>
          <rPr>
            <sz val="8"/>
            <color indexed="81"/>
            <rFont val="Tahoma"/>
            <family val="2"/>
          </rPr>
          <t xml:space="preserve">
10-Q</t>
        </r>
      </text>
    </comment>
    <comment ref="BR101" authorId="4">
      <text>
        <r>
          <rPr>
            <b/>
            <sz val="8"/>
            <color indexed="81"/>
            <rFont val="Tahoma"/>
            <family val="2"/>
          </rPr>
          <t>cruzv:</t>
        </r>
        <r>
          <rPr>
            <sz val="8"/>
            <color indexed="81"/>
            <rFont val="Tahoma"/>
            <family val="2"/>
          </rPr>
          <t xml:space="preserve">
During the nine months ended September 27, 2013, the Company repurchased 95.9 million shares of common stock under the share repurchase plan authorized by our Board of Directors.</t>
        </r>
      </text>
    </comment>
    <comment ref="BF102" authorId="0">
      <text>
        <r>
          <rPr>
            <b/>
            <sz val="8"/>
            <color indexed="81"/>
            <rFont val="Tahoma"/>
            <family val="2"/>
          </rPr>
          <t>grunke:</t>
        </r>
        <r>
          <rPr>
            <sz val="8"/>
            <color indexed="81"/>
            <rFont val="Tahoma"/>
            <family val="2"/>
          </rPr>
          <t xml:space="preserve">
10-Q avg. cost/share</t>
        </r>
      </text>
    </comment>
    <comment ref="BG102" authorId="0">
      <text>
        <r>
          <rPr>
            <b/>
            <sz val="8"/>
            <color indexed="81"/>
            <rFont val="Tahoma"/>
            <family val="2"/>
          </rPr>
          <t>grunke:</t>
        </r>
        <r>
          <rPr>
            <sz val="8"/>
            <color indexed="81"/>
            <rFont val="Tahoma"/>
            <family val="2"/>
          </rPr>
          <t xml:space="preserve">
MS est - impacted due to timing </t>
        </r>
      </text>
    </comment>
    <comment ref="BG103" authorId="0">
      <text>
        <r>
          <rPr>
            <b/>
            <sz val="8"/>
            <color indexed="81"/>
            <rFont val="Tahoma"/>
            <family val="2"/>
          </rPr>
          <t>grunke:</t>
        </r>
        <r>
          <rPr>
            <sz val="8"/>
            <color indexed="81"/>
            <rFont val="Tahoma"/>
            <family val="2"/>
          </rPr>
          <t xml:space="preserve">
due to timing, includes shares repurchased during 2H11</t>
        </r>
      </text>
    </comment>
    <comment ref="BK103" authorId="0">
      <text>
        <r>
          <rPr>
            <b/>
            <sz val="8"/>
            <color indexed="81"/>
            <rFont val="Tahoma"/>
            <family val="2"/>
          </rPr>
          <t>grunke: 10-Q</t>
        </r>
        <r>
          <rPr>
            <sz val="8"/>
            <color indexed="81"/>
            <rFont val="Tahoma"/>
            <family val="2"/>
          </rPr>
          <t xml:space="preserve">
During the three months ended March 30, 2012 , the Company repurchased 19.0 million shares of common stock under the stock repurchase plan authorized by our Board of Directors. These shares were repurchased at an average cost of $70.93 per share, for a total cost of $1,349 million. However, due to the timing of settlements, the total cash outflow for treasury stock purchases was $1,079 million during the three months ended March 30, 2012</t>
        </r>
      </text>
    </comment>
    <comment ref="BL103" authorId="0">
      <text>
        <r>
          <rPr>
            <b/>
            <sz val="8"/>
            <color indexed="81"/>
            <rFont val="Tahoma"/>
            <family val="2"/>
          </rPr>
          <t>grunke:</t>
        </r>
        <r>
          <rPr>
            <sz val="8"/>
            <color indexed="81"/>
            <rFont val="Tahoma"/>
            <family val="2"/>
          </rPr>
          <t xml:space="preserve">
includes timing from 1Q - see 1Q comment </t>
        </r>
      </text>
    </comment>
    <comment ref="BP103" authorId="4">
      <text>
        <r>
          <rPr>
            <b/>
            <sz val="8"/>
            <color indexed="81"/>
            <rFont val="Tahoma"/>
            <family val="2"/>
          </rPr>
          <t>cruzv:</t>
        </r>
        <r>
          <rPr>
            <sz val="8"/>
            <color indexed="81"/>
            <rFont val="Tahoma"/>
            <family val="2"/>
          </rPr>
          <t xml:space="preserve">
Includes $10M of treasury stock purchased in December, but closed in early 2013</t>
        </r>
      </text>
    </comment>
    <comment ref="CE103" authorId="2">
      <text>
        <r>
          <rPr>
            <sz val="9"/>
            <color indexed="81"/>
            <rFont val="Tahoma"/>
            <family val="2"/>
          </rPr>
          <t xml:space="preserve">During the three months ended April 1, 2016, the Company repurchased 21.3 million shares of common stock under the share repurchase plan authorized by our Board of Directors. These shares were repurchased at an average cost of $44.82 per share, for a total cost of $956 million. However, due to the timing of settlements, the total cash outflow for treasury stock purchases was $739 million during the three months ended April 1, 2016. </t>
        </r>
      </text>
    </comment>
    <comment ref="BJ108" authorId="0">
      <text>
        <r>
          <rPr>
            <b/>
            <sz val="8"/>
            <color indexed="81"/>
            <rFont val="Tahoma"/>
            <family val="2"/>
          </rPr>
          <t>grunke:</t>
        </r>
        <r>
          <rPr>
            <sz val="8"/>
            <color indexed="81"/>
            <rFont val="Tahoma"/>
            <family val="2"/>
          </rPr>
          <t xml:space="preserve">
KO guidance: $2.5-$3B</t>
        </r>
      </text>
    </comment>
    <comment ref="BO108" authorId="0">
      <text>
        <r>
          <rPr>
            <b/>
            <sz val="8"/>
            <color indexed="81"/>
            <rFont val="Tahoma"/>
            <family val="2"/>
          </rPr>
          <t>grunke:</t>
        </r>
        <r>
          <rPr>
            <sz val="8"/>
            <color indexed="81"/>
            <rFont val="Tahoma"/>
            <family val="2"/>
          </rPr>
          <t xml:space="preserve">
$2.5-$3B guidance</t>
        </r>
      </text>
    </comment>
    <comment ref="BT108" authorId="0">
      <text>
        <r>
          <rPr>
            <b/>
            <sz val="8"/>
            <color indexed="81"/>
            <rFont val="Tahoma"/>
            <family val="2"/>
          </rPr>
          <t>grunke:</t>
        </r>
        <r>
          <rPr>
            <sz val="8"/>
            <color indexed="81"/>
            <rFont val="Tahoma"/>
            <family val="2"/>
          </rPr>
          <t xml:space="preserve">
$3-$3.5B guidance</t>
        </r>
      </text>
    </comment>
    <comment ref="BY108" authorId="4">
      <text>
        <r>
          <rPr>
            <b/>
            <sz val="8"/>
            <color indexed="81"/>
            <rFont val="Tahoma"/>
            <family val="2"/>
          </rPr>
          <t>cruzv:</t>
        </r>
        <r>
          <rPr>
            <sz val="8"/>
            <color indexed="81"/>
            <rFont val="Tahoma"/>
            <family val="2"/>
          </rPr>
          <t xml:space="preserve">
$2.5 guidance</t>
        </r>
      </text>
    </comment>
    <comment ref="CD108" authorId="3">
      <text>
        <r>
          <rPr>
            <b/>
            <sz val="9"/>
            <color indexed="81"/>
            <rFont val="Tahoma"/>
            <family val="2"/>
          </rPr>
          <t>Doctor, Bob (Research):</t>
        </r>
        <r>
          <rPr>
            <sz val="9"/>
            <color indexed="81"/>
            <rFont val="Tahoma"/>
            <family val="2"/>
          </rPr>
          <t xml:space="preserve">
2-2.5B</t>
        </r>
      </text>
    </comment>
    <comment ref="CI108" authorId="3">
      <text>
        <r>
          <rPr>
            <b/>
            <sz val="9"/>
            <color indexed="81"/>
            <rFont val="Tahoma"/>
            <family val="2"/>
          </rPr>
          <t>Doctor, Bob (Research):</t>
        </r>
        <r>
          <rPr>
            <sz val="9"/>
            <color indexed="81"/>
            <rFont val="Tahoma"/>
            <family val="2"/>
          </rPr>
          <t xml:space="preserve">
2-2.5</t>
        </r>
      </text>
    </comment>
    <comment ref="CN108" authorId="2">
      <text>
        <r>
          <rPr>
            <b/>
            <sz val="9"/>
            <color indexed="81"/>
            <rFont val="Tahoma"/>
            <family val="2"/>
          </rPr>
          <t>Falorni, Filippo (Research):</t>
        </r>
        <r>
          <rPr>
            <sz val="9"/>
            <color indexed="81"/>
            <rFont val="Tahoma"/>
            <family val="2"/>
          </rPr>
          <t xml:space="preserve">
G at 3Q17: </t>
        </r>
        <r>
          <rPr>
            <b/>
            <sz val="9"/>
            <color indexed="81"/>
            <rFont val="Tahoma"/>
            <family val="2"/>
          </rPr>
          <t>R</t>
        </r>
        <r>
          <rPr>
            <sz val="9"/>
            <color indexed="81"/>
            <rFont val="Tahoma"/>
            <family val="2"/>
          </rPr>
          <t xml:space="preserve">
G at 2Q17:</t>
        </r>
        <r>
          <rPr>
            <b/>
            <sz val="9"/>
            <color indexed="81"/>
            <rFont val="Tahoma"/>
            <family val="2"/>
          </rPr>
          <t xml:space="preserve"> R</t>
        </r>
        <r>
          <rPr>
            <sz val="9"/>
            <color indexed="81"/>
            <rFont val="Tahoma"/>
            <family val="2"/>
          </rPr>
          <t xml:space="preserve">
G at 1Q17: </t>
        </r>
        <r>
          <rPr>
            <b/>
            <sz val="9"/>
            <color indexed="81"/>
            <rFont val="Tahoma"/>
            <family val="2"/>
          </rPr>
          <t>R</t>
        </r>
        <r>
          <rPr>
            <sz val="9"/>
            <color indexed="81"/>
            <rFont val="Tahoma"/>
            <family val="2"/>
          </rPr>
          <t xml:space="preserve">
G at 4Q16: ~$2.0 bn</t>
        </r>
      </text>
    </comment>
    <comment ref="CS108" authorId="2">
      <text>
        <r>
          <rPr>
            <b/>
            <sz val="9"/>
            <color indexed="81"/>
            <rFont val="Tahoma"/>
            <family val="2"/>
          </rPr>
          <t>Falorni, Filippo (Research):</t>
        </r>
        <r>
          <rPr>
            <sz val="9"/>
            <color indexed="81"/>
            <rFont val="Tahoma"/>
            <family val="2"/>
          </rPr>
          <t xml:space="preserve">
G at 1Q18: </t>
        </r>
        <r>
          <rPr>
            <b/>
            <sz val="9"/>
            <color indexed="81"/>
            <rFont val="Tahoma"/>
            <family val="2"/>
          </rPr>
          <t>R</t>
        </r>
        <r>
          <rPr>
            <sz val="9"/>
            <color indexed="81"/>
            <rFont val="Tahoma"/>
            <family val="2"/>
          </rPr>
          <t xml:space="preserve">
G at 4Q17: ~$1.0b</t>
        </r>
      </text>
    </comment>
    <comment ref="BC120" authorId="0">
      <text>
        <r>
          <rPr>
            <b/>
            <sz val="8"/>
            <color indexed="81"/>
            <rFont val="Tahoma"/>
            <family val="2"/>
          </rPr>
          <t>grunke:</t>
        </r>
        <r>
          <rPr>
            <sz val="8"/>
            <color indexed="81"/>
            <rFont val="Tahoma"/>
            <family val="2"/>
          </rPr>
          <t xml:space="preserve">
includes $613M of assets held for sale</t>
        </r>
      </text>
    </comment>
    <comment ref="BN120" authorId="0">
      <text>
        <r>
          <rPr>
            <b/>
            <sz val="8"/>
            <color indexed="81"/>
            <rFont val="Tahoma"/>
            <family val="2"/>
          </rPr>
          <t>grunke:</t>
        </r>
        <r>
          <rPr>
            <sz val="8"/>
            <color indexed="81"/>
            <rFont val="Tahoma"/>
            <family val="2"/>
          </rPr>
          <t xml:space="preserve">
includes $2,973M of assets held for sale</t>
        </r>
      </text>
    </comment>
    <comment ref="BP120" authorId="0">
      <text>
        <r>
          <rPr>
            <b/>
            <sz val="8"/>
            <color indexed="81"/>
            <rFont val="Tahoma"/>
            <family val="2"/>
          </rPr>
          <t>grunke:</t>
        </r>
        <r>
          <rPr>
            <sz val="8"/>
            <color indexed="81"/>
            <rFont val="Tahoma"/>
            <family val="2"/>
          </rPr>
          <t xml:space="preserve">
includes $1,183M assets held for sales</t>
        </r>
      </text>
    </comment>
    <comment ref="BQ120" authorId="4">
      <text>
        <r>
          <rPr>
            <b/>
            <sz val="8"/>
            <color indexed="81"/>
            <rFont val="Tahoma"/>
            <family val="2"/>
          </rPr>
          <t>cruzv:</t>
        </r>
        <r>
          <rPr>
            <sz val="8"/>
            <color indexed="81"/>
            <rFont val="Tahoma"/>
            <family val="2"/>
          </rPr>
          <t xml:space="preserve">
Includes $1,145 of assets held for sale</t>
        </r>
      </text>
    </comment>
    <comment ref="A123" authorId="0">
      <text>
        <r>
          <rPr>
            <b/>
            <sz val="8"/>
            <color indexed="81"/>
            <rFont val="Tahoma"/>
            <family val="2"/>
          </rPr>
          <t>grunke:</t>
        </r>
        <r>
          <rPr>
            <sz val="8"/>
            <color indexed="81"/>
            <rFont val="Tahoma"/>
            <family val="2"/>
          </rPr>
          <t xml:space="preserve">
for forecasted periods, we assume that equity earnings is offset by dividends paid from equity investees </t>
        </r>
      </text>
    </comment>
    <comment ref="BC134" authorId="0">
      <text>
        <r>
          <rPr>
            <b/>
            <sz val="8"/>
            <color indexed="81"/>
            <rFont val="Tahoma"/>
            <family val="2"/>
          </rPr>
          <t>grunke:</t>
        </r>
        <r>
          <rPr>
            <sz val="8"/>
            <color indexed="81"/>
            <rFont val="Tahoma"/>
            <family val="2"/>
          </rPr>
          <t xml:space="preserve">
includes $214M of liabilities held for sales</t>
        </r>
      </text>
    </comment>
    <comment ref="BN134" authorId="0">
      <text>
        <r>
          <rPr>
            <b/>
            <sz val="8"/>
            <color indexed="81"/>
            <rFont val="Tahoma"/>
            <family val="2"/>
          </rPr>
          <t>grunke:</t>
        </r>
        <r>
          <rPr>
            <sz val="8"/>
            <color indexed="81"/>
            <rFont val="Tahoma"/>
            <family val="2"/>
          </rPr>
          <t xml:space="preserve">
includes $796M of liabilities held for sale</t>
        </r>
      </text>
    </comment>
    <comment ref="BP134" authorId="4">
      <text>
        <r>
          <rPr>
            <b/>
            <sz val="8"/>
            <color indexed="81"/>
            <rFont val="Tahoma"/>
            <family val="2"/>
          </rPr>
          <t>cruzv:</t>
        </r>
        <r>
          <rPr>
            <sz val="8"/>
            <color indexed="81"/>
            <rFont val="Tahoma"/>
            <family val="2"/>
          </rPr>
          <t xml:space="preserve">
Includes liabilities held for sale</t>
        </r>
      </text>
    </comment>
    <comment ref="BQ134" authorId="4">
      <text>
        <r>
          <rPr>
            <b/>
            <sz val="8"/>
            <color indexed="81"/>
            <rFont val="Tahoma"/>
            <family val="2"/>
          </rPr>
          <t>cruzv:</t>
        </r>
        <r>
          <rPr>
            <sz val="8"/>
            <color indexed="81"/>
            <rFont val="Tahoma"/>
            <family val="2"/>
          </rPr>
          <t xml:space="preserve">
Includes liabilities held for sale</t>
        </r>
      </text>
    </comment>
    <comment ref="CQ140" authorId="2">
      <text>
        <r>
          <rPr>
            <b/>
            <sz val="9"/>
            <color indexed="81"/>
            <rFont val="Tahoma"/>
            <family val="2"/>
          </rPr>
          <t>Falorni, Filippo (Research):</t>
        </r>
        <r>
          <rPr>
            <sz val="9"/>
            <color indexed="81"/>
            <rFont val="Tahoma"/>
            <family val="2"/>
          </rPr>
          <t xml:space="preserve">
$7B gross debt repayment in 2H17</t>
        </r>
      </text>
    </comment>
    <comment ref="CR140" authorId="2">
      <text>
        <r>
          <rPr>
            <b/>
            <sz val="9"/>
            <color indexed="81"/>
            <rFont val="Tahoma"/>
            <family val="2"/>
          </rPr>
          <t>Falorni, Filippo (Research):</t>
        </r>
        <r>
          <rPr>
            <sz val="9"/>
            <color indexed="81"/>
            <rFont val="Tahoma"/>
            <family val="2"/>
          </rPr>
          <t xml:space="preserve">
$7B gross debt repayment in 2H17</t>
        </r>
      </text>
    </comment>
    <comment ref="AT151" authorId="0">
      <text>
        <r>
          <rPr>
            <b/>
            <sz val="8"/>
            <color indexed="81"/>
            <rFont val="Tahoma"/>
            <family val="2"/>
          </rPr>
          <t>grunke:</t>
        </r>
        <r>
          <rPr>
            <sz val="8"/>
            <color indexed="81"/>
            <rFont val="Tahoma"/>
            <family val="2"/>
          </rPr>
          <t xml:space="preserve">
recorded in other non-current liabilities in prior periods</t>
        </r>
      </text>
    </comment>
    <comment ref="A165" authorId="0">
      <text>
        <r>
          <rPr>
            <b/>
            <sz val="8"/>
            <color indexed="81"/>
            <rFont val="Tahoma"/>
            <family val="2"/>
          </rPr>
          <t>grunke:</t>
        </r>
        <r>
          <rPr>
            <sz val="8"/>
            <color indexed="81"/>
            <rFont val="Tahoma"/>
            <family val="2"/>
          </rPr>
          <t xml:space="preserve">
forecasted periods assume that equity earnings from affiliates is equal to dividends received from affiliates</t>
        </r>
      </text>
    </comment>
    <comment ref="AP165" authorId="0">
      <text>
        <r>
          <rPr>
            <b/>
            <sz val="8"/>
            <color indexed="81"/>
            <rFont val="Tahoma"/>
            <family val="2"/>
          </rPr>
          <t>grunke:</t>
        </r>
        <r>
          <rPr>
            <sz val="8"/>
            <color indexed="81"/>
            <rFont val="Tahoma"/>
            <family val="2"/>
          </rPr>
          <t xml:space="preserve">
dividends received from equity method investees in 2007 were $216M </t>
        </r>
      </text>
    </comment>
    <comment ref="AU165" authorId="0">
      <text>
        <r>
          <rPr>
            <b/>
            <sz val="8"/>
            <color indexed="81"/>
            <rFont val="Tahoma"/>
            <family val="2"/>
          </rPr>
          <t>grunke:</t>
        </r>
        <r>
          <rPr>
            <sz val="8"/>
            <color indexed="81"/>
            <rFont val="Tahoma"/>
            <family val="2"/>
          </rPr>
          <t xml:space="preserve">
dividends received from equity method investees in 2008 were $254M </t>
        </r>
      </text>
    </comment>
    <comment ref="AZ165" authorId="0">
      <text>
        <r>
          <rPr>
            <b/>
            <sz val="8"/>
            <color indexed="81"/>
            <rFont val="Tahoma"/>
            <family val="2"/>
          </rPr>
          <t>grunke:</t>
        </r>
        <r>
          <rPr>
            <sz val="8"/>
            <color indexed="81"/>
            <rFont val="Tahoma"/>
            <family val="2"/>
          </rPr>
          <t xml:space="preserve">
dividends received from equity method investees in 2009 were $422M (including $188M special dividend from Coca-Cola Hellenic), or $234 ex special dividend</t>
        </r>
      </text>
    </comment>
    <comment ref="BF171" authorId="0">
      <text>
        <r>
          <rPr>
            <b/>
            <sz val="8"/>
            <color indexed="81"/>
            <rFont val="Tahoma"/>
            <family val="2"/>
          </rPr>
          <t>grunke:</t>
        </r>
        <r>
          <rPr>
            <sz val="8"/>
            <color indexed="81"/>
            <rFont val="Tahoma"/>
            <family val="2"/>
          </rPr>
          <t xml:space="preserve">
includes $769M pension contribution </t>
        </r>
      </text>
    </comment>
    <comment ref="CS172" authorId="2">
      <text>
        <r>
          <rPr>
            <b/>
            <sz val="9"/>
            <color indexed="81"/>
            <rFont val="Tahoma"/>
            <family val="2"/>
          </rPr>
          <t>Falorni, Filippo (Research):</t>
        </r>
        <r>
          <rPr>
            <sz val="9"/>
            <color indexed="81"/>
            <rFont val="Tahoma"/>
            <family val="2"/>
          </rPr>
          <t xml:space="preserve">
G at 1Q18: </t>
        </r>
        <r>
          <rPr>
            <b/>
            <sz val="9"/>
            <color indexed="81"/>
            <rFont val="Tahoma"/>
            <family val="2"/>
          </rPr>
          <t>R</t>
        </r>
        <r>
          <rPr>
            <sz val="9"/>
            <color indexed="81"/>
            <rFont val="Tahoma"/>
            <family val="2"/>
          </rPr>
          <t xml:space="preserve">
G at 4Q17: At least $8.5b</t>
        </r>
      </text>
    </comment>
    <comment ref="BC175" authorId="0">
      <text>
        <r>
          <rPr>
            <b/>
            <sz val="8"/>
            <color indexed="81"/>
            <rFont val="Tahoma"/>
            <family val="2"/>
          </rPr>
          <t>grunke:</t>
        </r>
        <r>
          <rPr>
            <sz val="8"/>
            <color indexed="81"/>
            <rFont val="Tahoma"/>
            <family val="2"/>
          </rPr>
          <t xml:space="preserve">
primarily payment made related to close of CCE transaction</t>
        </r>
      </text>
    </comment>
    <comment ref="A176" authorId="5">
      <text>
        <r>
          <rPr>
            <b/>
            <sz val="9"/>
            <color indexed="81"/>
            <rFont val="Tahoma"/>
            <family val="2"/>
          </rPr>
          <t>Fitzgerald, Kyle (Research):</t>
        </r>
        <r>
          <rPr>
            <sz val="9"/>
            <color indexed="81"/>
            <rFont val="Tahoma"/>
            <family val="2"/>
          </rPr>
          <t xml:space="preserve">
Net of disposals</t>
        </r>
      </text>
    </comment>
    <comment ref="BC176" authorId="0">
      <text>
        <r>
          <rPr>
            <b/>
            <sz val="8"/>
            <color indexed="81"/>
            <rFont val="Tahoma"/>
            <family val="2"/>
          </rPr>
          <t>grunke:</t>
        </r>
        <r>
          <rPr>
            <sz val="8"/>
            <color indexed="81"/>
            <rFont val="Tahoma"/>
            <family val="2"/>
          </rPr>
          <t xml:space="preserve">
primarily proceeds related to sale of Nordic bottlers</t>
        </r>
      </text>
    </comment>
    <comment ref="BO178" authorId="0">
      <text>
        <r>
          <rPr>
            <b/>
            <sz val="8"/>
            <color indexed="81"/>
            <rFont val="Tahoma"/>
            <family val="2"/>
          </rPr>
          <t>grunke:</t>
        </r>
        <r>
          <rPr>
            <sz val="8"/>
            <color indexed="81"/>
            <rFont val="Tahoma"/>
            <family val="2"/>
          </rPr>
          <t xml:space="preserve">
~$3B guid</t>
        </r>
      </text>
    </comment>
    <comment ref="BT178" authorId="0">
      <text>
        <r>
          <rPr>
            <b/>
            <sz val="8"/>
            <color indexed="81"/>
            <rFont val="Tahoma"/>
            <family val="2"/>
          </rPr>
          <t>grunke:</t>
        </r>
        <r>
          <rPr>
            <sz val="8"/>
            <color indexed="81"/>
            <rFont val="Tahoma"/>
            <family val="2"/>
          </rPr>
          <t xml:space="preserve">
~$3B guid</t>
        </r>
      </text>
    </comment>
    <comment ref="CD178" authorId="3">
      <text>
        <r>
          <rPr>
            <b/>
            <sz val="9"/>
            <color indexed="81"/>
            <rFont val="Tahoma"/>
            <family val="2"/>
          </rPr>
          <t>Doctor, Bob (Research):</t>
        </r>
        <r>
          <rPr>
            <sz val="9"/>
            <color indexed="81"/>
            <rFont val="Tahoma"/>
            <family val="2"/>
          </rPr>
          <t xml:space="preserve">
2.5-3</t>
        </r>
      </text>
    </comment>
    <comment ref="CI178" authorId="5">
      <text>
        <r>
          <rPr>
            <b/>
            <sz val="9"/>
            <color indexed="81"/>
            <rFont val="Tahoma"/>
            <family val="2"/>
          </rPr>
          <t>Fitzgerald, Kyle (Research):</t>
        </r>
        <r>
          <rPr>
            <sz val="9"/>
            <color indexed="81"/>
            <rFont val="Tahoma"/>
            <family val="2"/>
          </rPr>
          <t xml:space="preserve">
&lt;2.5B</t>
        </r>
      </text>
    </comment>
    <comment ref="CN178" authorId="2">
      <text>
        <r>
          <rPr>
            <b/>
            <sz val="9"/>
            <color indexed="81"/>
            <rFont val="Tahoma"/>
            <family val="2"/>
          </rPr>
          <t>Falorni, Filippo (Research):</t>
        </r>
        <r>
          <rPr>
            <sz val="9"/>
            <color indexed="81"/>
            <rFont val="Tahoma"/>
            <family val="2"/>
          </rPr>
          <t xml:space="preserve">
G at 3Q17: ~$2 bn
G at 2Q17: </t>
        </r>
        <r>
          <rPr>
            <b/>
            <sz val="9"/>
            <color indexed="81"/>
            <rFont val="Tahoma"/>
            <family val="2"/>
          </rPr>
          <t>R</t>
        </r>
        <r>
          <rPr>
            <sz val="9"/>
            <color indexed="81"/>
            <rFont val="Tahoma"/>
            <family val="2"/>
          </rPr>
          <t xml:space="preserve">
G at 1Q17: </t>
        </r>
        <r>
          <rPr>
            <b/>
            <sz val="9"/>
            <color indexed="81"/>
            <rFont val="Tahoma"/>
            <family val="2"/>
          </rPr>
          <t>R</t>
        </r>
        <r>
          <rPr>
            <sz val="9"/>
            <color indexed="81"/>
            <rFont val="Tahoma"/>
            <family val="2"/>
          </rPr>
          <t xml:space="preserve">
G at 4Q16: ~$2.0-$2.5 bn</t>
        </r>
      </text>
    </comment>
    <comment ref="CS178" authorId="2">
      <text>
        <r>
          <rPr>
            <b/>
            <sz val="9"/>
            <color indexed="81"/>
            <rFont val="Tahoma"/>
            <family val="2"/>
          </rPr>
          <t>Falorni, Filippo (Research):</t>
        </r>
        <r>
          <rPr>
            <sz val="9"/>
            <color indexed="81"/>
            <rFont val="Tahoma"/>
            <family val="2"/>
          </rPr>
          <t xml:space="preserve">
G at 1Q18: </t>
        </r>
        <r>
          <rPr>
            <b/>
            <sz val="9"/>
            <color indexed="81"/>
            <rFont val="Tahoma"/>
            <family val="2"/>
          </rPr>
          <t>R</t>
        </r>
        <r>
          <rPr>
            <sz val="9"/>
            <color indexed="81"/>
            <rFont val="Tahoma"/>
            <family val="2"/>
          </rPr>
          <t xml:space="preserve">
G at 4Q17: ~$1.9b</t>
        </r>
      </text>
    </comment>
    <comment ref="BC180" authorId="0">
      <text>
        <r>
          <rPr>
            <b/>
            <sz val="8"/>
            <color indexed="81"/>
            <rFont val="Tahoma"/>
            <family val="2"/>
          </rPr>
          <t>grunke:</t>
        </r>
        <r>
          <rPr>
            <sz val="8"/>
            <color indexed="81"/>
            <rFont val="Tahoma"/>
            <family val="2"/>
          </rPr>
          <t xml:space="preserve">
includes purchases/proceeds of ST investments</t>
        </r>
      </text>
    </comment>
    <comment ref="BE184" authorId="0">
      <text>
        <r>
          <rPr>
            <b/>
            <sz val="8"/>
            <color indexed="81"/>
            <rFont val="Tahoma"/>
            <family val="2"/>
          </rPr>
          <t>grunke:</t>
        </r>
        <r>
          <rPr>
            <sz val="8"/>
            <color indexed="81"/>
            <rFont val="Tahoma"/>
            <family val="2"/>
          </rPr>
          <t xml:space="preserve">
includes $50M of 'other' financing activities </t>
        </r>
      </text>
    </comment>
    <comment ref="BJ184" authorId="0">
      <text>
        <r>
          <rPr>
            <b/>
            <sz val="8"/>
            <color indexed="81"/>
            <rFont val="Tahoma"/>
            <family val="2"/>
          </rPr>
          <t>grunke:</t>
        </r>
        <r>
          <rPr>
            <sz val="8"/>
            <color indexed="81"/>
            <rFont val="Tahoma"/>
            <family val="2"/>
          </rPr>
          <t xml:space="preserve">
includes $45M of 'other' financing activities </t>
        </r>
      </text>
    </comment>
    <comment ref="BP184" authorId="0">
      <text>
        <r>
          <rPr>
            <b/>
            <sz val="8"/>
            <color indexed="81"/>
            <rFont val="Tahoma"/>
            <family val="2"/>
          </rPr>
          <t>grunke:</t>
        </r>
        <r>
          <rPr>
            <sz val="8"/>
            <color indexed="81"/>
            <rFont val="Tahoma"/>
            <family val="2"/>
          </rPr>
          <t xml:space="preserve">
includes $21M of other</t>
        </r>
      </text>
    </comment>
    <comment ref="BT184" authorId="4">
      <text>
        <r>
          <rPr>
            <b/>
            <sz val="8"/>
            <color indexed="81"/>
            <rFont val="Tahoma"/>
            <family val="2"/>
          </rPr>
          <t>cruzv:</t>
        </r>
        <r>
          <rPr>
            <sz val="8"/>
            <color indexed="81"/>
            <rFont val="Tahoma"/>
            <family val="2"/>
          </rPr>
          <t xml:space="preserve">
Includes 'other financing activities'</t>
        </r>
      </text>
    </comment>
    <comment ref="CQ184" authorId="2">
      <text>
        <r>
          <rPr>
            <b/>
            <sz val="9"/>
            <color indexed="81"/>
            <rFont val="Tahoma"/>
            <family val="2"/>
          </rPr>
          <t>Falorni, Filippo (Research):</t>
        </r>
        <r>
          <rPr>
            <sz val="9"/>
            <color indexed="81"/>
            <rFont val="Tahoma"/>
            <family val="2"/>
          </rPr>
          <t xml:space="preserve">
$7B gross debt repayment in 2H17</t>
        </r>
      </text>
    </comment>
    <comment ref="CR184" authorId="2">
      <text>
        <r>
          <rPr>
            <b/>
            <sz val="9"/>
            <color indexed="81"/>
            <rFont val="Tahoma"/>
            <family val="2"/>
          </rPr>
          <t>Falorni, Filippo (Research):</t>
        </r>
        <r>
          <rPr>
            <sz val="9"/>
            <color indexed="81"/>
            <rFont val="Tahoma"/>
            <family val="2"/>
          </rPr>
          <t xml:space="preserve">
$7B gross debt repayment in 2H17</t>
        </r>
      </text>
    </comment>
    <comment ref="BC185" authorId="0">
      <text>
        <r>
          <rPr>
            <b/>
            <sz val="8"/>
            <color indexed="81"/>
            <rFont val="Tahoma"/>
            <family val="2"/>
          </rPr>
          <t>grunke:</t>
        </r>
        <r>
          <rPr>
            <sz val="8"/>
            <color indexed="81"/>
            <rFont val="Tahoma"/>
            <family val="2"/>
          </rPr>
          <t xml:space="preserve">
includes -$11M of other financing activities </t>
        </r>
      </text>
    </comment>
    <comment ref="BF185" authorId="0">
      <text>
        <r>
          <rPr>
            <b/>
            <sz val="8"/>
            <color indexed="81"/>
            <rFont val="Tahoma"/>
            <family val="2"/>
          </rPr>
          <t>grunke:</t>
        </r>
        <r>
          <rPr>
            <sz val="8"/>
            <color indexed="81"/>
            <rFont val="Tahoma"/>
            <family val="2"/>
          </rPr>
          <t xml:space="preserve">
includes $22M of other financing activities</t>
        </r>
      </text>
    </comment>
    <comment ref="BG185" authorId="0">
      <text>
        <r>
          <rPr>
            <b/>
            <sz val="8"/>
            <color indexed="81"/>
            <rFont val="Tahoma"/>
            <family val="2"/>
          </rPr>
          <t>grunke:</t>
        </r>
        <r>
          <rPr>
            <sz val="8"/>
            <color indexed="81"/>
            <rFont val="Tahoma"/>
            <family val="2"/>
          </rPr>
          <t xml:space="preserve">
includes $6M of other</t>
        </r>
      </text>
    </comment>
    <comment ref="BH185" authorId="0">
      <text>
        <r>
          <rPr>
            <b/>
            <sz val="8"/>
            <color indexed="81"/>
            <rFont val="Tahoma"/>
            <family val="2"/>
          </rPr>
          <t>grunke:</t>
        </r>
        <r>
          <rPr>
            <sz val="8"/>
            <color indexed="81"/>
            <rFont val="Tahoma"/>
            <family val="2"/>
          </rPr>
          <t xml:space="preserve">
includes $33M of other</t>
        </r>
      </text>
    </comment>
    <comment ref="BL185" authorId="0">
      <text>
        <r>
          <rPr>
            <b/>
            <sz val="8"/>
            <color indexed="81"/>
            <rFont val="Tahoma"/>
            <family val="2"/>
          </rPr>
          <t>grunke:</t>
        </r>
        <r>
          <rPr>
            <sz val="8"/>
            <color indexed="81"/>
            <rFont val="Tahoma"/>
            <family val="2"/>
          </rPr>
          <t xml:space="preserve">
includes 'other'</t>
        </r>
      </text>
    </comment>
    <comment ref="BM185" authorId="0">
      <text>
        <r>
          <rPr>
            <b/>
            <sz val="8"/>
            <color indexed="81"/>
            <rFont val="Tahoma"/>
            <family val="2"/>
          </rPr>
          <t>grunke:</t>
        </r>
        <r>
          <rPr>
            <sz val="8"/>
            <color indexed="81"/>
            <rFont val="Tahoma"/>
            <family val="2"/>
          </rPr>
          <t xml:space="preserve">
includes $107M YTD from 'other financing activities'</t>
        </r>
      </text>
    </comment>
    <comment ref="CI186" authorId="5">
      <text>
        <r>
          <rPr>
            <b/>
            <sz val="9"/>
            <color indexed="81"/>
            <rFont val="Tahoma"/>
            <family val="2"/>
          </rPr>
          <t>Fitzgerald, Kyle (Research):</t>
        </r>
        <r>
          <rPr>
            <sz val="9"/>
            <color indexed="81"/>
            <rFont val="Tahoma"/>
            <family val="2"/>
          </rPr>
          <t xml:space="preserve">
2 to 2.5B in net share repo</t>
        </r>
      </text>
    </comment>
    <comment ref="BI187" authorId="0">
      <text>
        <r>
          <rPr>
            <b/>
            <sz val="8"/>
            <color indexed="81"/>
            <rFont val="Tahoma"/>
            <family val="2"/>
          </rPr>
          <t>grunke:</t>
        </r>
        <r>
          <rPr>
            <sz val="8"/>
            <color indexed="81"/>
            <rFont val="Tahoma"/>
            <family val="2"/>
          </rPr>
          <t xml:space="preserve">
3Q and 4Q due to timing</t>
        </r>
      </text>
    </comment>
    <comment ref="BN187" authorId="0">
      <text>
        <r>
          <rPr>
            <b/>
            <sz val="8"/>
            <color indexed="81"/>
            <rFont val="Tahoma"/>
            <family val="2"/>
          </rPr>
          <t>grunke:</t>
        </r>
        <r>
          <rPr>
            <sz val="8"/>
            <color indexed="81"/>
            <rFont val="Tahoma"/>
            <family val="2"/>
          </rPr>
          <t xml:space="preserve">
timing</t>
        </r>
      </text>
    </comment>
    <comment ref="BS187" authorId="4">
      <text>
        <r>
          <rPr>
            <b/>
            <sz val="8"/>
            <color indexed="81"/>
            <rFont val="Tahoma"/>
            <family val="2"/>
          </rPr>
          <t>cruzv:</t>
        </r>
        <r>
          <rPr>
            <sz val="8"/>
            <color indexed="81"/>
            <rFont val="Tahoma"/>
            <family val="2"/>
          </rPr>
          <t xml:space="preserve">
timing</t>
        </r>
      </text>
    </comment>
    <comment ref="U192" authorId="0">
      <text>
        <r>
          <rPr>
            <b/>
            <sz val="8"/>
            <color indexed="81"/>
            <rFont val="Tahoma"/>
            <family val="2"/>
          </rPr>
          <t>grunke:</t>
        </r>
        <r>
          <rPr>
            <sz val="8"/>
            <color indexed="81"/>
            <rFont val="Tahoma"/>
            <family val="2"/>
          </rPr>
          <t xml:space="preserve">
KO reclassed Dec 2002 cash and marketable securities balances - MS hardcoded adj to roll cash flow </t>
        </r>
      </text>
    </comment>
    <comment ref="CX200" authorId="2">
      <text>
        <r>
          <rPr>
            <b/>
            <sz val="9"/>
            <color indexed="81"/>
            <rFont val="Tahoma"/>
            <family val="2"/>
          </rPr>
          <t>Falorni, Filippo (Research):</t>
        </r>
        <r>
          <rPr>
            <sz val="9"/>
            <color indexed="81"/>
            <rFont val="Tahoma"/>
            <family val="2"/>
          </rPr>
          <t xml:space="preserve">
G at 4Q17: 90-95% because of tax cash payment
G at '17 investor day: 95-100% LT target</t>
        </r>
      </text>
    </comment>
    <comment ref="DC200" authorId="2">
      <text>
        <r>
          <rPr>
            <b/>
            <sz val="9"/>
            <color indexed="81"/>
            <rFont val="Tahoma"/>
            <family val="2"/>
          </rPr>
          <t>Falorni, Filippo (Research):</t>
        </r>
        <r>
          <rPr>
            <sz val="9"/>
            <color indexed="81"/>
            <rFont val="Tahoma"/>
            <family val="2"/>
          </rPr>
          <t xml:space="preserve">
G at 4Q17: 90-95% because of tax cash payment
G at '17 investor day: 95-100% LT target</t>
        </r>
      </text>
    </comment>
    <comment ref="DH200" authorId="2">
      <text>
        <r>
          <rPr>
            <b/>
            <sz val="9"/>
            <color indexed="81"/>
            <rFont val="Tahoma"/>
            <family val="2"/>
          </rPr>
          <t>Falorni, Filippo (Research):</t>
        </r>
        <r>
          <rPr>
            <sz val="9"/>
            <color indexed="81"/>
            <rFont val="Tahoma"/>
            <family val="2"/>
          </rPr>
          <t xml:space="preserve">
G at 4Q17: 90-95% because of tax cash payment
G at '17 investor day: 95-100% LT target</t>
        </r>
      </text>
    </comment>
    <comment ref="DM200" authorId="2">
      <text>
        <r>
          <rPr>
            <b/>
            <sz val="9"/>
            <color indexed="81"/>
            <rFont val="Tahoma"/>
            <family val="2"/>
          </rPr>
          <t>Falorni, Filippo (Research):</t>
        </r>
        <r>
          <rPr>
            <sz val="9"/>
            <color indexed="81"/>
            <rFont val="Tahoma"/>
            <family val="2"/>
          </rPr>
          <t xml:space="preserve">
G at 4Q17: 90-95% because of tax cash payment
G at '17 investor day: 95-100% LT target</t>
        </r>
      </text>
    </comment>
    <comment ref="B221" authorId="0">
      <text>
        <r>
          <rPr>
            <b/>
            <sz val="8"/>
            <color indexed="81"/>
            <rFont val="Tahoma"/>
            <family val="2"/>
          </rPr>
          <t>grunke:</t>
        </r>
        <r>
          <rPr>
            <sz val="8"/>
            <color indexed="81"/>
            <rFont val="Tahoma"/>
            <family val="2"/>
          </rPr>
          <t xml:space="preserve">
includes accrued marketing, other accrued exp, trade accounts payable, accrued comp, sales/payroll/other taxes, and containder deposits</t>
        </r>
      </text>
    </comment>
    <comment ref="BC263" authorId="0">
      <text>
        <r>
          <rPr>
            <b/>
            <sz val="8"/>
            <color indexed="81"/>
            <rFont val="Tahoma"/>
            <family val="2"/>
          </rPr>
          <t>grunke:</t>
        </r>
        <r>
          <rPr>
            <sz val="8"/>
            <color indexed="81"/>
            <rFont val="Tahoma"/>
            <family val="2"/>
          </rPr>
          <t xml:space="preserve">
consensus</t>
        </r>
      </text>
    </comment>
    <comment ref="BD263" authorId="0">
      <text>
        <r>
          <rPr>
            <b/>
            <sz val="8"/>
            <color indexed="81"/>
            <rFont val="Tahoma"/>
            <family val="2"/>
          </rPr>
          <t>grunke:</t>
        </r>
        <r>
          <rPr>
            <sz val="8"/>
            <color indexed="81"/>
            <rFont val="Tahoma"/>
            <family val="2"/>
          </rPr>
          <t xml:space="preserve">
consensus</t>
        </r>
      </text>
    </comment>
    <comment ref="BF263" authorId="0">
      <text>
        <r>
          <rPr>
            <b/>
            <sz val="8"/>
            <color indexed="81"/>
            <rFont val="Tahoma"/>
            <family val="2"/>
          </rPr>
          <t>grunke:</t>
        </r>
        <r>
          <rPr>
            <sz val="8"/>
            <color indexed="81"/>
            <rFont val="Tahoma"/>
            <family val="2"/>
          </rPr>
          <t xml:space="preserve">
adj consensus</t>
        </r>
      </text>
    </comment>
    <comment ref="BG263" authorId="0">
      <text>
        <r>
          <rPr>
            <b/>
            <sz val="8"/>
            <color indexed="81"/>
            <rFont val="Tahoma"/>
            <family val="2"/>
          </rPr>
          <t>grunke:</t>
        </r>
        <r>
          <rPr>
            <sz val="8"/>
            <color indexed="81"/>
            <rFont val="Tahoma"/>
            <family val="2"/>
          </rPr>
          <t xml:space="preserve">
adj consensus</t>
        </r>
      </text>
    </comment>
    <comment ref="BH263" authorId="0">
      <text>
        <r>
          <rPr>
            <b/>
            <sz val="8"/>
            <color indexed="81"/>
            <rFont val="Tahoma"/>
            <family val="2"/>
          </rPr>
          <t>grunke:</t>
        </r>
        <r>
          <rPr>
            <sz val="8"/>
            <color indexed="81"/>
            <rFont val="Tahoma"/>
            <family val="2"/>
          </rPr>
          <t xml:space="preserve">
adj consensus</t>
        </r>
      </text>
    </comment>
    <comment ref="BI263" authorId="0">
      <text>
        <r>
          <rPr>
            <b/>
            <sz val="8"/>
            <color indexed="81"/>
            <rFont val="Tahoma"/>
            <family val="2"/>
          </rPr>
          <t>grunke:</t>
        </r>
        <r>
          <rPr>
            <sz val="8"/>
            <color indexed="81"/>
            <rFont val="Tahoma"/>
            <family val="2"/>
          </rPr>
          <t xml:space="preserve">
adj consensus</t>
        </r>
      </text>
    </comment>
    <comment ref="BZ316" authorId="5">
      <text>
        <r>
          <rPr>
            <b/>
            <sz val="9"/>
            <color indexed="81"/>
            <rFont val="Tahoma"/>
            <family val="2"/>
          </rPr>
          <t>Fitzgerald, Kyle (Research):</t>
        </r>
        <r>
          <rPr>
            <sz val="9"/>
            <color indexed="81"/>
            <rFont val="Tahoma"/>
            <family val="2"/>
          </rPr>
          <t xml:space="preserve">
Fluctuations in foreign currency exchange rates resulted in an 8 point headwind on comparable operating income and a 6 point headwind on both comparable income before taxes and EPS.  The currency impact on income before taxes was less than our original expectations due to slightly more than a $0.01 benefit related to foreign currency remeasurement gains associated with the euro-denominated debt issued during the first quarter.</t>
        </r>
      </text>
    </comment>
  </commentList>
</comments>
</file>

<file path=xl/comments2.xml><?xml version="1.0" encoding="utf-8"?>
<comments xmlns="http://schemas.openxmlformats.org/spreadsheetml/2006/main">
  <authors>
    <author>grunke</author>
    <author>cruzv</author>
    <author>doctobob</author>
    <author>Fitzgerald, Kyle (Research)</author>
    <author>Falorni, Filippo (Research)</author>
    <author>Doctor, Bob (Research)</author>
    <author>ayalavin</author>
    <author>mohseda</author>
  </authors>
  <commentList>
    <comment ref="L3" authorId="0">
      <text>
        <r>
          <rPr>
            <b/>
            <sz val="8"/>
            <color indexed="81"/>
            <rFont val="Tahoma"/>
            <family val="2"/>
          </rPr>
          <t>grunke:</t>
        </r>
        <r>
          <rPr>
            <sz val="8"/>
            <color indexed="81"/>
            <rFont val="Tahoma"/>
            <family val="2"/>
          </rPr>
          <t xml:space="preserve">
Effective January 1, 2007, the Company combined the Eurasia and Middle East Division, and the Russia, Ukraine and Belarus Division, both of which were previously included in the North Asia, Eurasia and Middle East operating segment, with the India Division, previously included in the East, South Asia and Pacific Rim operating segment, to form the Eurasia operating segment. In addition, we combined the China Division and the Japan Division, previously
included in the North Asia, Eurasia and Middle East operating segment, with the remaining East, South Asia and Pacific Rim operating segment to form the Pacific operating segment. As a result, beginning with the first quarter of 2007, our organizational structure consists of the following operating segments: Africa, Eurasia, European Union, Latin America, North America, Pacific, Bottling Investments and Corporate. Prior−period amounts have been reclassified
to conform to the new operating structure described above.</t>
        </r>
      </text>
    </comment>
    <comment ref="S3" authorId="0">
      <text>
        <r>
          <rPr>
            <b/>
            <sz val="8"/>
            <color indexed="81"/>
            <rFont val="Tahoma"/>
            <family val="2"/>
          </rPr>
          <t>grunke:</t>
        </r>
        <r>
          <rPr>
            <sz val="8"/>
            <color indexed="81"/>
            <rFont val="Tahoma"/>
            <family val="2"/>
          </rPr>
          <t xml:space="preserve">
New Segment Reporting Starts in Q308
collapses: 1. Africa and 2. Eurasia into a new Eurasia &amp; Africa segment; however, not entirely comparable as there was some restatement with countries into new Europe segment</t>
        </r>
      </text>
    </comment>
    <comment ref="G5" authorId="0">
      <text>
        <r>
          <rPr>
            <b/>
            <sz val="8"/>
            <color indexed="81"/>
            <rFont val="Tahoma"/>
            <family val="2"/>
          </rPr>
          <t>grunke:</t>
        </r>
        <r>
          <rPr>
            <sz val="8"/>
            <color indexed="81"/>
            <rFont val="Tahoma"/>
            <family val="2"/>
          </rPr>
          <t xml:space="preserve">
267 per press release</t>
        </r>
      </text>
    </comment>
    <comment ref="H5" authorId="0">
      <text>
        <r>
          <rPr>
            <b/>
            <sz val="8"/>
            <color indexed="81"/>
            <rFont val="Tahoma"/>
            <family val="2"/>
          </rPr>
          <t>grunke:</t>
        </r>
        <r>
          <rPr>
            <sz val="8"/>
            <color indexed="81"/>
            <rFont val="Tahoma"/>
            <family val="2"/>
          </rPr>
          <t xml:space="preserve">
338M per press release</t>
        </r>
      </text>
    </comment>
    <comment ref="I5" authorId="0">
      <text>
        <r>
          <rPr>
            <b/>
            <sz val="8"/>
            <color indexed="81"/>
            <rFont val="Tahoma"/>
            <family val="2"/>
          </rPr>
          <t>grunke:</t>
        </r>
        <r>
          <rPr>
            <sz val="8"/>
            <color indexed="81"/>
            <rFont val="Tahoma"/>
            <family val="2"/>
          </rPr>
          <t xml:space="preserve">
371 per Q307 press release</t>
        </r>
      </text>
    </comment>
    <comment ref="B8" authorId="0">
      <text>
        <r>
          <rPr>
            <b/>
            <sz val="8"/>
            <color indexed="81"/>
            <rFont val="Tahoma"/>
            <family val="2"/>
          </rPr>
          <t>grunke:</t>
        </r>
        <r>
          <rPr>
            <sz val="8"/>
            <color indexed="81"/>
            <rFont val="Tahoma"/>
            <family val="2"/>
          </rPr>
          <t xml:space="preserve">
- days adjusted
- flat reported volume growth </t>
        </r>
      </text>
    </comment>
    <comment ref="L8" authorId="0">
      <text>
        <r>
          <rPr>
            <b/>
            <sz val="8"/>
            <color indexed="81"/>
            <rFont val="Tahoma"/>
            <family val="2"/>
          </rPr>
          <t>grunke:</t>
        </r>
        <r>
          <rPr>
            <sz val="8"/>
            <color indexed="81"/>
            <rFont val="Tahoma"/>
            <family val="2"/>
          </rPr>
          <t xml:space="preserve">
1 pt from acquistions</t>
        </r>
      </text>
    </comment>
    <comment ref="M8" authorId="0">
      <text>
        <r>
          <rPr>
            <b/>
            <sz val="8"/>
            <color indexed="81"/>
            <rFont val="Tahoma"/>
            <family val="2"/>
          </rPr>
          <t>grunke:</t>
        </r>
        <r>
          <rPr>
            <sz val="8"/>
            <color indexed="81"/>
            <rFont val="Tahoma"/>
            <family val="2"/>
          </rPr>
          <t xml:space="preserve">
1 pt from acquistions</t>
        </r>
      </text>
    </comment>
    <comment ref="N8" authorId="0">
      <text>
        <r>
          <rPr>
            <b/>
            <sz val="8"/>
            <color indexed="81"/>
            <rFont val="Tahoma"/>
            <family val="2"/>
          </rPr>
          <t>grunke:</t>
        </r>
        <r>
          <rPr>
            <sz val="8"/>
            <color indexed="81"/>
            <rFont val="Tahoma"/>
            <family val="2"/>
          </rPr>
          <t xml:space="preserve">
1 pt from acquistions</t>
        </r>
      </text>
    </comment>
    <comment ref="O8" authorId="0">
      <text>
        <r>
          <rPr>
            <b/>
            <sz val="8"/>
            <color indexed="81"/>
            <rFont val="Tahoma"/>
            <family val="2"/>
          </rPr>
          <t>grunke:</t>
        </r>
        <r>
          <rPr>
            <sz val="8"/>
            <color indexed="81"/>
            <rFont val="Tahoma"/>
            <family val="2"/>
          </rPr>
          <t xml:space="preserve">
1 pt from acquistions</t>
        </r>
      </text>
    </comment>
    <comment ref="P8" authorId="0">
      <text>
        <r>
          <rPr>
            <b/>
            <sz val="8"/>
            <color indexed="81"/>
            <rFont val="Tahoma"/>
            <family val="2"/>
          </rPr>
          <t>grunke:</t>
        </r>
        <r>
          <rPr>
            <sz val="8"/>
            <color indexed="81"/>
            <rFont val="Tahoma"/>
            <family val="2"/>
          </rPr>
          <t xml:space="preserve">
1 pt from acquisitions </t>
        </r>
      </text>
    </comment>
    <comment ref="Q8" authorId="0">
      <text>
        <r>
          <rPr>
            <b/>
            <sz val="8"/>
            <color indexed="81"/>
            <rFont val="Tahoma"/>
            <family val="2"/>
          </rPr>
          <t>grunke:</t>
        </r>
        <r>
          <rPr>
            <sz val="8"/>
            <color indexed="81"/>
            <rFont val="Tahoma"/>
            <family val="2"/>
          </rPr>
          <t xml:space="preserve">
2 pts from acquistions</t>
        </r>
      </text>
    </comment>
    <comment ref="R8" authorId="0">
      <text>
        <r>
          <rPr>
            <b/>
            <sz val="8"/>
            <color indexed="81"/>
            <rFont val="Tahoma"/>
            <family val="2"/>
          </rPr>
          <t>grunke:</t>
        </r>
        <r>
          <rPr>
            <sz val="8"/>
            <color indexed="81"/>
            <rFont val="Tahoma"/>
            <family val="2"/>
          </rPr>
          <t xml:space="preserve">
1 pt from acquistions</t>
        </r>
      </text>
    </comment>
    <comment ref="S8" authorId="0">
      <text>
        <r>
          <rPr>
            <b/>
            <sz val="8"/>
            <color indexed="81"/>
            <rFont val="Tahoma"/>
            <family val="2"/>
          </rPr>
          <t>grunke:</t>
        </r>
        <r>
          <rPr>
            <sz val="8"/>
            <color indexed="81"/>
            <rFont val="Tahoma"/>
            <family val="2"/>
          </rPr>
          <t xml:space="preserve">
2 pts from acquistions</t>
        </r>
      </text>
    </comment>
    <comment ref="T8" authorId="0">
      <text>
        <r>
          <rPr>
            <b/>
            <sz val="8"/>
            <color indexed="81"/>
            <rFont val="Tahoma"/>
            <family val="2"/>
          </rPr>
          <t>grunke:</t>
        </r>
        <r>
          <rPr>
            <sz val="8"/>
            <color indexed="81"/>
            <rFont val="Tahoma"/>
            <family val="2"/>
          </rPr>
          <t xml:space="preserve">
1 pt from acquistions</t>
        </r>
      </text>
    </comment>
    <comment ref="U8" authorId="0">
      <text>
        <r>
          <rPr>
            <b/>
            <sz val="8"/>
            <color indexed="81"/>
            <rFont val="Tahoma"/>
            <family val="2"/>
          </rPr>
          <t>grunke:</t>
        </r>
        <r>
          <rPr>
            <sz val="8"/>
            <color indexed="81"/>
            <rFont val="Tahoma"/>
            <family val="2"/>
          </rPr>
          <t xml:space="preserve">
2 pt from acquistions</t>
        </r>
      </text>
    </comment>
    <comment ref="V8" authorId="0">
      <text>
        <r>
          <rPr>
            <b/>
            <sz val="8"/>
            <color indexed="81"/>
            <rFont val="Tahoma"/>
            <family val="2"/>
          </rPr>
          <t>grunke:</t>
        </r>
        <r>
          <rPr>
            <sz val="8"/>
            <color indexed="81"/>
            <rFont val="Tahoma"/>
            <family val="2"/>
          </rPr>
          <t xml:space="preserve">
1 pt from acquistions</t>
        </r>
      </text>
    </comment>
    <comment ref="W8" authorId="0">
      <text>
        <r>
          <rPr>
            <b/>
            <sz val="8"/>
            <color indexed="81"/>
            <rFont val="Tahoma"/>
            <family val="2"/>
          </rPr>
          <t>grunke:</t>
        </r>
        <r>
          <rPr>
            <sz val="8"/>
            <color indexed="81"/>
            <rFont val="Tahoma"/>
            <family val="2"/>
          </rPr>
          <t xml:space="preserve">
1 pt from acquistions</t>
        </r>
      </text>
    </comment>
    <comment ref="Y8" authorId="0">
      <text>
        <r>
          <rPr>
            <b/>
            <sz val="8"/>
            <color indexed="81"/>
            <rFont val="Tahoma"/>
            <family val="2"/>
          </rPr>
          <t>grunke:</t>
        </r>
        <r>
          <rPr>
            <sz val="8"/>
            <color indexed="81"/>
            <rFont val="Tahoma"/>
            <family val="2"/>
          </rPr>
          <t xml:space="preserve">
1 pt from acquistions</t>
        </r>
      </text>
    </comment>
    <comment ref="Z8" authorId="0">
      <text>
        <r>
          <rPr>
            <b/>
            <sz val="8"/>
            <color indexed="81"/>
            <rFont val="Tahoma"/>
            <family val="2"/>
          </rPr>
          <t>grunke:</t>
        </r>
        <r>
          <rPr>
            <sz val="8"/>
            <color indexed="81"/>
            <rFont val="Tahoma"/>
            <family val="2"/>
          </rPr>
          <t xml:space="preserve">
1 pt from acquistions</t>
        </r>
      </text>
    </comment>
    <comment ref="AD8" authorId="0">
      <text>
        <r>
          <rPr>
            <b/>
            <sz val="8"/>
            <color indexed="81"/>
            <rFont val="Tahoma"/>
            <family val="2"/>
          </rPr>
          <t>grunke:</t>
        </r>
        <r>
          <rPr>
            <sz val="8"/>
            <color indexed="81"/>
            <rFont val="Tahoma"/>
            <family val="2"/>
          </rPr>
          <t xml:space="preserve">
6% including 1% benefit from cross-licensing brands</t>
        </r>
      </text>
    </comment>
    <comment ref="AF8" authorId="0">
      <text>
        <r>
          <rPr>
            <b/>
            <sz val="8"/>
            <color indexed="81"/>
            <rFont val="Tahoma"/>
            <family val="2"/>
          </rPr>
          <t>grunke:</t>
        </r>
        <r>
          <rPr>
            <sz val="8"/>
            <color indexed="81"/>
            <rFont val="Tahoma"/>
            <family val="2"/>
          </rPr>
          <t xml:space="preserve">
6% including 1% benefit from cross-licensing brands</t>
        </r>
      </text>
    </comment>
    <comment ref="AG8" authorId="0">
      <text>
        <r>
          <rPr>
            <b/>
            <sz val="8"/>
            <color indexed="81"/>
            <rFont val="Tahoma"/>
            <family val="2"/>
          </rPr>
          <t>grunke:</t>
        </r>
        <r>
          <rPr>
            <sz val="8"/>
            <color indexed="81"/>
            <rFont val="Tahoma"/>
            <family val="2"/>
          </rPr>
          <t xml:space="preserve">
6% including 1% benefit from cross-licensing brands</t>
        </r>
      </text>
    </comment>
    <comment ref="AH8" authorId="0">
      <text>
        <r>
          <rPr>
            <b/>
            <sz val="8"/>
            <color indexed="81"/>
            <rFont val="Tahoma"/>
            <family val="2"/>
          </rPr>
          <t>grunke:</t>
        </r>
        <r>
          <rPr>
            <sz val="8"/>
            <color indexed="81"/>
            <rFont val="Tahoma"/>
            <family val="2"/>
          </rPr>
          <t xml:space="preserve">
5% including 1% benefit from cross-licensing brands</t>
        </r>
      </text>
    </comment>
    <comment ref="AJ8" authorId="0">
      <text>
        <r>
          <rPr>
            <b/>
            <sz val="8"/>
            <color indexed="81"/>
            <rFont val="Tahoma"/>
            <family val="2"/>
          </rPr>
          <t>grunke:</t>
        </r>
        <r>
          <rPr>
            <sz val="8"/>
            <color indexed="81"/>
            <rFont val="Tahoma"/>
            <family val="2"/>
          </rPr>
          <t xml:space="preserve">
5% including 1% benefit from cross-licensing brands</t>
        </r>
      </text>
    </comment>
    <comment ref="AK8" authorId="0">
      <text>
        <r>
          <rPr>
            <b/>
            <sz val="8"/>
            <color indexed="81"/>
            <rFont val="Tahoma"/>
            <family val="2"/>
          </rPr>
          <t>grunke:</t>
        </r>
        <r>
          <rPr>
            <sz val="8"/>
            <color indexed="81"/>
            <rFont val="Tahoma"/>
            <family val="2"/>
          </rPr>
          <t xml:space="preserve">
- excludes unfavorable impact of one less selling day
- 'slightly' exceeded concentrate growth on an 'as reported basis'</t>
        </r>
      </text>
    </comment>
    <comment ref="AN8" authorId="0">
      <text>
        <r>
          <rPr>
            <b/>
            <sz val="8"/>
            <color indexed="81"/>
            <rFont val="Tahoma"/>
            <family val="2"/>
          </rPr>
          <t>grunke:</t>
        </r>
        <r>
          <rPr>
            <sz val="8"/>
            <color indexed="81"/>
            <rFont val="Tahoma"/>
            <family val="2"/>
          </rPr>
          <t xml:space="preserve">
excludes ~0.5% favorable impact of two extra selling days - mechanically adj for BIG </t>
        </r>
      </text>
    </comment>
    <comment ref="AP8" authorId="0">
      <text>
        <r>
          <rPr>
            <b/>
            <sz val="8"/>
            <color indexed="81"/>
            <rFont val="Tahoma"/>
            <family val="2"/>
          </rPr>
          <t>grunke:</t>
        </r>
        <r>
          <rPr>
            <sz val="8"/>
            <color indexed="81"/>
            <rFont val="Tahoma"/>
            <family val="2"/>
          </rPr>
          <t xml:space="preserve">
excludes unfavorable impact from two less selling days (BIG manually adjusted)</t>
        </r>
      </text>
    </comment>
    <comment ref="AS8" authorId="0">
      <text>
        <r>
          <rPr>
            <b/>
            <sz val="8"/>
            <color indexed="81"/>
            <rFont val="Tahoma"/>
            <family val="2"/>
          </rPr>
          <t>grunke:</t>
        </r>
        <r>
          <rPr>
            <sz val="8"/>
            <color indexed="81"/>
            <rFont val="Tahoma"/>
            <family val="2"/>
          </rPr>
          <t xml:space="preserve">
excludes BIG benefit from one more selling day</t>
        </r>
      </text>
    </comment>
    <comment ref="A9" authorId="0">
      <text>
        <r>
          <rPr>
            <b/>
            <sz val="8"/>
            <color indexed="81"/>
            <rFont val="Tahoma"/>
            <family val="2"/>
          </rPr>
          <t>grunke:</t>
        </r>
        <r>
          <rPr>
            <sz val="8"/>
            <color indexed="81"/>
            <rFont val="Tahoma"/>
            <family val="2"/>
          </rPr>
          <t xml:space="preserve">
forecasted periods assume volume growth and concentrate growth are equivalent </t>
        </r>
      </text>
    </comment>
    <comment ref="B9" authorId="0">
      <text>
        <r>
          <rPr>
            <b/>
            <sz val="8"/>
            <color indexed="81"/>
            <rFont val="Tahoma"/>
            <family val="2"/>
          </rPr>
          <t>grunke:</t>
        </r>
        <r>
          <rPr>
            <sz val="8"/>
            <color indexed="81"/>
            <rFont val="Tahoma"/>
            <family val="2"/>
          </rPr>
          <t xml:space="preserve">
MS est
Not provided</t>
        </r>
      </text>
    </comment>
    <comment ref="C9" authorId="0">
      <text>
        <r>
          <rPr>
            <b/>
            <sz val="8"/>
            <color indexed="81"/>
            <rFont val="Tahoma"/>
            <family val="2"/>
          </rPr>
          <t>grunke:</t>
        </r>
        <r>
          <rPr>
            <sz val="8"/>
            <color indexed="81"/>
            <rFont val="Tahoma"/>
            <family val="2"/>
          </rPr>
          <t xml:space="preserve">
MS est
Not provided</t>
        </r>
      </text>
    </comment>
    <comment ref="D9" authorId="0">
      <text>
        <r>
          <rPr>
            <b/>
            <sz val="8"/>
            <color indexed="81"/>
            <rFont val="Tahoma"/>
            <family val="2"/>
          </rPr>
          <t>grunke:</t>
        </r>
        <r>
          <rPr>
            <sz val="8"/>
            <color indexed="81"/>
            <rFont val="Tahoma"/>
            <family val="2"/>
          </rPr>
          <t xml:space="preserve">
MS est
Not provided</t>
        </r>
      </text>
    </comment>
    <comment ref="E9" authorId="0">
      <text>
        <r>
          <rPr>
            <b/>
            <sz val="8"/>
            <color indexed="81"/>
            <rFont val="Tahoma"/>
            <family val="2"/>
          </rPr>
          <t>grunke:</t>
        </r>
        <r>
          <rPr>
            <sz val="8"/>
            <color indexed="81"/>
            <rFont val="Tahoma"/>
            <family val="2"/>
          </rPr>
          <t xml:space="preserve">
MS est
Not provided</t>
        </r>
      </text>
    </comment>
    <comment ref="F9" authorId="0">
      <text>
        <r>
          <rPr>
            <b/>
            <sz val="8"/>
            <color indexed="81"/>
            <rFont val="Tahoma"/>
            <family val="2"/>
          </rPr>
          <t>grunke:</t>
        </r>
        <r>
          <rPr>
            <sz val="8"/>
            <color indexed="81"/>
            <rFont val="Tahoma"/>
            <family val="2"/>
          </rPr>
          <t xml:space="preserve">
MS est
Not provided</t>
        </r>
      </text>
    </comment>
    <comment ref="G9" authorId="0">
      <text>
        <r>
          <rPr>
            <b/>
            <sz val="8"/>
            <color indexed="81"/>
            <rFont val="Tahoma"/>
            <family val="2"/>
          </rPr>
          <t>grunke:</t>
        </r>
        <r>
          <rPr>
            <sz val="8"/>
            <color indexed="81"/>
            <rFont val="Tahoma"/>
            <family val="2"/>
          </rPr>
          <t xml:space="preserve">
MS est
Not provided</t>
        </r>
      </text>
    </comment>
    <comment ref="H9" authorId="0">
      <text>
        <r>
          <rPr>
            <b/>
            <sz val="8"/>
            <color indexed="81"/>
            <rFont val="Tahoma"/>
            <family val="2"/>
          </rPr>
          <t>grunke:</t>
        </r>
        <r>
          <rPr>
            <sz val="8"/>
            <color indexed="81"/>
            <rFont val="Tahoma"/>
            <family val="2"/>
          </rPr>
          <t xml:space="preserve">
MS est
Not provided</t>
        </r>
      </text>
    </comment>
    <comment ref="I9" authorId="0">
      <text>
        <r>
          <rPr>
            <b/>
            <sz val="8"/>
            <color indexed="81"/>
            <rFont val="Tahoma"/>
            <family val="2"/>
          </rPr>
          <t>grunke:</t>
        </r>
        <r>
          <rPr>
            <sz val="8"/>
            <color indexed="81"/>
            <rFont val="Tahoma"/>
            <family val="2"/>
          </rPr>
          <t xml:space="preserve">
MS est
Not provided</t>
        </r>
      </text>
    </comment>
    <comment ref="J9" authorId="0">
      <text>
        <r>
          <rPr>
            <b/>
            <sz val="8"/>
            <color indexed="81"/>
            <rFont val="Tahoma"/>
            <family val="2"/>
          </rPr>
          <t>grunke:</t>
        </r>
        <r>
          <rPr>
            <sz val="8"/>
            <color indexed="81"/>
            <rFont val="Tahoma"/>
            <family val="2"/>
          </rPr>
          <t xml:space="preserve">
MS est
Not provided</t>
        </r>
      </text>
    </comment>
    <comment ref="K9" authorId="0">
      <text>
        <r>
          <rPr>
            <b/>
            <sz val="8"/>
            <color indexed="81"/>
            <rFont val="Tahoma"/>
            <family val="2"/>
          </rPr>
          <t>grunke:</t>
        </r>
        <r>
          <rPr>
            <sz val="8"/>
            <color indexed="81"/>
            <rFont val="Tahoma"/>
            <family val="2"/>
          </rPr>
          <t xml:space="preserve">
MS est
Not provided</t>
        </r>
      </text>
    </comment>
    <comment ref="AK9" authorId="0">
      <text>
        <r>
          <rPr>
            <b/>
            <sz val="8"/>
            <color indexed="81"/>
            <rFont val="Tahoma"/>
            <family val="2"/>
          </rPr>
          <t>grunke:</t>
        </r>
        <r>
          <rPr>
            <sz val="8"/>
            <color indexed="81"/>
            <rFont val="Tahoma"/>
            <family val="2"/>
          </rPr>
          <t xml:space="preserve">
lagged volume growth due to one less selling day</t>
        </r>
      </text>
    </comment>
    <comment ref="AN9" authorId="0">
      <text>
        <r>
          <rPr>
            <b/>
            <sz val="8"/>
            <color indexed="81"/>
            <rFont val="Tahoma"/>
            <family val="2"/>
          </rPr>
          <t>grunke:</t>
        </r>
        <r>
          <rPr>
            <sz val="8"/>
            <color indexed="81"/>
            <rFont val="Tahoma"/>
            <family val="2"/>
          </rPr>
          <t xml:space="preserve">
includes 2 extra selling days</t>
        </r>
      </text>
    </comment>
    <comment ref="AP9" authorId="0">
      <text>
        <r>
          <rPr>
            <b/>
            <sz val="8"/>
            <color indexed="81"/>
            <rFont val="Tahoma"/>
            <family val="2"/>
          </rPr>
          <t>grunke:</t>
        </r>
        <r>
          <rPr>
            <sz val="8"/>
            <color indexed="81"/>
            <rFont val="Tahoma"/>
            <family val="2"/>
          </rPr>
          <t xml:space="preserve">
- reflects 2 less selling days
- in line with unit cases adj for selling days</t>
        </r>
      </text>
    </comment>
    <comment ref="AR9" authorId="1">
      <text>
        <r>
          <rPr>
            <b/>
            <sz val="8"/>
            <color indexed="81"/>
            <rFont val="Tahoma"/>
            <family val="2"/>
          </rPr>
          <t>cruzv:</t>
        </r>
        <r>
          <rPr>
            <sz val="8"/>
            <color indexed="81"/>
            <rFont val="Tahoma"/>
            <family val="2"/>
          </rPr>
          <t xml:space="preserve">
Slightly below unit case sales primarily due to timing</t>
        </r>
      </text>
    </comment>
    <comment ref="AS9" authorId="1">
      <text>
        <r>
          <rPr>
            <b/>
            <sz val="8"/>
            <color indexed="81"/>
            <rFont val="Tahoma"/>
            <family val="2"/>
          </rPr>
          <t>cruzv:</t>
        </r>
        <r>
          <rPr>
            <sz val="8"/>
            <color indexed="81"/>
            <rFont val="Tahoma"/>
            <family val="2"/>
          </rPr>
          <t xml:space="preserve">
Reflects one more selling day</t>
        </r>
      </text>
    </comment>
    <comment ref="AU9" authorId="1">
      <text>
        <r>
          <rPr>
            <b/>
            <sz val="8"/>
            <color indexed="81"/>
            <rFont val="Tahoma"/>
            <family val="2"/>
          </rPr>
          <t>cruzv:</t>
        </r>
        <r>
          <rPr>
            <sz val="8"/>
            <color indexed="81"/>
            <rFont val="Tahoma"/>
            <family val="2"/>
          </rPr>
          <t xml:space="preserve">
One less selling day</t>
        </r>
      </text>
    </comment>
    <comment ref="AX9" authorId="1">
      <text>
        <r>
          <rPr>
            <b/>
            <sz val="8"/>
            <color indexed="81"/>
            <rFont val="Tahoma"/>
            <family val="2"/>
          </rPr>
          <t>cruzv:</t>
        </r>
        <r>
          <rPr>
            <sz val="8"/>
            <color indexed="81"/>
            <rFont val="Tahoma"/>
            <family val="2"/>
          </rPr>
          <t xml:space="preserve">
One more selling day</t>
        </r>
      </text>
    </comment>
    <comment ref="AY9" authorId="2">
      <text>
        <r>
          <rPr>
            <b/>
            <sz val="8"/>
            <color indexed="81"/>
            <rFont val="Tahoma"/>
            <family val="2"/>
          </rPr>
          <t>doctobob:</t>
        </r>
        <r>
          <rPr>
            <sz val="8"/>
            <color indexed="81"/>
            <rFont val="Tahoma"/>
            <family val="2"/>
          </rPr>
          <t xml:space="preserve">
in-line with volume for full year</t>
        </r>
      </text>
    </comment>
    <comment ref="BE9" authorId="3">
      <text>
        <r>
          <rPr>
            <b/>
            <sz val="9"/>
            <color indexed="81"/>
            <rFont val="Tahoma"/>
            <family val="2"/>
          </rPr>
          <t>Fitzgerald, Kyle (Research):</t>
        </r>
        <r>
          <rPr>
            <sz val="9"/>
            <color indexed="81"/>
            <rFont val="Tahoma"/>
            <family val="2"/>
          </rPr>
          <t xml:space="preserve">
1 less selling day</t>
        </r>
      </text>
    </comment>
    <comment ref="BJ9" authorId="4">
      <text>
        <r>
          <rPr>
            <b/>
            <sz val="9"/>
            <color indexed="81"/>
            <rFont val="Tahoma"/>
            <family val="2"/>
          </rPr>
          <t>Falorni, Filippo (Research):</t>
        </r>
        <r>
          <rPr>
            <sz val="9"/>
            <color indexed="81"/>
            <rFont val="Tahoma"/>
            <family val="2"/>
          </rPr>
          <t xml:space="preserve">
2 fewer days vs. 1Q16
Easter shift from 1Q16 to 2Q17</t>
        </r>
      </text>
    </comment>
    <comment ref="BM9" authorId="4">
      <text>
        <r>
          <rPr>
            <b/>
            <sz val="9"/>
            <color indexed="81"/>
            <rFont val="Tahoma"/>
            <family val="2"/>
          </rPr>
          <t>Falorni, Filippo (Research):</t>
        </r>
        <r>
          <rPr>
            <sz val="9"/>
            <color indexed="81"/>
            <rFont val="Tahoma"/>
            <family val="2"/>
          </rPr>
          <t xml:space="preserve">
1% per release (~1.5% per IR)
1 more day, +1% on topline</t>
        </r>
      </text>
    </comment>
    <comment ref="BO9" authorId="4">
      <text>
        <r>
          <rPr>
            <b/>
            <sz val="9"/>
            <color indexed="81"/>
            <rFont val="Tahoma"/>
            <family val="2"/>
          </rPr>
          <t>Falorni, Filippo (Research):</t>
        </r>
        <r>
          <rPr>
            <sz val="9"/>
            <color indexed="81"/>
            <rFont val="Tahoma"/>
            <family val="2"/>
          </rPr>
          <t xml:space="preserve">
1 less day, -1% on topline</t>
        </r>
      </text>
    </comment>
    <comment ref="BR9" authorId="4">
      <text>
        <r>
          <rPr>
            <b/>
            <sz val="9"/>
            <color indexed="81"/>
            <rFont val="Tahoma"/>
            <family val="2"/>
          </rPr>
          <t>Falorni, Filippo (Research):</t>
        </r>
        <r>
          <rPr>
            <sz val="9"/>
            <color indexed="81"/>
            <rFont val="Tahoma"/>
            <family val="2"/>
          </rPr>
          <t xml:space="preserve">
1 more day in Q4, +1%</t>
        </r>
      </text>
    </comment>
    <comment ref="BS9" authorId="4">
      <text>
        <r>
          <rPr>
            <b/>
            <sz val="9"/>
            <color indexed="81"/>
            <rFont val="Tahoma"/>
            <family val="2"/>
          </rPr>
          <t>Falorni, Filippo (Research):</t>
        </r>
        <r>
          <rPr>
            <sz val="9"/>
            <color indexed="81"/>
            <rFont val="Tahoma"/>
            <family val="2"/>
          </rPr>
          <t xml:space="preserve">
G at 4Q17 (IR): +1%</t>
        </r>
      </text>
    </comment>
    <comment ref="S10" authorId="0">
      <text>
        <r>
          <rPr>
            <b/>
            <sz val="8"/>
            <color indexed="81"/>
            <rFont val="Tahoma"/>
            <family val="2"/>
          </rPr>
          <t>grunke:</t>
        </r>
        <r>
          <rPr>
            <sz val="8"/>
            <color indexed="81"/>
            <rFont val="Tahoma"/>
            <family val="2"/>
          </rPr>
          <t xml:space="preserve">
2% per press release
changed based on KO segment detail provided by IR</t>
        </r>
      </text>
    </comment>
    <comment ref="AM10" authorId="0">
      <text>
        <r>
          <rPr>
            <b/>
            <sz val="8"/>
            <color indexed="81"/>
            <rFont val="Tahoma"/>
            <family val="2"/>
          </rPr>
          <t>grunke:</t>
        </r>
        <r>
          <rPr>
            <sz val="8"/>
            <color indexed="81"/>
            <rFont val="Tahoma"/>
            <family val="2"/>
          </rPr>
          <t xml:space="preserve">
KO - 'slightly positive, rounding to even'</t>
        </r>
      </text>
    </comment>
    <comment ref="AO10" authorId="0">
      <text>
        <r>
          <rPr>
            <b/>
            <sz val="8"/>
            <color indexed="81"/>
            <rFont val="Tahoma"/>
            <family val="2"/>
          </rPr>
          <t>grunke:</t>
        </r>
        <r>
          <rPr>
            <sz val="8"/>
            <color indexed="81"/>
            <rFont val="Tahoma"/>
            <family val="2"/>
          </rPr>
          <t xml:space="preserve">
1-2% guidance (in-line with LT target)</t>
        </r>
      </text>
    </comment>
    <comment ref="AQ10" authorId="1">
      <text>
        <r>
          <rPr>
            <b/>
            <sz val="8"/>
            <color indexed="81"/>
            <rFont val="Tahoma"/>
            <family val="2"/>
          </rPr>
          <t>cruzv:</t>
        </r>
        <r>
          <rPr>
            <sz val="8"/>
            <color indexed="81"/>
            <rFont val="Tahoma"/>
            <family val="2"/>
          </rPr>
          <t xml:space="preserve">
Negatively impacted by geographic mix</t>
        </r>
      </text>
    </comment>
    <comment ref="AR10" authorId="1">
      <text>
        <r>
          <rPr>
            <b/>
            <sz val="8"/>
            <color indexed="81"/>
            <rFont val="Tahoma"/>
            <family val="2"/>
          </rPr>
          <t>cruzv:</t>
        </r>
        <r>
          <rPr>
            <sz val="8"/>
            <color indexed="81"/>
            <rFont val="Tahoma"/>
            <family val="2"/>
          </rPr>
          <t xml:space="preserve">
Excludes Innocent benefit in Europe</t>
        </r>
      </text>
    </comment>
    <comment ref="AT10" authorId="1">
      <text>
        <r>
          <rPr>
            <b/>
            <sz val="8"/>
            <color indexed="81"/>
            <rFont val="Tahoma"/>
            <family val="2"/>
          </rPr>
          <t>cruzv:</t>
        </r>
        <r>
          <rPr>
            <sz val="8"/>
            <color indexed="81"/>
            <rFont val="Tahoma"/>
            <family val="2"/>
          </rPr>
          <t xml:space="preserve">
We expect to earn LSD consolidated price/mix for 2013</t>
        </r>
      </text>
    </comment>
    <comment ref="AX10" authorId="5">
      <text>
        <r>
          <rPr>
            <b/>
            <sz val="9"/>
            <color indexed="81"/>
            <rFont val="Tahoma"/>
            <family val="2"/>
          </rPr>
          <t>Doctor, Bob (Research):</t>
        </r>
        <r>
          <rPr>
            <sz val="9"/>
            <color indexed="81"/>
            <rFont val="Tahoma"/>
            <family val="2"/>
          </rPr>
          <t xml:space="preserve">
2% adjusted</t>
        </r>
      </text>
    </comment>
    <comment ref="BM10" authorId="4">
      <text>
        <r>
          <rPr>
            <b/>
            <sz val="9"/>
            <color indexed="81"/>
            <rFont val="Tahoma"/>
            <family val="2"/>
          </rPr>
          <t>Falorni, Filippo (Research):</t>
        </r>
        <r>
          <rPr>
            <sz val="9"/>
            <color indexed="81"/>
            <rFont val="Tahoma"/>
            <family val="2"/>
          </rPr>
          <t xml:space="preserve">
4% per release (~4.5% per IR)</t>
        </r>
      </text>
    </comment>
    <comment ref="BN10" authorId="4">
      <text>
        <r>
          <rPr>
            <b/>
            <sz val="9"/>
            <color indexed="81"/>
            <rFont val="Tahoma"/>
            <family val="2"/>
          </rPr>
          <t>Falorni, Filippo (Research):</t>
        </r>
        <r>
          <rPr>
            <sz val="9"/>
            <color indexed="81"/>
            <rFont val="Tahoma"/>
            <family val="2"/>
          </rPr>
          <t xml:space="preserve">
G at 4Q16: "more price vs. volume"</t>
        </r>
      </text>
    </comment>
    <comment ref="BS10" authorId="4">
      <text>
        <r>
          <rPr>
            <b/>
            <sz val="9"/>
            <color indexed="81"/>
            <rFont val="Tahoma"/>
            <family val="2"/>
          </rPr>
          <t>Falorni, Filippo (Research):</t>
        </r>
        <r>
          <rPr>
            <sz val="9"/>
            <color indexed="81"/>
            <rFont val="Tahoma"/>
            <family val="2"/>
          </rPr>
          <t xml:space="preserve">
G at 4Q17 (IR): +3%</t>
        </r>
      </text>
    </comment>
    <comment ref="AQ11" authorId="1">
      <text>
        <r>
          <rPr>
            <b/>
            <sz val="8"/>
            <color indexed="81"/>
            <rFont val="Tahoma"/>
            <family val="2"/>
          </rPr>
          <t>cruzv:</t>
        </r>
        <r>
          <rPr>
            <sz val="8"/>
            <color indexed="81"/>
            <rFont val="Tahoma"/>
            <family val="2"/>
          </rPr>
          <t xml:space="preserve">
-3% guidance</t>
        </r>
      </text>
    </comment>
    <comment ref="AT11" authorId="1">
      <text>
        <r>
          <rPr>
            <b/>
            <sz val="8"/>
            <color indexed="81"/>
            <rFont val="Tahoma"/>
            <family val="2"/>
          </rPr>
          <t>cruzv:</t>
        </r>
        <r>
          <rPr>
            <sz val="8"/>
            <color indexed="81"/>
            <rFont val="Tahoma"/>
            <family val="2"/>
          </rPr>
          <t xml:space="preserve">
Expected to be a 4% headwind to operating profit for the full year</t>
        </r>
      </text>
    </comment>
    <comment ref="AZ11" authorId="5">
      <text>
        <r>
          <rPr>
            <b/>
            <sz val="9"/>
            <color indexed="81"/>
            <rFont val="Tahoma"/>
            <family val="2"/>
          </rPr>
          <t>Doctor, Bob (Research):</t>
        </r>
        <r>
          <rPr>
            <sz val="9"/>
            <color indexed="81"/>
            <rFont val="Tahoma"/>
            <family val="2"/>
          </rPr>
          <t xml:space="preserve">
6 pt</t>
        </r>
      </text>
    </comment>
    <comment ref="BB11" authorId="3">
      <text>
        <r>
          <rPr>
            <b/>
            <sz val="9"/>
            <color indexed="81"/>
            <rFont val="Tahoma"/>
            <family val="2"/>
          </rPr>
          <t>Fitzgerald, Kyle (Research):</t>
        </r>
        <r>
          <rPr>
            <sz val="9"/>
            <color indexed="81"/>
            <rFont val="Tahoma"/>
            <family val="2"/>
          </rPr>
          <t xml:space="preserve">
7 pt headwind</t>
        </r>
      </text>
    </comment>
    <comment ref="BC11" authorId="3">
      <text>
        <r>
          <rPr>
            <b/>
            <sz val="9"/>
            <color indexed="81"/>
            <rFont val="Tahoma"/>
            <family val="2"/>
          </rPr>
          <t>Fitzgerald, Kyle (Research):</t>
        </r>
        <r>
          <rPr>
            <sz val="9"/>
            <color indexed="81"/>
            <rFont val="Tahoma"/>
            <family val="2"/>
          </rPr>
          <t xml:space="preserve">
7 pt headwind</t>
        </r>
      </text>
    </comment>
    <comment ref="BD11" authorId="5">
      <text>
        <r>
          <rPr>
            <b/>
            <sz val="9"/>
            <color indexed="81"/>
            <rFont val="Tahoma"/>
            <family val="2"/>
          </rPr>
          <t>Doctor, Bob (Research):</t>
        </r>
        <r>
          <rPr>
            <sz val="9"/>
            <color indexed="81"/>
            <rFont val="Tahoma"/>
            <family val="2"/>
          </rPr>
          <t xml:space="preserve">
7pt</t>
        </r>
      </text>
    </comment>
    <comment ref="BE11" authorId="3">
      <text>
        <r>
          <rPr>
            <b/>
            <sz val="9"/>
            <color indexed="81"/>
            <rFont val="Tahoma"/>
            <family val="2"/>
          </rPr>
          <t>Fitzgerald, Kyle (Research):</t>
        </r>
        <r>
          <rPr>
            <sz val="9"/>
            <color indexed="81"/>
            <rFont val="Tahoma"/>
            <family val="2"/>
          </rPr>
          <t xml:space="preserve">
-5%</t>
        </r>
      </text>
    </comment>
    <comment ref="BG11" authorId="5">
      <text>
        <r>
          <rPr>
            <b/>
            <sz val="9"/>
            <color indexed="81"/>
            <rFont val="Tahoma"/>
            <family val="2"/>
          </rPr>
          <t>Doctor, Bob (Research):</t>
        </r>
        <r>
          <rPr>
            <sz val="9"/>
            <color indexed="81"/>
            <rFont val="Tahoma"/>
            <family val="2"/>
          </rPr>
          <t xml:space="preserve">
-2</t>
        </r>
      </text>
    </comment>
    <comment ref="BH11" authorId="5">
      <text>
        <r>
          <rPr>
            <b/>
            <sz val="9"/>
            <color indexed="81"/>
            <rFont val="Tahoma"/>
            <family val="2"/>
          </rPr>
          <t>Doctor, Bob (Research):</t>
        </r>
        <r>
          <rPr>
            <sz val="9"/>
            <color indexed="81"/>
            <rFont val="Tahoma"/>
            <family val="2"/>
          </rPr>
          <t xml:space="preserve">
-1-2</t>
        </r>
      </text>
    </comment>
    <comment ref="BI11" authorId="3">
      <text>
        <r>
          <rPr>
            <b/>
            <sz val="9"/>
            <color indexed="81"/>
            <rFont val="Tahoma"/>
            <family val="2"/>
          </rPr>
          <t>Fitzgerald, Kyle (Research):</t>
        </r>
        <r>
          <rPr>
            <sz val="9"/>
            <color indexed="81"/>
            <rFont val="Tahoma"/>
            <family val="2"/>
          </rPr>
          <t xml:space="preserve">
2-3%</t>
        </r>
      </text>
    </comment>
    <comment ref="BJ11" authorId="4">
      <text>
        <r>
          <rPr>
            <b/>
            <sz val="9"/>
            <color indexed="81"/>
            <rFont val="Tahoma"/>
            <family val="2"/>
          </rPr>
          <t>Falorni, Filippo (Research):</t>
        </r>
        <r>
          <rPr>
            <sz val="9"/>
            <color indexed="81"/>
            <rFont val="Tahoma"/>
            <family val="2"/>
          </rPr>
          <t xml:space="preserve">
G at 4Q16: (1%)-(2%) based on spot rates and including the impact of hedging</t>
        </r>
      </text>
    </comment>
    <comment ref="BK11" authorId="4">
      <text>
        <r>
          <rPr>
            <b/>
            <sz val="9"/>
            <color indexed="81"/>
            <rFont val="Tahoma"/>
            <family val="2"/>
          </rPr>
          <t>Falorni, Filippo (Research):</t>
        </r>
        <r>
          <rPr>
            <sz val="9"/>
            <color indexed="81"/>
            <rFont val="Tahoma"/>
            <family val="2"/>
          </rPr>
          <t xml:space="preserve">
G at 1Q17: (1%)-(2%) based on spot rates and including the impact of hedging</t>
        </r>
      </text>
    </comment>
    <comment ref="BL11" authorId="4">
      <text>
        <r>
          <rPr>
            <b/>
            <sz val="9"/>
            <color indexed="81"/>
            <rFont val="Tahoma"/>
            <family val="2"/>
          </rPr>
          <t>Falorni, Filippo (Research):</t>
        </r>
        <r>
          <rPr>
            <sz val="9"/>
            <color indexed="81"/>
            <rFont val="Tahoma"/>
            <family val="2"/>
          </rPr>
          <t xml:space="preserve">
G at 2Q17: (1%)-(2%) based on spot rates and including the impact of hedging</t>
        </r>
      </text>
    </comment>
    <comment ref="BM11" authorId="4">
      <text>
        <r>
          <rPr>
            <b/>
            <sz val="9"/>
            <color indexed="81"/>
            <rFont val="Tahoma"/>
            <family val="2"/>
          </rPr>
          <t>Falorni, Filippo (Research):</t>
        </r>
        <r>
          <rPr>
            <sz val="9"/>
            <color indexed="81"/>
            <rFont val="Tahoma"/>
            <family val="2"/>
          </rPr>
          <t xml:space="preserve">
G at 3Q17: +0-1%</t>
        </r>
      </text>
    </comment>
    <comment ref="BN11" authorId="4">
      <text>
        <r>
          <rPr>
            <b/>
            <sz val="9"/>
            <color indexed="81"/>
            <rFont val="Tahoma"/>
            <family val="2"/>
          </rPr>
          <t>Falorni, Filippo (Research):</t>
        </r>
        <r>
          <rPr>
            <sz val="9"/>
            <color indexed="81"/>
            <rFont val="Tahoma"/>
            <family val="2"/>
          </rPr>
          <t xml:space="preserve">
G at 3Q17:  (1%)
G at 2Q17: </t>
        </r>
        <r>
          <rPr>
            <b/>
            <sz val="9"/>
            <color indexed="81"/>
            <rFont val="Tahoma"/>
            <family val="2"/>
          </rPr>
          <t>R</t>
        </r>
        <r>
          <rPr>
            <sz val="9"/>
            <color indexed="81"/>
            <rFont val="Tahoma"/>
            <family val="2"/>
          </rPr>
          <t xml:space="preserve">
G at 1Q17: </t>
        </r>
        <r>
          <rPr>
            <b/>
            <sz val="9"/>
            <color indexed="81"/>
            <rFont val="Tahoma"/>
            <family val="2"/>
          </rPr>
          <t>R</t>
        </r>
        <r>
          <rPr>
            <sz val="9"/>
            <color indexed="81"/>
            <rFont val="Tahoma"/>
            <family val="2"/>
          </rPr>
          <t xml:space="preserve">
G at 4Q16: (1%)-(2%) based on spot rates and including the impact of hedging</t>
        </r>
      </text>
    </comment>
    <comment ref="BO11" authorId="4">
      <text>
        <r>
          <rPr>
            <b/>
            <sz val="9"/>
            <color indexed="81"/>
            <rFont val="Tahoma"/>
            <family val="2"/>
          </rPr>
          <t>Falorni, Filippo (Research):</t>
        </r>
        <r>
          <rPr>
            <sz val="9"/>
            <color indexed="81"/>
            <rFont val="Tahoma"/>
            <family val="2"/>
          </rPr>
          <t xml:space="preserve">
G at 4Q17: +2%</t>
        </r>
      </text>
    </comment>
    <comment ref="BP11" authorId="4">
      <text>
        <r>
          <rPr>
            <b/>
            <sz val="9"/>
            <color indexed="81"/>
            <rFont val="Tahoma"/>
            <family val="2"/>
          </rPr>
          <t>Falorni, Filippo (Research):</t>
        </r>
        <r>
          <rPr>
            <sz val="9"/>
            <color indexed="81"/>
            <rFont val="Tahoma"/>
            <family val="2"/>
          </rPr>
          <t xml:space="preserve">
G at 1Q18: +1%</t>
        </r>
      </text>
    </comment>
    <comment ref="BS11" authorId="4">
      <text>
        <r>
          <rPr>
            <b/>
            <sz val="9"/>
            <color indexed="81"/>
            <rFont val="Tahoma"/>
            <family val="2"/>
          </rPr>
          <t>Falorni, Filippo (Research):</t>
        </r>
        <r>
          <rPr>
            <sz val="9"/>
            <color indexed="81"/>
            <rFont val="Tahoma"/>
            <family val="2"/>
          </rPr>
          <t xml:space="preserve">
G at 1Q18: </t>
        </r>
        <r>
          <rPr>
            <b/>
            <sz val="9"/>
            <color indexed="81"/>
            <rFont val="Tahoma"/>
            <family val="2"/>
          </rPr>
          <t>R</t>
        </r>
        <r>
          <rPr>
            <sz val="9"/>
            <color indexed="81"/>
            <rFont val="Tahoma"/>
            <family val="2"/>
          </rPr>
          <t xml:space="preserve">
G at 4Q17: +1%</t>
        </r>
      </text>
    </comment>
    <comment ref="L12" authorId="0">
      <text>
        <r>
          <rPr>
            <b/>
            <sz val="8"/>
            <color indexed="81"/>
            <rFont val="Tahoma"/>
            <family val="2"/>
          </rPr>
          <t>grunke:</t>
        </r>
        <r>
          <rPr>
            <sz val="8"/>
            <color indexed="81"/>
            <rFont val="Tahoma"/>
            <family val="2"/>
          </rPr>
          <t xml:space="preserve">
includes benefit from acquisitions </t>
        </r>
      </text>
    </comment>
    <comment ref="M12" authorId="0">
      <text>
        <r>
          <rPr>
            <b/>
            <sz val="8"/>
            <color indexed="81"/>
            <rFont val="Tahoma"/>
            <family val="2"/>
          </rPr>
          <t>grunke:</t>
        </r>
        <r>
          <rPr>
            <sz val="8"/>
            <color indexed="81"/>
            <rFont val="Tahoma"/>
            <family val="2"/>
          </rPr>
          <t xml:space="preserve">
includes benefit from acquisitions </t>
        </r>
      </text>
    </comment>
    <comment ref="N12" authorId="0">
      <text>
        <r>
          <rPr>
            <b/>
            <sz val="8"/>
            <color indexed="81"/>
            <rFont val="Tahoma"/>
            <family val="2"/>
          </rPr>
          <t>grunke:</t>
        </r>
        <r>
          <rPr>
            <sz val="8"/>
            <color indexed="81"/>
            <rFont val="Tahoma"/>
            <family val="2"/>
          </rPr>
          <t xml:space="preserve">
includes benefit from acquisitions </t>
        </r>
      </text>
    </comment>
    <comment ref="O12" authorId="0">
      <text>
        <r>
          <rPr>
            <b/>
            <sz val="8"/>
            <color indexed="81"/>
            <rFont val="Tahoma"/>
            <family val="2"/>
          </rPr>
          <t>grunke:</t>
        </r>
        <r>
          <rPr>
            <sz val="8"/>
            <color indexed="81"/>
            <rFont val="Tahoma"/>
            <family val="2"/>
          </rPr>
          <t xml:space="preserve">
includes benefit from acquisitions </t>
        </r>
      </text>
    </comment>
    <comment ref="Q12" authorId="0">
      <text>
        <r>
          <rPr>
            <b/>
            <sz val="8"/>
            <color indexed="81"/>
            <rFont val="Tahoma"/>
            <family val="2"/>
          </rPr>
          <t>grunke:</t>
        </r>
        <r>
          <rPr>
            <sz val="8"/>
            <color indexed="81"/>
            <rFont val="Tahoma"/>
            <family val="2"/>
          </rPr>
          <t xml:space="preserve">
related to bottler acquisitions</t>
        </r>
      </text>
    </comment>
    <comment ref="S12" authorId="0">
      <text>
        <r>
          <rPr>
            <b/>
            <sz val="8"/>
            <color indexed="81"/>
            <rFont val="Tahoma"/>
            <family val="2"/>
          </rPr>
          <t>grunke:</t>
        </r>
        <r>
          <rPr>
            <sz val="8"/>
            <color indexed="81"/>
            <rFont val="Tahoma"/>
            <family val="2"/>
          </rPr>
          <t xml:space="preserve">
2% per press release
changed based on KO segment detail provided by IR</t>
        </r>
      </text>
    </comment>
    <comment ref="X12" authorId="0">
      <text>
        <r>
          <rPr>
            <b/>
            <sz val="8"/>
            <color indexed="81"/>
            <rFont val="Tahoma"/>
            <family val="2"/>
          </rPr>
          <t>grunke:</t>
        </r>
        <r>
          <rPr>
            <sz val="8"/>
            <color indexed="81"/>
            <rFont val="Tahoma"/>
            <family val="2"/>
          </rPr>
          <t xml:space="preserve">
divestiture of a portion of ownership in Pakistan bottler</t>
        </r>
      </text>
    </comment>
    <comment ref="AB12" authorId="0">
      <text>
        <r>
          <rPr>
            <b/>
            <sz val="8"/>
            <color indexed="81"/>
            <rFont val="Tahoma"/>
            <family val="2"/>
          </rPr>
          <t>grunke:</t>
        </r>
        <r>
          <rPr>
            <sz val="8"/>
            <color indexed="81"/>
            <rFont val="Tahoma"/>
            <family val="2"/>
          </rPr>
          <t xml:space="preserve">
deconsolidation of certain entities </t>
        </r>
      </text>
    </comment>
    <comment ref="AT12" authorId="1">
      <text>
        <r>
          <rPr>
            <b/>
            <sz val="8"/>
            <color indexed="81"/>
            <rFont val="Tahoma"/>
            <family val="2"/>
          </rPr>
          <t>cruzv:</t>
        </r>
        <r>
          <rPr>
            <sz val="8"/>
            <color indexed="81"/>
            <rFont val="Tahoma"/>
            <family val="2"/>
          </rPr>
          <t xml:space="preserve">
3% structural impact on full year 2013 net revenue from Philippines sale and Brazil merger
Back half weighted due to Brazil deconsolidation</t>
        </r>
      </text>
    </comment>
    <comment ref="AX12" authorId="5">
      <text>
        <r>
          <rPr>
            <b/>
            <sz val="9"/>
            <color indexed="81"/>
            <rFont val="Tahoma"/>
            <family val="2"/>
          </rPr>
          <t>Doctor, Bob (Research):</t>
        </r>
        <r>
          <rPr>
            <sz val="9"/>
            <color indexed="81"/>
            <rFont val="Tahoma"/>
            <family val="2"/>
          </rPr>
          <t xml:space="preserve">
1-2 pts</t>
        </r>
      </text>
    </comment>
    <comment ref="AY12" authorId="1">
      <text>
        <r>
          <rPr>
            <b/>
            <sz val="8"/>
            <color indexed="81"/>
            <rFont val="Tahoma"/>
            <family val="2"/>
          </rPr>
          <t>1-2 pt headwind</t>
        </r>
      </text>
    </comment>
    <comment ref="AZ12" authorId="5">
      <text>
        <r>
          <rPr>
            <b/>
            <sz val="9"/>
            <color indexed="81"/>
            <rFont val="Tahoma"/>
            <family val="2"/>
          </rPr>
          <t>Doctor, Bob (Research):</t>
        </r>
        <r>
          <rPr>
            <sz val="9"/>
            <color indexed="81"/>
            <rFont val="Tahoma"/>
            <family val="2"/>
          </rPr>
          <t xml:space="preserve">
2 pts including VZ</t>
        </r>
      </text>
    </comment>
    <comment ref="BD12" authorId="5">
      <text>
        <r>
          <rPr>
            <b/>
            <sz val="9"/>
            <color indexed="81"/>
            <rFont val="Tahoma"/>
            <family val="2"/>
          </rPr>
          <t>Doctor, Bob (Research):</t>
        </r>
        <r>
          <rPr>
            <sz val="9"/>
            <color indexed="81"/>
            <rFont val="Tahoma"/>
            <family val="2"/>
          </rPr>
          <t xml:space="preserve">
1% headwind</t>
        </r>
      </text>
    </comment>
    <comment ref="BE12" authorId="3">
      <text>
        <r>
          <rPr>
            <b/>
            <sz val="9"/>
            <color indexed="81"/>
            <rFont val="Tahoma"/>
            <family val="2"/>
          </rPr>
          <t>Fitzgerald, Kyle (Research):</t>
        </r>
        <r>
          <rPr>
            <sz val="9"/>
            <color indexed="81"/>
            <rFont val="Tahoma"/>
            <family val="2"/>
          </rPr>
          <t xml:space="preserve">
Slight headwind</t>
        </r>
      </text>
    </comment>
    <comment ref="BF12" authorId="3">
      <text>
        <r>
          <rPr>
            <b/>
            <sz val="9"/>
            <color indexed="81"/>
            <rFont val="Tahoma"/>
            <family val="2"/>
          </rPr>
          <t>Fitzgerald, Kyle (Research):</t>
        </r>
        <r>
          <rPr>
            <sz val="9"/>
            <color indexed="81"/>
            <rFont val="Tahoma"/>
            <family val="2"/>
          </rPr>
          <t xml:space="preserve">
5-6 pt headwind</t>
        </r>
      </text>
    </comment>
    <comment ref="BG12" authorId="5">
      <text>
        <r>
          <rPr>
            <b/>
            <sz val="9"/>
            <color indexed="81"/>
            <rFont val="Tahoma"/>
            <family val="2"/>
          </rPr>
          <t>Doctor, Bob (Research):</t>
        </r>
        <r>
          <rPr>
            <sz val="9"/>
            <color indexed="81"/>
            <rFont val="Tahoma"/>
            <family val="2"/>
          </rPr>
          <t xml:space="preserve">
-9</t>
        </r>
      </text>
    </comment>
    <comment ref="BH12" authorId="5">
      <text>
        <r>
          <rPr>
            <b/>
            <sz val="9"/>
            <color indexed="81"/>
            <rFont val="Tahoma"/>
            <family val="2"/>
          </rPr>
          <t>Doctor, Bob (Research):</t>
        </r>
        <r>
          <rPr>
            <sz val="9"/>
            <color indexed="81"/>
            <rFont val="Tahoma"/>
            <family val="2"/>
          </rPr>
          <t xml:space="preserve">
-11</t>
        </r>
      </text>
    </comment>
    <comment ref="BI12" authorId="5">
      <text>
        <r>
          <rPr>
            <b/>
            <sz val="9"/>
            <color indexed="81"/>
            <rFont val="Tahoma"/>
            <family val="2"/>
          </rPr>
          <t>Doctor, Bob (Research):</t>
        </r>
        <r>
          <rPr>
            <sz val="9"/>
            <color indexed="81"/>
            <rFont val="Tahoma"/>
            <family val="2"/>
          </rPr>
          <t xml:space="preserve">
-6-7</t>
        </r>
      </text>
    </comment>
    <comment ref="BJ12" authorId="4">
      <text>
        <r>
          <rPr>
            <b/>
            <sz val="9"/>
            <color indexed="81"/>
            <rFont val="Tahoma"/>
            <family val="2"/>
          </rPr>
          <t>Falorni, Filippo (Research):</t>
        </r>
        <r>
          <rPr>
            <sz val="9"/>
            <color indexed="81"/>
            <rFont val="Tahoma"/>
            <family val="2"/>
          </rPr>
          <t xml:space="preserve">
G at 4Q16: (12%)-(13%) from acquisition, divestitures, and structural items</t>
        </r>
      </text>
    </comment>
    <comment ref="BK12" authorId="4">
      <text>
        <r>
          <rPr>
            <b/>
            <sz val="9"/>
            <color indexed="81"/>
            <rFont val="Tahoma"/>
            <family val="2"/>
          </rPr>
          <t>Falorni, Filippo (Research):</t>
        </r>
        <r>
          <rPr>
            <sz val="9"/>
            <color indexed="81"/>
            <rFont val="Tahoma"/>
            <family val="2"/>
          </rPr>
          <t xml:space="preserve">
G at 1Q17: (17%)-(18%) from acquisition, divestitures, and structural items</t>
        </r>
      </text>
    </comment>
    <comment ref="BL12" authorId="4">
      <text>
        <r>
          <rPr>
            <b/>
            <sz val="9"/>
            <color indexed="81"/>
            <rFont val="Tahoma"/>
            <family val="2"/>
          </rPr>
          <t>Falorni, Filippo (Research):</t>
        </r>
        <r>
          <rPr>
            <sz val="9"/>
            <color indexed="81"/>
            <rFont val="Tahoma"/>
            <family val="2"/>
          </rPr>
          <t xml:space="preserve">
G at 2Q17: (19%)-(20%) from acquisition, divestitures, and structural items</t>
        </r>
      </text>
    </comment>
    <comment ref="BM12" authorId="4">
      <text>
        <r>
          <rPr>
            <b/>
            <sz val="9"/>
            <color indexed="81"/>
            <rFont val="Tahoma"/>
            <family val="2"/>
          </rPr>
          <t>Falorni, Filippo (Research):</t>
        </r>
        <r>
          <rPr>
            <sz val="9"/>
            <color indexed="81"/>
            <rFont val="Tahoma"/>
            <family val="2"/>
          </rPr>
          <t xml:space="preserve">
G at 3Q17: (27%)</t>
        </r>
      </text>
    </comment>
    <comment ref="BN12" authorId="4">
      <text>
        <r>
          <rPr>
            <b/>
            <sz val="9"/>
            <color indexed="81"/>
            <rFont val="Tahoma"/>
            <family val="2"/>
          </rPr>
          <t>Falorni, Filippo (Research):</t>
        </r>
        <r>
          <rPr>
            <sz val="9"/>
            <color indexed="81"/>
            <rFont val="Tahoma"/>
            <family val="2"/>
          </rPr>
          <t xml:space="preserve">
G at 3Q17:  (18%)
G at 2Q17: </t>
        </r>
        <r>
          <rPr>
            <b/>
            <sz val="9"/>
            <color indexed="81"/>
            <rFont val="Tahoma"/>
            <family val="2"/>
          </rPr>
          <t>R</t>
        </r>
        <r>
          <rPr>
            <sz val="9"/>
            <color indexed="81"/>
            <rFont val="Tahoma"/>
            <family val="2"/>
          </rPr>
          <t xml:space="preserve">
G at 1Q17: </t>
        </r>
        <r>
          <rPr>
            <b/>
            <sz val="9"/>
            <color indexed="81"/>
            <rFont val="Tahoma"/>
            <family val="2"/>
          </rPr>
          <t>R</t>
        </r>
        <r>
          <rPr>
            <sz val="9"/>
            <color indexed="81"/>
            <rFont val="Tahoma"/>
            <family val="2"/>
          </rPr>
          <t xml:space="preserve">
G at 4Q16: (18%)-(19%) from acquisition, divestitures, and structural items</t>
        </r>
      </text>
    </comment>
    <comment ref="BO12" authorId="4">
      <text>
        <r>
          <rPr>
            <b/>
            <sz val="9"/>
            <color indexed="81"/>
            <rFont val="Tahoma"/>
            <family val="2"/>
          </rPr>
          <t>Falorni, Filippo (Research):</t>
        </r>
        <r>
          <rPr>
            <sz val="9"/>
            <color indexed="81"/>
            <rFont val="Tahoma"/>
            <family val="2"/>
          </rPr>
          <t xml:space="preserve">
G at 4Q17: (26%) structural 
+1% from accounting standard (revenue recognition)</t>
        </r>
      </text>
    </comment>
    <comment ref="BP12" authorId="4">
      <text>
        <r>
          <rPr>
            <b/>
            <sz val="9"/>
            <color indexed="81"/>
            <rFont val="Tahoma"/>
            <family val="2"/>
          </rPr>
          <t>Falorni, Filippo (Research):</t>
        </r>
        <r>
          <rPr>
            <sz val="9"/>
            <color indexed="81"/>
            <rFont val="Tahoma"/>
            <family val="2"/>
          </rPr>
          <t xml:space="preserve">
G at 1Q18: -16% structural
+1-2% from accounting change</t>
        </r>
      </text>
    </comment>
    <comment ref="BS12" authorId="4">
      <text>
        <r>
          <rPr>
            <b/>
            <sz val="9"/>
            <color indexed="81"/>
            <rFont val="Tahoma"/>
            <family val="2"/>
          </rPr>
          <t>Falorni, Filippo (Research):</t>
        </r>
        <r>
          <rPr>
            <sz val="9"/>
            <color indexed="81"/>
            <rFont val="Tahoma"/>
            <family val="2"/>
          </rPr>
          <t xml:space="preserve">
G at 1Q18: </t>
        </r>
        <r>
          <rPr>
            <b/>
            <sz val="9"/>
            <color indexed="81"/>
            <rFont val="Tahoma"/>
            <family val="2"/>
          </rPr>
          <t>R</t>
        </r>
        <r>
          <rPr>
            <sz val="9"/>
            <color indexed="81"/>
            <rFont val="Tahoma"/>
            <family val="2"/>
          </rPr>
          <t xml:space="preserve">
G at 4Q17: (17%) structural, +1-2% from accounting standard (revenue recognition)
G at 3Q17: </t>
        </r>
        <r>
          <rPr>
            <b/>
            <sz val="9"/>
            <color indexed="81"/>
            <rFont val="Tahoma"/>
            <family val="2"/>
          </rPr>
          <t>R</t>
        </r>
        <r>
          <rPr>
            <sz val="9"/>
            <color indexed="81"/>
            <rFont val="Tahoma"/>
            <family val="2"/>
          </rPr>
          <t xml:space="preserve">
G at 2Q17:</t>
        </r>
        <r>
          <rPr>
            <b/>
            <sz val="9"/>
            <color indexed="81"/>
            <rFont val="Tahoma"/>
            <family val="2"/>
          </rPr>
          <t>R</t>
        </r>
        <r>
          <rPr>
            <sz val="9"/>
            <color indexed="81"/>
            <rFont val="Tahoma"/>
            <family val="2"/>
          </rPr>
          <t xml:space="preserve">
G at 1Q17: </t>
        </r>
        <r>
          <rPr>
            <b/>
            <sz val="9"/>
            <color indexed="81"/>
            <rFont val="Tahoma"/>
            <family val="2"/>
          </rPr>
          <t>R</t>
        </r>
        <r>
          <rPr>
            <sz val="9"/>
            <color indexed="81"/>
            <rFont val="Tahoma"/>
            <family val="2"/>
          </rPr>
          <t xml:space="preserve">
G at 4Q16: (16%)-(17%) from acquisition, divestitures, and structural items</t>
        </r>
      </text>
    </comment>
    <comment ref="W13" authorId="0">
      <text>
        <r>
          <rPr>
            <b/>
            <sz val="8"/>
            <color indexed="81"/>
            <rFont val="Tahoma"/>
            <family val="2"/>
          </rPr>
          <t>grunke:</t>
        </r>
        <r>
          <rPr>
            <sz val="8"/>
            <color indexed="81"/>
            <rFont val="Tahoma"/>
            <family val="2"/>
          </rPr>
          <t xml:space="preserve">
6% YTD comparable currency neutral growth (quarter not provided)</t>
        </r>
      </text>
    </comment>
    <comment ref="X13" authorId="0">
      <text>
        <r>
          <rPr>
            <b/>
            <sz val="8"/>
            <color indexed="81"/>
            <rFont val="Tahoma"/>
            <family val="2"/>
          </rPr>
          <t>grunke:</t>
        </r>
        <r>
          <rPr>
            <sz val="8"/>
            <color indexed="81"/>
            <rFont val="Tahoma"/>
            <family val="2"/>
          </rPr>
          <t xml:space="preserve">
5% YTD comparable currency neutral growth (quarter not provided)</t>
        </r>
      </text>
    </comment>
    <comment ref="Z13" authorId="0">
      <text>
        <r>
          <rPr>
            <b/>
            <sz val="8"/>
            <color indexed="81"/>
            <rFont val="Tahoma"/>
            <family val="2"/>
          </rPr>
          <t>grunke:</t>
        </r>
        <r>
          <rPr>
            <sz val="8"/>
            <color indexed="81"/>
            <rFont val="Tahoma"/>
            <family val="2"/>
          </rPr>
          <t xml:space="preserve">
4% comparable currency neutral growth </t>
        </r>
      </text>
    </comment>
    <comment ref="AA13" authorId="0">
      <text>
        <r>
          <rPr>
            <b/>
            <sz val="8"/>
            <color indexed="81"/>
            <rFont val="Tahoma"/>
            <family val="2"/>
          </rPr>
          <t>grunke:</t>
        </r>
        <r>
          <rPr>
            <sz val="8"/>
            <color indexed="81"/>
            <rFont val="Tahoma"/>
            <family val="2"/>
          </rPr>
          <t xml:space="preserve">
1% comparable currency neutral growth </t>
        </r>
      </text>
    </comment>
    <comment ref="AB13" authorId="0">
      <text>
        <r>
          <rPr>
            <b/>
            <sz val="8"/>
            <color indexed="81"/>
            <rFont val="Tahoma"/>
            <family val="2"/>
          </rPr>
          <t>grunke:</t>
        </r>
        <r>
          <rPr>
            <sz val="8"/>
            <color indexed="81"/>
            <rFont val="Tahoma"/>
            <family val="2"/>
          </rPr>
          <t xml:space="preserve">
5% comparable currency neutral growth </t>
        </r>
      </text>
    </comment>
    <comment ref="AW15" authorId="5">
      <text>
        <r>
          <rPr>
            <b/>
            <sz val="9"/>
            <color indexed="81"/>
            <rFont val="Tahoma"/>
            <family val="2"/>
          </rPr>
          <t>Doctor, Bob (Research):</t>
        </r>
        <r>
          <rPr>
            <sz val="9"/>
            <color indexed="81"/>
            <rFont val="Tahoma"/>
            <family val="2"/>
          </rPr>
          <t xml:space="preserve">
1% per KO</t>
        </r>
      </text>
    </comment>
    <comment ref="BI15" authorId="3">
      <text>
        <r>
          <rPr>
            <b/>
            <sz val="9"/>
            <color indexed="81"/>
            <rFont val="Tahoma"/>
            <family val="2"/>
          </rPr>
          <t>Fitzgerald, Kyle (Research):</t>
        </r>
        <r>
          <rPr>
            <sz val="9"/>
            <color indexed="81"/>
            <rFont val="Tahoma"/>
            <family val="2"/>
          </rPr>
          <t xml:space="preserve">
3%</t>
        </r>
      </text>
    </comment>
    <comment ref="BM15" authorId="4">
      <text>
        <r>
          <rPr>
            <b/>
            <sz val="9"/>
            <color indexed="81"/>
            <rFont val="Tahoma"/>
            <family val="2"/>
          </rPr>
          <t>Falorni, Filippo (Research):</t>
        </r>
        <r>
          <rPr>
            <sz val="9"/>
            <color indexed="81"/>
            <rFont val="Tahoma"/>
            <family val="2"/>
          </rPr>
          <t xml:space="preserve">
6% per press release</t>
        </r>
      </text>
    </comment>
    <comment ref="BN15" authorId="4">
      <text>
        <r>
          <rPr>
            <b/>
            <sz val="9"/>
            <color indexed="81"/>
            <rFont val="Tahoma"/>
            <family val="2"/>
          </rPr>
          <t>Falorni, Filippo (Research):</t>
        </r>
        <r>
          <rPr>
            <sz val="9"/>
            <color indexed="81"/>
            <rFont val="Tahoma"/>
            <family val="2"/>
          </rPr>
          <t xml:space="preserve">
G at 3Q17: </t>
        </r>
        <r>
          <rPr>
            <b/>
            <sz val="9"/>
            <color indexed="81"/>
            <rFont val="Tahoma"/>
            <family val="2"/>
          </rPr>
          <t>R</t>
        </r>
        <r>
          <rPr>
            <sz val="9"/>
            <color indexed="81"/>
            <rFont val="Tahoma"/>
            <family val="2"/>
          </rPr>
          <t xml:space="preserve">
G at 2Q17: </t>
        </r>
        <r>
          <rPr>
            <b/>
            <sz val="9"/>
            <color indexed="81"/>
            <rFont val="Tahoma"/>
            <family val="2"/>
          </rPr>
          <t>R</t>
        </r>
        <r>
          <rPr>
            <sz val="9"/>
            <color indexed="81"/>
            <rFont val="Tahoma"/>
            <family val="2"/>
          </rPr>
          <t xml:space="preserve">
G at 1Q17: </t>
        </r>
        <r>
          <rPr>
            <b/>
            <sz val="9"/>
            <color indexed="81"/>
            <rFont val="Tahoma"/>
            <family val="2"/>
          </rPr>
          <t>R</t>
        </r>
        <r>
          <rPr>
            <sz val="9"/>
            <color indexed="81"/>
            <rFont val="Tahoma"/>
            <family val="2"/>
          </rPr>
          <t xml:space="preserve">
G at 4Q16: ~3% (more price vs. volume)</t>
        </r>
      </text>
    </comment>
    <comment ref="BS15" authorId="4">
      <text>
        <r>
          <rPr>
            <b/>
            <sz val="9"/>
            <color indexed="81"/>
            <rFont val="Tahoma"/>
            <family val="2"/>
          </rPr>
          <t>Falorni, Filippo (Research):</t>
        </r>
        <r>
          <rPr>
            <sz val="9"/>
            <color indexed="81"/>
            <rFont val="Tahoma"/>
            <family val="2"/>
          </rPr>
          <t xml:space="preserve">
G at 1Q18: </t>
        </r>
        <r>
          <rPr>
            <b/>
            <sz val="9"/>
            <color indexed="81"/>
            <rFont val="Tahoma"/>
            <family val="2"/>
          </rPr>
          <t>R</t>
        </r>
        <r>
          <rPr>
            <sz val="9"/>
            <color indexed="81"/>
            <rFont val="Tahoma"/>
            <family val="2"/>
          </rPr>
          <t xml:space="preserve">
G at 4Q17: ~4%</t>
        </r>
      </text>
    </comment>
    <comment ref="BK21" authorId="4">
      <text>
        <r>
          <rPr>
            <b/>
            <sz val="9"/>
            <color indexed="81"/>
            <rFont val="Tahoma"/>
            <family val="2"/>
          </rPr>
          <t>Falorni, Filippo (Research):</t>
        </r>
        <r>
          <rPr>
            <sz val="9"/>
            <color indexed="81"/>
            <rFont val="Tahoma"/>
            <family val="2"/>
          </rPr>
          <t xml:space="preserve">
Easter moved into 2Q vs. 1Q last year</t>
        </r>
      </text>
    </comment>
    <comment ref="BP21" authorId="4">
      <text>
        <r>
          <rPr>
            <b/>
            <sz val="9"/>
            <color indexed="81"/>
            <rFont val="Tahoma"/>
            <family val="2"/>
          </rPr>
          <t>Falorni, Filippo (Research):</t>
        </r>
        <r>
          <rPr>
            <sz val="9"/>
            <color indexed="81"/>
            <rFont val="Tahoma"/>
            <family val="2"/>
          </rPr>
          <t xml:space="preserve">
Sugar tax impact in the UK and South Africa</t>
        </r>
      </text>
    </comment>
    <comment ref="BM22" authorId="4">
      <text>
        <r>
          <rPr>
            <b/>
            <sz val="9"/>
            <color indexed="81"/>
            <rFont val="Tahoma"/>
            <family val="2"/>
          </rPr>
          <t>Falorni, Filippo (Research):</t>
        </r>
        <r>
          <rPr>
            <sz val="9"/>
            <color indexed="81"/>
            <rFont val="Tahoma"/>
            <family val="2"/>
          </rPr>
          <t xml:space="preserve">
1 more day</t>
        </r>
      </text>
    </comment>
    <comment ref="BO22" authorId="4">
      <text>
        <r>
          <rPr>
            <b/>
            <sz val="9"/>
            <color indexed="81"/>
            <rFont val="Tahoma"/>
            <family val="2"/>
          </rPr>
          <t>Falorni, Filippo (Research):</t>
        </r>
        <r>
          <rPr>
            <sz val="9"/>
            <color indexed="81"/>
            <rFont val="Tahoma"/>
            <family val="2"/>
          </rPr>
          <t xml:space="preserve">
Gallons ahead of unit case, per IR</t>
        </r>
      </text>
    </comment>
    <comment ref="BP22" authorId="4">
      <text>
        <r>
          <rPr>
            <b/>
            <sz val="9"/>
            <color indexed="81"/>
            <rFont val="Tahoma"/>
            <family val="2"/>
          </rPr>
          <t>Falorni, Filippo (Research):</t>
        </r>
        <r>
          <rPr>
            <sz val="9"/>
            <color indexed="81"/>
            <rFont val="Tahoma"/>
            <family val="2"/>
          </rPr>
          <t xml:space="preserve">
G at 1Q18 (IR): Concentrate  below unit case given pull forward in Q1</t>
        </r>
      </text>
    </comment>
    <comment ref="BQ22" authorId="4">
      <text>
        <r>
          <rPr>
            <b/>
            <sz val="9"/>
            <color indexed="81"/>
            <rFont val="Tahoma"/>
            <family val="2"/>
          </rPr>
          <t>Falorni, Filippo (Research):</t>
        </r>
        <r>
          <rPr>
            <sz val="9"/>
            <color indexed="81"/>
            <rFont val="Tahoma"/>
            <family val="2"/>
          </rPr>
          <t xml:space="preserve">
G at 1Q18 (IR): Concentrate  below unit case given pull forward in Q1</t>
        </r>
      </text>
    </comment>
    <comment ref="BR22" authorId="4">
      <text>
        <r>
          <rPr>
            <b/>
            <sz val="9"/>
            <color indexed="81"/>
            <rFont val="Tahoma"/>
            <family val="2"/>
          </rPr>
          <t>Falorni, Filippo (Research):</t>
        </r>
        <r>
          <rPr>
            <sz val="9"/>
            <color indexed="81"/>
            <rFont val="Tahoma"/>
            <family val="2"/>
          </rPr>
          <t xml:space="preserve">
1 more day</t>
        </r>
      </text>
    </comment>
    <comment ref="BO25" authorId="4">
      <text>
        <r>
          <rPr>
            <b/>
            <sz val="9"/>
            <color indexed="81"/>
            <rFont val="Tahoma"/>
            <family val="2"/>
          </rPr>
          <t>Falorni, Filippo (Research):</t>
        </r>
        <r>
          <rPr>
            <sz val="9"/>
            <color indexed="81"/>
            <rFont val="Tahoma"/>
            <family val="2"/>
          </rPr>
          <t xml:space="preserve">
Accounting change</t>
        </r>
      </text>
    </comment>
    <comment ref="A28" authorId="2">
      <text>
        <r>
          <rPr>
            <b/>
            <sz val="8"/>
            <color indexed="81"/>
            <rFont val="Tahoma"/>
            <family val="2"/>
          </rPr>
          <t>doctobob:</t>
        </r>
        <r>
          <rPr>
            <sz val="8"/>
            <color indexed="81"/>
            <rFont val="Tahoma"/>
            <family val="2"/>
          </rPr>
          <t xml:space="preserve">
Reclassified India and SW Asia from Eurasia&amp;Africa to Pacific as of FY10</t>
        </r>
      </text>
    </comment>
    <comment ref="AM32" authorId="0">
      <text>
        <r>
          <rPr>
            <b/>
            <sz val="8"/>
            <color indexed="81"/>
            <rFont val="Tahoma"/>
            <family val="2"/>
          </rPr>
          <t>grunke:</t>
        </r>
        <r>
          <rPr>
            <sz val="8"/>
            <color indexed="81"/>
            <rFont val="Tahoma"/>
            <family val="2"/>
          </rPr>
          <t xml:space="preserve">
c. 3% acq benefit</t>
        </r>
      </text>
    </comment>
    <comment ref="AN32" authorId="0">
      <text>
        <r>
          <rPr>
            <b/>
            <sz val="8"/>
            <color indexed="81"/>
            <rFont val="Tahoma"/>
            <family val="2"/>
          </rPr>
          <t>grunke:</t>
        </r>
        <r>
          <rPr>
            <sz val="8"/>
            <color indexed="81"/>
            <rFont val="Tahoma"/>
            <family val="2"/>
          </rPr>
          <t xml:space="preserve">
includes Aujan (est. 3% benefit)</t>
        </r>
      </text>
    </comment>
    <comment ref="AP32" authorId="0">
      <text>
        <r>
          <rPr>
            <b/>
            <sz val="8"/>
            <color indexed="81"/>
            <rFont val="Tahoma"/>
            <family val="2"/>
          </rPr>
          <t>grunke:</t>
        </r>
        <r>
          <rPr>
            <sz val="8"/>
            <color indexed="81"/>
            <rFont val="Tahoma"/>
            <family val="2"/>
          </rPr>
          <t xml:space="preserve">
11% ex Aujan</t>
        </r>
      </text>
    </comment>
    <comment ref="AQ32" authorId="1">
      <text>
        <r>
          <rPr>
            <b/>
            <sz val="8"/>
            <color indexed="81"/>
            <rFont val="Tahoma"/>
            <family val="2"/>
          </rPr>
          <t>cruzv:</t>
        </r>
        <r>
          <rPr>
            <sz val="8"/>
            <color indexed="81"/>
            <rFont val="Tahoma"/>
            <family val="2"/>
          </rPr>
          <t xml:space="preserve">
6% excluding Aujan</t>
        </r>
      </text>
    </comment>
    <comment ref="AT32" authorId="1">
      <text>
        <r>
          <rPr>
            <b/>
            <sz val="8"/>
            <color indexed="81"/>
            <rFont val="Tahoma"/>
            <family val="2"/>
          </rPr>
          <t>cruzv:</t>
        </r>
        <r>
          <rPr>
            <sz val="8"/>
            <color indexed="81"/>
            <rFont val="Tahoma"/>
            <family val="2"/>
          </rPr>
          <t xml:space="preserve">
Higher than concentrate sales due to acquisition</t>
        </r>
      </text>
    </comment>
    <comment ref="AJ33" authorId="0">
      <text>
        <r>
          <rPr>
            <b/>
            <sz val="8"/>
            <color indexed="81"/>
            <rFont val="Tahoma"/>
            <family val="2"/>
          </rPr>
          <t>grunke:</t>
        </r>
        <r>
          <rPr>
            <sz val="8"/>
            <color indexed="81"/>
            <rFont val="Tahoma"/>
            <family val="2"/>
          </rPr>
          <t xml:space="preserve">
slightly lagged unit case sales</t>
        </r>
      </text>
    </comment>
    <comment ref="AK33" authorId="0">
      <text>
        <r>
          <rPr>
            <b/>
            <sz val="8"/>
            <color indexed="81"/>
            <rFont val="Tahoma"/>
            <family val="2"/>
          </rPr>
          <t>grunke:</t>
        </r>
        <r>
          <rPr>
            <sz val="8"/>
            <color indexed="81"/>
            <rFont val="Tahoma"/>
            <family val="2"/>
          </rPr>
          <t xml:space="preserve">
ahead of volume growth as cycled lower shipments in PY quarter</t>
        </r>
      </text>
    </comment>
    <comment ref="AS33" authorId="1">
      <text>
        <r>
          <rPr>
            <b/>
            <sz val="8"/>
            <color indexed="81"/>
            <rFont val="Tahoma"/>
            <family val="2"/>
          </rPr>
          <t>cruzv:</t>
        </r>
        <r>
          <rPr>
            <sz val="8"/>
            <color indexed="81"/>
            <rFont val="Tahoma"/>
            <family val="2"/>
          </rPr>
          <t xml:space="preserve">
One more selling day</t>
        </r>
      </text>
    </comment>
    <comment ref="V34" authorId="0">
      <text>
        <r>
          <rPr>
            <b/>
            <sz val="8"/>
            <color indexed="81"/>
            <rFont val="Tahoma"/>
            <family val="2"/>
          </rPr>
          <t>grunke:</t>
        </r>
        <r>
          <rPr>
            <sz val="8"/>
            <color indexed="81"/>
            <rFont val="Tahoma"/>
            <family val="2"/>
          </rPr>
          <t xml:space="preserve">
positive price/mix</t>
        </r>
      </text>
    </comment>
    <comment ref="Y34" authorId="0">
      <text>
        <r>
          <rPr>
            <b/>
            <sz val="8"/>
            <color indexed="81"/>
            <rFont val="Tahoma"/>
            <family val="2"/>
          </rPr>
          <t>grunke:</t>
        </r>
        <r>
          <rPr>
            <sz val="8"/>
            <color indexed="81"/>
            <rFont val="Tahoma"/>
            <family val="2"/>
          </rPr>
          <t xml:space="preserve">
negative price mix and six fewer selling days</t>
        </r>
      </text>
    </comment>
    <comment ref="V35" authorId="0">
      <text>
        <r>
          <rPr>
            <b/>
            <sz val="8"/>
            <color indexed="81"/>
            <rFont val="Tahoma"/>
            <family val="2"/>
          </rPr>
          <t>grunke:</t>
        </r>
        <r>
          <rPr>
            <sz val="8"/>
            <color indexed="81"/>
            <rFont val="Tahoma"/>
            <family val="2"/>
          </rPr>
          <t xml:space="preserve">
DD % negative currency impact </t>
        </r>
      </text>
    </comment>
    <comment ref="L44" authorId="0">
      <text>
        <r>
          <rPr>
            <b/>
            <sz val="8"/>
            <color indexed="81"/>
            <rFont val="Tahoma"/>
            <family val="2"/>
          </rPr>
          <t>grunke:</t>
        </r>
        <r>
          <rPr>
            <sz val="8"/>
            <color indexed="81"/>
            <rFont val="Tahoma"/>
            <family val="2"/>
          </rPr>
          <t xml:space="preserve">
positive price/mix</t>
        </r>
      </text>
    </comment>
    <comment ref="N44" authorId="0">
      <text>
        <r>
          <rPr>
            <b/>
            <sz val="8"/>
            <color indexed="81"/>
            <rFont val="Tahoma"/>
            <family val="2"/>
          </rPr>
          <t>grunke:</t>
        </r>
        <r>
          <rPr>
            <sz val="8"/>
            <color indexed="81"/>
            <rFont val="Tahoma"/>
            <family val="2"/>
          </rPr>
          <t xml:space="preserve">
positive price/mix</t>
        </r>
      </text>
    </comment>
    <comment ref="Q44" authorId="0">
      <text>
        <r>
          <rPr>
            <b/>
            <sz val="8"/>
            <color indexed="81"/>
            <rFont val="Tahoma"/>
            <family val="2"/>
          </rPr>
          <t>grunke:</t>
        </r>
        <r>
          <rPr>
            <sz val="8"/>
            <color indexed="81"/>
            <rFont val="Tahoma"/>
            <family val="2"/>
          </rPr>
          <t xml:space="preserve">
positive pricing/unfavorable country mix</t>
        </r>
      </text>
    </comment>
    <comment ref="R44" authorId="0">
      <text>
        <r>
          <rPr>
            <b/>
            <sz val="8"/>
            <color indexed="81"/>
            <rFont val="Tahoma"/>
            <family val="2"/>
          </rPr>
          <t>grunke:</t>
        </r>
        <r>
          <rPr>
            <sz val="8"/>
            <color indexed="81"/>
            <rFont val="Tahoma"/>
            <family val="2"/>
          </rPr>
          <t xml:space="preserve">
postive price/mix</t>
        </r>
      </text>
    </comment>
    <comment ref="L45" authorId="0">
      <text>
        <r>
          <rPr>
            <b/>
            <sz val="8"/>
            <color indexed="81"/>
            <rFont val="Tahoma"/>
            <family val="2"/>
          </rPr>
          <t>grunke:</t>
        </r>
        <r>
          <rPr>
            <sz val="8"/>
            <color indexed="81"/>
            <rFont val="Tahoma"/>
            <family val="2"/>
          </rPr>
          <t xml:space="preserve">
DD % negative FX </t>
        </r>
      </text>
    </comment>
    <comment ref="M45" authorId="0">
      <text>
        <r>
          <rPr>
            <b/>
            <sz val="8"/>
            <color indexed="81"/>
            <rFont val="Tahoma"/>
            <family val="2"/>
          </rPr>
          <t>grunke:</t>
        </r>
        <r>
          <rPr>
            <sz val="8"/>
            <color indexed="81"/>
            <rFont val="Tahoma"/>
            <family val="2"/>
          </rPr>
          <t xml:space="preserve">
unfavorable DD % FX impact</t>
        </r>
      </text>
    </comment>
    <comment ref="P45" authorId="0">
      <text>
        <r>
          <rPr>
            <b/>
            <sz val="8"/>
            <color indexed="81"/>
            <rFont val="Tahoma"/>
            <family val="2"/>
          </rPr>
          <t>grunke:</t>
        </r>
        <r>
          <rPr>
            <sz val="8"/>
            <color indexed="81"/>
            <rFont val="Tahoma"/>
            <family val="2"/>
          </rPr>
          <t xml:space="preserve">
negative LSD % FX impact</t>
        </r>
      </text>
    </comment>
    <comment ref="Q45" authorId="0">
      <text>
        <r>
          <rPr>
            <b/>
            <sz val="8"/>
            <color indexed="81"/>
            <rFont val="Tahoma"/>
            <family val="2"/>
          </rPr>
          <t>grunke:</t>
        </r>
        <r>
          <rPr>
            <sz val="8"/>
            <color indexed="81"/>
            <rFont val="Tahoma"/>
            <family val="2"/>
          </rPr>
          <t xml:space="preserve">
LSD % FX benefit</t>
        </r>
      </text>
    </comment>
    <comment ref="R45" authorId="0">
      <text>
        <r>
          <rPr>
            <b/>
            <sz val="8"/>
            <color indexed="81"/>
            <rFont val="Tahoma"/>
            <family val="2"/>
          </rPr>
          <t>grunke:</t>
        </r>
        <r>
          <rPr>
            <sz val="8"/>
            <color indexed="81"/>
            <rFont val="Tahoma"/>
            <family val="2"/>
          </rPr>
          <t xml:space="preserve">
slight negative FX</t>
        </r>
      </text>
    </comment>
    <comment ref="L54" authorId="0">
      <text>
        <r>
          <rPr>
            <b/>
            <sz val="8"/>
            <color indexed="81"/>
            <rFont val="Tahoma"/>
            <family val="2"/>
          </rPr>
          <t>grunke:</t>
        </r>
        <r>
          <rPr>
            <sz val="8"/>
            <color indexed="81"/>
            <rFont val="Tahoma"/>
            <family val="2"/>
          </rPr>
          <t xml:space="preserve">
positive price/mix</t>
        </r>
      </text>
    </comment>
    <comment ref="M54" authorId="0">
      <text>
        <r>
          <rPr>
            <b/>
            <sz val="8"/>
            <color indexed="81"/>
            <rFont val="Tahoma"/>
            <family val="2"/>
          </rPr>
          <t>grunke:</t>
        </r>
        <r>
          <rPr>
            <sz val="8"/>
            <color indexed="81"/>
            <rFont val="Tahoma"/>
            <family val="2"/>
          </rPr>
          <t xml:space="preserve">
positive price/mix</t>
        </r>
      </text>
    </comment>
    <comment ref="N54" authorId="0">
      <text>
        <r>
          <rPr>
            <b/>
            <sz val="8"/>
            <color indexed="81"/>
            <rFont val="Tahoma"/>
            <family val="2"/>
          </rPr>
          <t>grunke:</t>
        </r>
        <r>
          <rPr>
            <sz val="8"/>
            <color indexed="81"/>
            <rFont val="Tahoma"/>
            <family val="2"/>
          </rPr>
          <t xml:space="preserve">
positive pricing</t>
        </r>
      </text>
    </comment>
    <comment ref="R54" authorId="0">
      <text>
        <r>
          <rPr>
            <b/>
            <sz val="8"/>
            <color indexed="81"/>
            <rFont val="Tahoma"/>
            <family val="2"/>
          </rPr>
          <t>grunke:</t>
        </r>
        <r>
          <rPr>
            <sz val="8"/>
            <color indexed="81"/>
            <rFont val="Tahoma"/>
            <family val="2"/>
          </rPr>
          <t xml:space="preserve">
positive price/mix</t>
        </r>
      </text>
    </comment>
    <comment ref="L55" authorId="0">
      <text>
        <r>
          <rPr>
            <b/>
            <sz val="8"/>
            <color indexed="81"/>
            <rFont val="Tahoma"/>
            <family val="2"/>
          </rPr>
          <t>grunke:</t>
        </r>
        <r>
          <rPr>
            <sz val="8"/>
            <color indexed="81"/>
            <rFont val="Tahoma"/>
            <family val="2"/>
          </rPr>
          <t xml:space="preserve">
slight favorable FX </t>
        </r>
      </text>
    </comment>
    <comment ref="M55" authorId="0">
      <text>
        <r>
          <rPr>
            <b/>
            <sz val="8"/>
            <color indexed="81"/>
            <rFont val="Tahoma"/>
            <family val="2"/>
          </rPr>
          <t>grunke:</t>
        </r>
        <r>
          <rPr>
            <sz val="8"/>
            <color indexed="81"/>
            <rFont val="Tahoma"/>
            <family val="2"/>
          </rPr>
          <t xml:space="preserve">
positive FX </t>
        </r>
      </text>
    </comment>
    <comment ref="N55" authorId="0">
      <text>
        <r>
          <rPr>
            <b/>
            <sz val="8"/>
            <color indexed="81"/>
            <rFont val="Tahoma"/>
            <family val="2"/>
          </rPr>
          <t>grunke:</t>
        </r>
        <r>
          <rPr>
            <sz val="8"/>
            <color indexed="81"/>
            <rFont val="Tahoma"/>
            <family val="2"/>
          </rPr>
          <t xml:space="preserve">
positive FX </t>
        </r>
      </text>
    </comment>
    <comment ref="Q55" authorId="0">
      <text>
        <r>
          <rPr>
            <b/>
            <sz val="8"/>
            <color indexed="81"/>
            <rFont val="Tahoma"/>
            <family val="2"/>
          </rPr>
          <t>grunke:</t>
        </r>
        <r>
          <rPr>
            <sz val="8"/>
            <color indexed="81"/>
            <rFont val="Tahoma"/>
            <family val="2"/>
          </rPr>
          <t xml:space="preserve">
mid teens FX benefit </t>
        </r>
      </text>
    </comment>
    <comment ref="R55" authorId="0">
      <text>
        <r>
          <rPr>
            <b/>
            <sz val="8"/>
            <color indexed="81"/>
            <rFont val="Tahoma"/>
            <family val="2"/>
          </rPr>
          <t>grunke:</t>
        </r>
        <r>
          <rPr>
            <sz val="8"/>
            <color indexed="81"/>
            <rFont val="Tahoma"/>
            <family val="2"/>
          </rPr>
          <t xml:space="preserve">
HSD % FX benefit</t>
        </r>
      </text>
    </comment>
    <comment ref="M60" authorId="0">
      <text>
        <r>
          <rPr>
            <b/>
            <sz val="8"/>
            <color indexed="81"/>
            <rFont val="Tahoma"/>
            <family val="2"/>
          </rPr>
          <t>grunke:</t>
        </r>
        <r>
          <rPr>
            <sz val="8"/>
            <color indexed="81"/>
            <rFont val="Tahoma"/>
            <family val="2"/>
          </rPr>
          <t xml:space="preserve">
manually adjusted for reporting inconsistency</t>
        </r>
      </text>
    </comment>
    <comment ref="N60" authorId="0">
      <text>
        <r>
          <rPr>
            <b/>
            <sz val="8"/>
            <color indexed="81"/>
            <rFont val="Tahoma"/>
            <family val="2"/>
          </rPr>
          <t>grunke:</t>
        </r>
        <r>
          <rPr>
            <sz val="8"/>
            <color indexed="81"/>
            <rFont val="Tahoma"/>
            <family val="2"/>
          </rPr>
          <t xml:space="preserve">
manually adjusted for reporting inconsistency</t>
        </r>
      </text>
    </comment>
    <comment ref="AP64" authorId="0">
      <text>
        <r>
          <rPr>
            <b/>
            <sz val="8"/>
            <color indexed="81"/>
            <rFont val="Tahoma"/>
            <family val="2"/>
          </rPr>
          <t>grunke:</t>
        </r>
        <r>
          <rPr>
            <sz val="8"/>
            <color indexed="81"/>
            <rFont val="Tahoma"/>
            <family val="2"/>
          </rPr>
          <t xml:space="preserve">
KO press release - in-line with unit cases adj for selling days</t>
        </r>
      </text>
    </comment>
    <comment ref="AQ64" authorId="1">
      <text>
        <r>
          <rPr>
            <b/>
            <sz val="8"/>
            <color indexed="81"/>
            <rFont val="Tahoma"/>
            <family val="2"/>
          </rPr>
          <t>cruzv:</t>
        </r>
        <r>
          <rPr>
            <sz val="8"/>
            <color indexed="81"/>
            <rFont val="Tahoma"/>
            <family val="2"/>
          </rPr>
          <t xml:space="preserve">
Roughly in-line with unit case sales after adjusting for unit case sales w/o concentrate sales equivalents</t>
        </r>
      </text>
    </comment>
    <comment ref="AR64" authorId="1">
      <text>
        <r>
          <rPr>
            <b/>
            <sz val="8"/>
            <color indexed="81"/>
            <rFont val="Tahoma"/>
            <family val="2"/>
          </rPr>
          <t>cruzv:</t>
        </r>
        <r>
          <rPr>
            <sz val="8"/>
            <color indexed="81"/>
            <rFont val="Tahoma"/>
            <family val="2"/>
          </rPr>
          <t xml:space="preserve">
Roughly in-line with unit case sales after adjusting for unit case sales w/o concentrate sales equivalents</t>
        </r>
      </text>
    </comment>
    <comment ref="AS64" authorId="1">
      <text>
        <r>
          <rPr>
            <b/>
            <sz val="8"/>
            <color indexed="81"/>
            <rFont val="Tahoma"/>
            <family val="2"/>
          </rPr>
          <t>cruzv:</t>
        </r>
        <r>
          <rPr>
            <sz val="8"/>
            <color indexed="81"/>
            <rFont val="Tahoma"/>
            <family val="2"/>
          </rPr>
          <t xml:space="preserve">
One more selling day</t>
        </r>
      </text>
    </comment>
    <comment ref="AM65" authorId="0">
      <text>
        <r>
          <rPr>
            <b/>
            <sz val="8"/>
            <color indexed="81"/>
            <rFont val="Tahoma"/>
            <family val="2"/>
          </rPr>
          <t>grunke:</t>
        </r>
        <r>
          <rPr>
            <sz val="8"/>
            <color indexed="81"/>
            <rFont val="Tahoma"/>
            <family val="2"/>
          </rPr>
          <t xml:space="preserve">
Olympics - some promo, but not driver (negative geo with Germany growing)</t>
        </r>
      </text>
    </comment>
    <comment ref="AQ65" authorId="1">
      <text>
        <r>
          <rPr>
            <b/>
            <sz val="8"/>
            <color indexed="81"/>
            <rFont val="Tahoma"/>
            <family val="2"/>
          </rPr>
          <t>cruzv:</t>
        </r>
        <r>
          <rPr>
            <sz val="8"/>
            <color indexed="81"/>
            <rFont val="Tahoma"/>
            <family val="2"/>
          </rPr>
          <t xml:space="preserve">
Innocent acq boosting pricing</t>
        </r>
      </text>
    </comment>
    <comment ref="AR65" authorId="1">
      <text>
        <r>
          <rPr>
            <b/>
            <sz val="8"/>
            <color indexed="81"/>
            <rFont val="Tahoma"/>
            <family val="2"/>
          </rPr>
          <t>cruzv:</t>
        </r>
        <r>
          <rPr>
            <sz val="8"/>
            <color indexed="81"/>
            <rFont val="Tahoma"/>
            <family val="2"/>
          </rPr>
          <t xml:space="preserve">
Innocent acq boosting pricing (by a couple of points)</t>
        </r>
      </text>
    </comment>
    <comment ref="AS65" authorId="1">
      <text>
        <r>
          <rPr>
            <b/>
            <sz val="8"/>
            <color indexed="81"/>
            <rFont val="Tahoma"/>
            <family val="2"/>
          </rPr>
          <t>cruzv:</t>
        </r>
        <r>
          <rPr>
            <sz val="8"/>
            <color indexed="81"/>
            <rFont val="Tahoma"/>
            <family val="2"/>
          </rPr>
          <t xml:space="preserve">
Innocent acq boosting pricing</t>
        </r>
      </text>
    </comment>
    <comment ref="AU65" authorId="1">
      <text>
        <r>
          <rPr>
            <b/>
            <sz val="8"/>
            <color indexed="81"/>
            <rFont val="Tahoma"/>
            <family val="2"/>
          </rPr>
          <t>cruzv:</t>
        </r>
        <r>
          <rPr>
            <sz val="8"/>
            <color indexed="81"/>
            <rFont val="Tahoma"/>
            <family val="2"/>
          </rPr>
          <t xml:space="preserve">
Innocent acq boosting pricing by 7%</t>
        </r>
      </text>
    </comment>
    <comment ref="AV65" authorId="5">
      <text>
        <r>
          <rPr>
            <b/>
            <sz val="9"/>
            <color indexed="81"/>
            <rFont val="Tahoma"/>
            <family val="2"/>
          </rPr>
          <t>Doctor, Bob (Research):</t>
        </r>
        <r>
          <rPr>
            <sz val="9"/>
            <color indexed="81"/>
            <rFont val="Tahoma"/>
            <family val="2"/>
          </rPr>
          <t xml:space="preserve">
+2% Innocent boost </t>
        </r>
      </text>
    </comment>
    <comment ref="AP66" authorId="0">
      <text>
        <r>
          <rPr>
            <b/>
            <sz val="8"/>
            <color indexed="81"/>
            <rFont val="Tahoma"/>
            <family val="2"/>
          </rPr>
          <t>grunke:</t>
        </r>
        <r>
          <rPr>
            <sz val="8"/>
            <color indexed="81"/>
            <rFont val="Tahoma"/>
            <family val="2"/>
          </rPr>
          <t xml:space="preserve">
KO - 'minimal impact'</t>
        </r>
      </text>
    </comment>
    <comment ref="T75" authorId="0">
      <text>
        <r>
          <rPr>
            <b/>
            <sz val="8"/>
            <color indexed="81"/>
            <rFont val="Tahoma"/>
            <family val="2"/>
          </rPr>
          <t>grunke:</t>
        </r>
        <r>
          <rPr>
            <sz val="8"/>
            <color indexed="81"/>
            <rFont val="Tahoma"/>
            <family val="2"/>
          </rPr>
          <t xml:space="preserve">
1 pt due to acquistion</t>
        </r>
      </text>
    </comment>
    <comment ref="U75" authorId="0">
      <text>
        <r>
          <rPr>
            <b/>
            <sz val="8"/>
            <color indexed="81"/>
            <rFont val="Tahoma"/>
            <family val="2"/>
          </rPr>
          <t>grunke:</t>
        </r>
        <r>
          <rPr>
            <sz val="8"/>
            <color indexed="81"/>
            <rFont val="Tahoma"/>
            <family val="2"/>
          </rPr>
          <t xml:space="preserve">
3pts due to acquistion</t>
        </r>
      </text>
    </comment>
    <comment ref="BK75" authorId="4">
      <text>
        <r>
          <rPr>
            <b/>
            <sz val="9"/>
            <color indexed="81"/>
            <rFont val="Tahoma"/>
            <family val="2"/>
          </rPr>
          <t>Falorni, Filippo (Research):</t>
        </r>
        <r>
          <rPr>
            <sz val="9"/>
            <color indexed="81"/>
            <rFont val="Tahoma"/>
            <family val="2"/>
          </rPr>
          <t xml:space="preserve">
Easter moved into 2Q vs. 1Q last year</t>
        </r>
      </text>
    </comment>
    <comment ref="AP76" authorId="0">
      <text>
        <r>
          <rPr>
            <b/>
            <sz val="8"/>
            <color indexed="81"/>
            <rFont val="Tahoma"/>
            <family val="2"/>
          </rPr>
          <t>grunke:</t>
        </r>
        <r>
          <rPr>
            <sz val="8"/>
            <color indexed="81"/>
            <rFont val="Tahoma"/>
            <family val="2"/>
          </rPr>
          <t xml:space="preserve">
in-line with unit cases adj for two fewer selling days</t>
        </r>
      </text>
    </comment>
    <comment ref="AR76" authorId="1">
      <text>
        <r>
          <rPr>
            <b/>
            <sz val="8"/>
            <color indexed="81"/>
            <rFont val="Tahoma"/>
            <family val="2"/>
          </rPr>
          <t>cruzv:</t>
        </r>
        <r>
          <rPr>
            <sz val="8"/>
            <color indexed="81"/>
            <rFont val="Tahoma"/>
            <family val="2"/>
          </rPr>
          <t xml:space="preserve">
Concentrate sales in the quarter lagged unit case sales primarily due to the timing of shipments</t>
        </r>
      </text>
    </comment>
    <comment ref="AS76" authorId="1">
      <text>
        <r>
          <rPr>
            <b/>
            <sz val="8"/>
            <color indexed="81"/>
            <rFont val="Tahoma"/>
            <family val="2"/>
          </rPr>
          <t>cruzv:</t>
        </r>
        <r>
          <rPr>
            <sz val="8"/>
            <color indexed="81"/>
            <rFont val="Tahoma"/>
            <family val="2"/>
          </rPr>
          <t xml:space="preserve">
One more selling day and reversal of shipment timing from Q3</t>
        </r>
      </text>
    </comment>
    <comment ref="BM76" authorId="4">
      <text>
        <r>
          <rPr>
            <b/>
            <sz val="9"/>
            <color indexed="81"/>
            <rFont val="Tahoma"/>
            <family val="2"/>
          </rPr>
          <t>Falorni, Filippo (Research):</t>
        </r>
        <r>
          <rPr>
            <sz val="9"/>
            <color indexed="81"/>
            <rFont val="Tahoma"/>
            <family val="2"/>
          </rPr>
          <t xml:space="preserve">
1 more day</t>
        </r>
      </text>
    </comment>
    <comment ref="BO76" authorId="4">
      <text>
        <r>
          <rPr>
            <b/>
            <sz val="9"/>
            <color indexed="81"/>
            <rFont val="Tahoma"/>
            <family val="2"/>
          </rPr>
          <t>Falorni, Filippo (Research):</t>
        </r>
        <r>
          <rPr>
            <sz val="9"/>
            <color indexed="81"/>
            <rFont val="Tahoma"/>
            <family val="2"/>
          </rPr>
          <t xml:space="preserve">
1 less day</t>
        </r>
      </text>
    </comment>
    <comment ref="BR76" authorId="4">
      <text>
        <r>
          <rPr>
            <b/>
            <sz val="9"/>
            <color indexed="81"/>
            <rFont val="Tahoma"/>
            <family val="2"/>
          </rPr>
          <t>Falorni, Filippo (Research):</t>
        </r>
        <r>
          <rPr>
            <sz val="9"/>
            <color indexed="81"/>
            <rFont val="Tahoma"/>
            <family val="2"/>
          </rPr>
          <t xml:space="preserve">
1 more day</t>
        </r>
      </text>
    </comment>
    <comment ref="BP77" authorId="4">
      <text>
        <r>
          <rPr>
            <b/>
            <sz val="9"/>
            <color indexed="81"/>
            <rFont val="Tahoma"/>
            <family val="2"/>
          </rPr>
          <t>Falorni, Filippo (Research):</t>
        </r>
        <r>
          <rPr>
            <sz val="9"/>
            <color indexed="81"/>
            <rFont val="Tahoma"/>
            <family val="2"/>
          </rPr>
          <t xml:space="preserve">
Incidence Price Increase in Mexico in June of 2018</t>
        </r>
      </text>
    </comment>
    <comment ref="AA79" authorId="0">
      <text>
        <r>
          <rPr>
            <b/>
            <sz val="8"/>
            <color indexed="81"/>
            <rFont val="Tahoma"/>
            <family val="2"/>
          </rPr>
          <t>grunke:</t>
        </r>
        <r>
          <rPr>
            <sz val="8"/>
            <color indexed="81"/>
            <rFont val="Tahoma"/>
            <family val="2"/>
          </rPr>
          <t xml:space="preserve">
deconsolidation of certain entities </t>
        </r>
      </text>
    </comment>
    <comment ref="AB79" authorId="0">
      <text>
        <r>
          <rPr>
            <b/>
            <sz val="8"/>
            <color indexed="81"/>
            <rFont val="Tahoma"/>
            <family val="2"/>
          </rPr>
          <t>grunke:</t>
        </r>
        <r>
          <rPr>
            <sz val="8"/>
            <color indexed="81"/>
            <rFont val="Tahoma"/>
            <family val="2"/>
          </rPr>
          <t xml:space="preserve">
deconsolidation of certain entities </t>
        </r>
      </text>
    </comment>
    <comment ref="AF79" authorId="0">
      <text>
        <r>
          <rPr>
            <b/>
            <sz val="8"/>
            <color indexed="81"/>
            <rFont val="Tahoma"/>
            <family val="2"/>
          </rPr>
          <t>grunke:</t>
        </r>
        <r>
          <rPr>
            <sz val="8"/>
            <color indexed="81"/>
            <rFont val="Tahoma"/>
            <family val="2"/>
          </rPr>
          <t xml:space="preserve">
deconsolidated in Q3 2010</t>
        </r>
      </text>
    </comment>
    <comment ref="BO79" authorId="4">
      <text>
        <r>
          <rPr>
            <b/>
            <sz val="9"/>
            <color indexed="81"/>
            <rFont val="Tahoma"/>
            <family val="2"/>
          </rPr>
          <t>Falorni, Filippo (Research):</t>
        </r>
        <r>
          <rPr>
            <sz val="9"/>
            <color indexed="81"/>
            <rFont val="Tahoma"/>
            <family val="2"/>
          </rPr>
          <t xml:space="preserve">
Accounting changes</t>
        </r>
      </text>
    </comment>
    <comment ref="Q86" authorId="0">
      <text>
        <r>
          <rPr>
            <b/>
            <sz val="8"/>
            <color indexed="81"/>
            <rFont val="Tahoma"/>
            <family val="2"/>
          </rPr>
          <t>grunke:</t>
        </r>
        <r>
          <rPr>
            <sz val="8"/>
            <color indexed="81"/>
            <rFont val="Tahoma"/>
            <family val="2"/>
          </rPr>
          <t xml:space="preserve">
Retail unit case volume increased 2 percent,
including a benefit from acquisitions, and Foodservice and Hospitality declined 4
percent, reflecting the challenging foodservice industry environment.</t>
        </r>
      </text>
    </comment>
    <comment ref="R86" authorId="0">
      <text>
        <r>
          <rPr>
            <b/>
            <sz val="8"/>
            <color indexed="81"/>
            <rFont val="Tahoma"/>
            <family val="2"/>
          </rPr>
          <t>grunke:</t>
        </r>
        <r>
          <rPr>
            <sz val="8"/>
            <color indexed="81"/>
            <rFont val="Tahoma"/>
            <family val="2"/>
          </rPr>
          <t xml:space="preserve">
Retail unit case volume increased 1 percent, including a
benefit from acquisitions, and Foodservice and Hospitality declined 3 percent,
reflecting the continued challenging foodservice industry environment.</t>
        </r>
      </text>
    </comment>
    <comment ref="S86" authorId="0">
      <text>
        <r>
          <rPr>
            <b/>
            <sz val="8"/>
            <color indexed="81"/>
            <rFont val="Tahoma"/>
            <family val="2"/>
          </rPr>
          <t>grunke:</t>
        </r>
        <r>
          <rPr>
            <sz val="8"/>
            <color indexed="81"/>
            <rFont val="Tahoma"/>
            <family val="2"/>
          </rPr>
          <t xml:space="preserve">
Retail unit case volume declined 1 percent and
Foodservice and Hospitality declined 3 percent.</t>
        </r>
      </text>
    </comment>
    <comment ref="T86" authorId="0">
      <text>
        <r>
          <rPr>
            <b/>
            <sz val="8"/>
            <color indexed="81"/>
            <rFont val="Tahoma"/>
            <family val="2"/>
          </rPr>
          <t>grunke:</t>
        </r>
        <r>
          <rPr>
            <sz val="8"/>
            <color indexed="81"/>
            <rFont val="Tahoma"/>
            <family val="2"/>
          </rPr>
          <t xml:space="preserve">
Retail unit case volume declined 4 percent, while Foodservice and Hospitality increased 1
percent.</t>
        </r>
      </text>
    </comment>
    <comment ref="U86" authorId="0">
      <text>
        <r>
          <rPr>
            <b/>
            <sz val="8"/>
            <color indexed="81"/>
            <rFont val="Tahoma"/>
            <family val="2"/>
          </rPr>
          <t>grunke:</t>
        </r>
        <r>
          <rPr>
            <sz val="8"/>
            <color indexed="81"/>
            <rFont val="Tahoma"/>
            <family val="2"/>
          </rPr>
          <t xml:space="preserve">
includes a 1 pt benefit from acquisition</t>
        </r>
      </text>
    </comment>
    <comment ref="V86" authorId="0">
      <text>
        <r>
          <rPr>
            <b/>
            <sz val="8"/>
            <color indexed="81"/>
            <rFont val="Tahoma"/>
            <family val="2"/>
          </rPr>
          <t>grunke:</t>
        </r>
        <r>
          <rPr>
            <sz val="8"/>
            <color indexed="81"/>
            <rFont val="Tahoma"/>
            <family val="2"/>
          </rPr>
          <t xml:space="preserve">
Retail unit case volume declined 4 percent, while Foodservice and Hospitality increased 3 percent.</t>
        </r>
      </text>
    </comment>
    <comment ref="AD86" authorId="0">
      <text>
        <r>
          <rPr>
            <b/>
            <sz val="8"/>
            <color indexed="81"/>
            <rFont val="Tahoma"/>
            <family val="2"/>
          </rPr>
          <t>grunke:</t>
        </r>
        <r>
          <rPr>
            <sz val="8"/>
            <color indexed="81"/>
            <rFont val="Tahoma"/>
            <family val="2"/>
          </rPr>
          <t xml:space="preserve">
8% including including DPS brands</t>
        </r>
      </text>
    </comment>
    <comment ref="AE86" authorId="0">
      <text>
        <r>
          <rPr>
            <b/>
            <sz val="8"/>
            <color indexed="81"/>
            <rFont val="Tahoma"/>
            <family val="2"/>
          </rPr>
          <t>grunke:</t>
        </r>
        <r>
          <rPr>
            <sz val="8"/>
            <color indexed="81"/>
            <rFont val="Tahoma"/>
            <family val="2"/>
          </rPr>
          <t xml:space="preserve">
2% including DPS brands</t>
        </r>
      </text>
    </comment>
    <comment ref="AF86" authorId="0">
      <text>
        <r>
          <rPr>
            <b/>
            <sz val="8"/>
            <color indexed="81"/>
            <rFont val="Tahoma"/>
            <family val="2"/>
          </rPr>
          <t>grunke:</t>
        </r>
        <r>
          <rPr>
            <sz val="8"/>
            <color indexed="81"/>
            <rFont val="Tahoma"/>
            <family val="2"/>
          </rPr>
          <t xml:space="preserve">
6% including cross-licensed brands</t>
        </r>
      </text>
    </comment>
    <comment ref="AH86" authorId="0">
      <text>
        <r>
          <rPr>
            <b/>
            <sz val="8"/>
            <color indexed="81"/>
            <rFont val="Tahoma"/>
            <family val="2"/>
          </rPr>
          <t>grunke:</t>
        </r>
        <r>
          <rPr>
            <sz val="8"/>
            <color indexed="81"/>
            <rFont val="Tahoma"/>
            <family val="2"/>
          </rPr>
          <t xml:space="preserve">
5% including cross-licensed brands</t>
        </r>
      </text>
    </comment>
    <comment ref="AJ86" authorId="0">
      <text>
        <r>
          <rPr>
            <b/>
            <sz val="8"/>
            <color indexed="81"/>
            <rFont val="Tahoma"/>
            <family val="2"/>
          </rPr>
          <t>grunke:</t>
        </r>
        <r>
          <rPr>
            <sz val="8"/>
            <color indexed="81"/>
            <rFont val="Tahoma"/>
            <family val="2"/>
          </rPr>
          <t xml:space="preserve">
4% including cross-licensed brands</t>
        </r>
      </text>
    </comment>
    <comment ref="AK86" authorId="0">
      <text>
        <r>
          <rPr>
            <b/>
            <sz val="8"/>
            <color indexed="81"/>
            <rFont val="Tahoma"/>
            <family val="2"/>
          </rPr>
          <t>grunke:</t>
        </r>
        <r>
          <rPr>
            <sz val="8"/>
            <color indexed="81"/>
            <rFont val="Tahoma"/>
            <family val="2"/>
          </rPr>
          <t xml:space="preserve">
excludes impact from one less selling day
1% 'as reported'</t>
        </r>
      </text>
    </comment>
    <comment ref="AN86" authorId="0">
      <text>
        <r>
          <rPr>
            <b/>
            <sz val="8"/>
            <color indexed="81"/>
            <rFont val="Tahoma"/>
            <family val="2"/>
          </rPr>
          <t>grunke:</t>
        </r>
        <r>
          <rPr>
            <sz val="8"/>
            <color indexed="81"/>
            <rFont val="Tahoma"/>
            <family val="2"/>
          </rPr>
          <t xml:space="preserve">
excludes favorable impact from two more selling days</t>
        </r>
      </text>
    </comment>
    <comment ref="AO86" authorId="0">
      <text>
        <r>
          <rPr>
            <b/>
            <sz val="8"/>
            <color indexed="81"/>
            <rFont val="Tahoma"/>
            <family val="2"/>
          </rPr>
          <t>grunke:</t>
        </r>
        <r>
          <rPr>
            <sz val="8"/>
            <color indexed="81"/>
            <rFont val="Tahoma"/>
            <family val="2"/>
          </rPr>
          <t xml:space="preserve">
excludes impact from one extra selling day</t>
        </r>
      </text>
    </comment>
    <comment ref="AP86" authorId="0">
      <text>
        <r>
          <rPr>
            <b/>
            <sz val="8"/>
            <color indexed="81"/>
            <rFont val="Tahoma"/>
            <family val="2"/>
          </rPr>
          <t>grunke:</t>
        </r>
        <r>
          <rPr>
            <sz val="8"/>
            <color indexed="81"/>
            <rFont val="Tahoma"/>
            <family val="2"/>
          </rPr>
          <t xml:space="preserve">
ex 2 less selling days</t>
        </r>
      </text>
    </comment>
    <comment ref="AS86" authorId="0">
      <text>
        <r>
          <rPr>
            <b/>
            <sz val="8"/>
            <color indexed="81"/>
            <rFont val="Tahoma"/>
            <family val="2"/>
          </rPr>
          <t>grunke:</t>
        </r>
        <r>
          <rPr>
            <sz val="8"/>
            <color indexed="81"/>
            <rFont val="Tahoma"/>
            <family val="2"/>
          </rPr>
          <t xml:space="preserve">
ex 1 less selling day</t>
        </r>
      </text>
    </comment>
    <comment ref="AG87" authorId="0">
      <text>
        <r>
          <rPr>
            <b/>
            <sz val="8"/>
            <color indexed="81"/>
            <rFont val="Tahoma"/>
            <family val="2"/>
          </rPr>
          <t>grunke:</t>
        </r>
        <r>
          <rPr>
            <sz val="8"/>
            <color indexed="81"/>
            <rFont val="Tahoma"/>
            <family val="2"/>
          </rPr>
          <t xml:space="preserve">
includes cross licensed brands</t>
        </r>
      </text>
    </comment>
    <comment ref="AH87" authorId="0">
      <text>
        <r>
          <rPr>
            <b/>
            <sz val="8"/>
            <color indexed="81"/>
            <rFont val="Tahoma"/>
            <family val="2"/>
          </rPr>
          <t>grunke:</t>
        </r>
        <r>
          <rPr>
            <sz val="8"/>
            <color indexed="81"/>
            <rFont val="Tahoma"/>
            <family val="2"/>
          </rPr>
          <t xml:space="preserve">
includes cross licensed brands</t>
        </r>
      </text>
    </comment>
    <comment ref="AI87" authorId="0">
      <text>
        <r>
          <rPr>
            <b/>
            <sz val="8"/>
            <color indexed="81"/>
            <rFont val="Tahoma"/>
            <family val="2"/>
          </rPr>
          <t>grunke:</t>
        </r>
        <r>
          <rPr>
            <sz val="8"/>
            <color indexed="81"/>
            <rFont val="Tahoma"/>
            <family val="2"/>
          </rPr>
          <t xml:space="preserve">
includes benefit of one extra selling day</t>
        </r>
      </text>
    </comment>
    <comment ref="AN87" authorId="0">
      <text>
        <r>
          <rPr>
            <b/>
            <sz val="8"/>
            <color indexed="81"/>
            <rFont val="Tahoma"/>
            <family val="2"/>
          </rPr>
          <t>grunke:</t>
        </r>
        <r>
          <rPr>
            <sz val="8"/>
            <color indexed="81"/>
            <rFont val="Tahoma"/>
            <family val="2"/>
          </rPr>
          <t xml:space="preserve">
includes ~2 pt benefit from 2 extra selling days</t>
        </r>
      </text>
    </comment>
    <comment ref="AO87" authorId="0">
      <text>
        <r>
          <rPr>
            <b/>
            <sz val="8"/>
            <color indexed="81"/>
            <rFont val="Tahoma"/>
            <family val="2"/>
          </rPr>
          <t>grunke:</t>
        </r>
        <r>
          <rPr>
            <sz val="8"/>
            <color indexed="81"/>
            <rFont val="Tahoma"/>
            <family val="2"/>
          </rPr>
          <t xml:space="preserve">
includes 1 extra selling day</t>
        </r>
      </text>
    </comment>
    <comment ref="AP87" authorId="0">
      <text>
        <r>
          <rPr>
            <b/>
            <sz val="8"/>
            <color indexed="81"/>
            <rFont val="Tahoma"/>
            <family val="2"/>
          </rPr>
          <t>grunke:</t>
        </r>
        <r>
          <rPr>
            <sz val="8"/>
            <color indexed="81"/>
            <rFont val="Tahoma"/>
            <family val="2"/>
          </rPr>
          <t xml:space="preserve">
2 less selling days</t>
        </r>
      </text>
    </comment>
    <comment ref="AS87" authorId="0">
      <text>
        <r>
          <rPr>
            <b/>
            <sz val="8"/>
            <color indexed="81"/>
            <rFont val="Tahoma"/>
            <family val="2"/>
          </rPr>
          <t>grunke:</t>
        </r>
        <r>
          <rPr>
            <sz val="8"/>
            <color indexed="81"/>
            <rFont val="Tahoma"/>
            <family val="2"/>
          </rPr>
          <t xml:space="preserve">
1 more selling day</t>
        </r>
      </text>
    </comment>
    <comment ref="L88" authorId="0">
      <text>
        <r>
          <rPr>
            <b/>
            <sz val="8"/>
            <color indexed="81"/>
            <rFont val="Tahoma"/>
            <family val="2"/>
          </rPr>
          <t>grunke:</t>
        </r>
        <r>
          <rPr>
            <sz val="8"/>
            <color indexed="81"/>
            <rFont val="Tahoma"/>
            <family val="2"/>
          </rPr>
          <t xml:space="preserve">
positive pricing and a mix benefit from strong sales of energy drinks and Powerade</t>
        </r>
      </text>
    </comment>
    <comment ref="AK90" authorId="0">
      <text>
        <r>
          <rPr>
            <b/>
            <sz val="8"/>
            <color indexed="81"/>
            <rFont val="Tahoma"/>
            <family val="2"/>
          </rPr>
          <t>grunke:</t>
        </r>
        <r>
          <rPr>
            <sz val="8"/>
            <color indexed="81"/>
            <rFont val="Tahoma"/>
            <family val="2"/>
          </rPr>
          <t xml:space="preserve">
acq of Great Plains Bottling Co</t>
        </r>
      </text>
    </comment>
    <comment ref="BK97" authorId="4">
      <text>
        <r>
          <rPr>
            <b/>
            <sz val="9"/>
            <color indexed="81"/>
            <rFont val="Tahoma"/>
            <family val="2"/>
          </rPr>
          <t>Falorni, Filippo (Research):</t>
        </r>
        <r>
          <rPr>
            <sz val="9"/>
            <color indexed="81"/>
            <rFont val="Tahoma"/>
            <family val="2"/>
          </rPr>
          <t xml:space="preserve">
Easter moved into 2Q vs. 1Q last year </t>
        </r>
      </text>
    </comment>
    <comment ref="BM98" authorId="4">
      <text>
        <r>
          <rPr>
            <b/>
            <sz val="9"/>
            <color indexed="81"/>
            <rFont val="Tahoma"/>
            <family val="2"/>
          </rPr>
          <t>Falorni, Filippo (Research):</t>
        </r>
        <r>
          <rPr>
            <sz val="9"/>
            <color indexed="81"/>
            <rFont val="Tahoma"/>
            <family val="2"/>
          </rPr>
          <t xml:space="preserve">
1 more day</t>
        </r>
      </text>
    </comment>
    <comment ref="BR98" authorId="4">
      <text>
        <r>
          <rPr>
            <b/>
            <sz val="9"/>
            <color indexed="81"/>
            <rFont val="Tahoma"/>
            <family val="2"/>
          </rPr>
          <t>Falorni, Filippo (Research):</t>
        </r>
        <r>
          <rPr>
            <sz val="9"/>
            <color indexed="81"/>
            <rFont val="Tahoma"/>
            <family val="2"/>
          </rPr>
          <t xml:space="preserve">
1 more day</t>
        </r>
      </text>
    </comment>
    <comment ref="BO99" authorId="4">
      <text>
        <r>
          <rPr>
            <b/>
            <sz val="9"/>
            <color indexed="81"/>
            <rFont val="Tahoma"/>
            <family val="2"/>
          </rPr>
          <t>Falorni, Filippo (Research):</t>
        </r>
        <r>
          <rPr>
            <sz val="9"/>
            <color indexed="81"/>
            <rFont val="Tahoma"/>
            <family val="2"/>
          </rPr>
          <t xml:space="preserve">
-1.4% impact from freight</t>
        </r>
      </text>
    </comment>
    <comment ref="BP99" authorId="4">
      <text>
        <r>
          <rPr>
            <sz val="9"/>
            <color indexed="81"/>
            <rFont val="Tahoma"/>
            <family val="2"/>
          </rPr>
          <t>G at 1Q18 (IR): Positive Price/Mix in NA starting in Q2</t>
        </r>
      </text>
    </comment>
    <comment ref="BS99" authorId="4">
      <text>
        <r>
          <rPr>
            <b/>
            <sz val="9"/>
            <color indexed="81"/>
            <rFont val="Tahoma"/>
            <family val="2"/>
          </rPr>
          <t>Falorni, Filippo (Research):</t>
        </r>
        <r>
          <rPr>
            <sz val="9"/>
            <color indexed="81"/>
            <rFont val="Tahoma"/>
            <family val="2"/>
          </rPr>
          <t xml:space="preserve">
1% headwind to NA price/mix (reported) from freight</t>
        </r>
      </text>
    </comment>
    <comment ref="BO101" authorId="4">
      <text>
        <r>
          <rPr>
            <b/>
            <sz val="9"/>
            <color indexed="81"/>
            <rFont val="Tahoma"/>
            <family val="2"/>
          </rPr>
          <t>Falorni, Filippo (Research):</t>
        </r>
        <r>
          <rPr>
            <sz val="9"/>
            <color indexed="81"/>
            <rFont val="Tahoma"/>
            <family val="2"/>
          </rPr>
          <t xml:space="preserve">
Accounting change +11%
Structural -1%</t>
        </r>
      </text>
    </comment>
    <comment ref="A104" authorId="2">
      <text>
        <r>
          <rPr>
            <b/>
            <sz val="8"/>
            <color indexed="81"/>
            <rFont val="Tahoma"/>
            <family val="2"/>
          </rPr>
          <t>doctobob:</t>
        </r>
        <r>
          <rPr>
            <sz val="8"/>
            <color indexed="81"/>
            <rFont val="Tahoma"/>
            <family val="2"/>
          </rPr>
          <t xml:space="preserve">
Reclassified India and SW Asia from Eurasia&amp;Africa to Pacific as of FY10</t>
        </r>
      </text>
    </comment>
    <comment ref="M105" authorId="0">
      <text>
        <r>
          <rPr>
            <b/>
            <sz val="8"/>
            <color indexed="81"/>
            <rFont val="Tahoma"/>
            <family val="2"/>
          </rPr>
          <t>grunke:</t>
        </r>
        <r>
          <rPr>
            <sz val="8"/>
            <color indexed="81"/>
            <rFont val="Tahoma"/>
            <family val="2"/>
          </rPr>
          <t xml:space="preserve">
manually adjusted for reporting inconsistency</t>
        </r>
      </text>
    </comment>
    <comment ref="N105" authorId="0">
      <text>
        <r>
          <rPr>
            <b/>
            <sz val="8"/>
            <color indexed="81"/>
            <rFont val="Tahoma"/>
            <family val="2"/>
          </rPr>
          <t>grunke:</t>
        </r>
        <r>
          <rPr>
            <sz val="8"/>
            <color indexed="81"/>
            <rFont val="Tahoma"/>
            <family val="2"/>
          </rPr>
          <t xml:space="preserve">
manually adjusted for reporting inconsistency</t>
        </r>
      </text>
    </comment>
    <comment ref="AP109" authorId="0">
      <text>
        <r>
          <rPr>
            <b/>
            <sz val="8"/>
            <color indexed="81"/>
            <rFont val="Tahoma"/>
            <family val="2"/>
          </rPr>
          <t>grunke:</t>
        </r>
        <r>
          <rPr>
            <sz val="8"/>
            <color indexed="81"/>
            <rFont val="Tahoma"/>
            <family val="2"/>
          </rPr>
          <t xml:space="preserve">
benefit from Chinese New Year</t>
        </r>
      </text>
    </comment>
    <comment ref="AQ109" authorId="1">
      <text>
        <r>
          <rPr>
            <b/>
            <sz val="8"/>
            <color indexed="81"/>
            <rFont val="Tahoma"/>
            <family val="2"/>
          </rPr>
          <t>cruzv:</t>
        </r>
        <r>
          <rPr>
            <sz val="8"/>
            <color indexed="81"/>
            <rFont val="Tahoma"/>
            <family val="2"/>
          </rPr>
          <t xml:space="preserve">
Concentrate sales were ahead of unit case growth due to timing in China</t>
        </r>
      </text>
    </comment>
    <comment ref="AR109" authorId="1">
      <text>
        <r>
          <rPr>
            <b/>
            <sz val="8"/>
            <color indexed="81"/>
            <rFont val="Tahoma"/>
            <family val="2"/>
          </rPr>
          <t>cruzv:</t>
        </r>
        <r>
          <rPr>
            <sz val="8"/>
            <color indexed="81"/>
            <rFont val="Tahoma"/>
            <family val="2"/>
          </rPr>
          <t xml:space="preserve">
Concentrate sales were ahead of unit case growth due to timing, primarily in China and Japan</t>
        </r>
      </text>
    </comment>
    <comment ref="AS109" authorId="1">
      <text>
        <r>
          <rPr>
            <b/>
            <sz val="8"/>
            <color indexed="81"/>
            <rFont val="Tahoma"/>
            <family val="2"/>
          </rPr>
          <t>cruzv:</t>
        </r>
        <r>
          <rPr>
            <sz val="8"/>
            <color indexed="81"/>
            <rFont val="Tahoma"/>
            <family val="2"/>
          </rPr>
          <t xml:space="preserve">
timing shift reversal</t>
        </r>
      </text>
    </comment>
    <comment ref="AT109" authorId="1">
      <text>
        <r>
          <rPr>
            <b/>
            <sz val="8"/>
            <color indexed="81"/>
            <rFont val="Tahoma"/>
            <family val="2"/>
          </rPr>
          <t>cruzv:</t>
        </r>
        <r>
          <rPr>
            <sz val="8"/>
            <color indexed="81"/>
            <rFont val="Tahoma"/>
            <family val="2"/>
          </rPr>
          <t xml:space="preserve">
Expected to be in-line with unit case sales</t>
        </r>
      </text>
    </comment>
    <comment ref="BM109" authorId="4">
      <text>
        <r>
          <rPr>
            <b/>
            <sz val="9"/>
            <color indexed="81"/>
            <rFont val="Tahoma"/>
            <family val="2"/>
          </rPr>
          <t>Falorni, Filippo (Research):</t>
        </r>
        <r>
          <rPr>
            <sz val="9"/>
            <color indexed="81"/>
            <rFont val="Tahoma"/>
            <family val="2"/>
          </rPr>
          <t xml:space="preserve">
1 more day</t>
        </r>
      </text>
    </comment>
    <comment ref="BR109" authorId="4">
      <text>
        <r>
          <rPr>
            <b/>
            <sz val="9"/>
            <color indexed="81"/>
            <rFont val="Tahoma"/>
            <family val="2"/>
          </rPr>
          <t>Falorni, Filippo (Research):</t>
        </r>
        <r>
          <rPr>
            <sz val="9"/>
            <color indexed="81"/>
            <rFont val="Tahoma"/>
            <family val="2"/>
          </rPr>
          <t xml:space="preserve">
1 more day</t>
        </r>
      </text>
    </comment>
    <comment ref="M110" authorId="0">
      <text>
        <r>
          <rPr>
            <b/>
            <sz val="8"/>
            <color indexed="81"/>
            <rFont val="Tahoma"/>
            <family val="2"/>
          </rPr>
          <t>grunke:</t>
        </r>
        <r>
          <rPr>
            <sz val="8"/>
            <color indexed="81"/>
            <rFont val="Tahoma"/>
            <family val="2"/>
          </rPr>
          <t xml:space="preserve">
unfavorable coutnry mix, positive pricing </t>
        </r>
      </text>
    </comment>
    <comment ref="N110" authorId="0">
      <text>
        <r>
          <rPr>
            <b/>
            <sz val="8"/>
            <color indexed="81"/>
            <rFont val="Tahoma"/>
            <family val="2"/>
          </rPr>
          <t>grunke:</t>
        </r>
        <r>
          <rPr>
            <sz val="8"/>
            <color indexed="81"/>
            <rFont val="Tahoma"/>
            <family val="2"/>
          </rPr>
          <t xml:space="preserve">
unfavorable coutnry mix, positive pricing </t>
        </r>
      </text>
    </comment>
    <comment ref="R110" authorId="0">
      <text>
        <r>
          <rPr>
            <b/>
            <sz val="8"/>
            <color indexed="81"/>
            <rFont val="Tahoma"/>
            <family val="2"/>
          </rPr>
          <t>grunke:</t>
        </r>
        <r>
          <rPr>
            <sz val="8"/>
            <color indexed="81"/>
            <rFont val="Tahoma"/>
            <family val="2"/>
          </rPr>
          <t xml:space="preserve">
positive pricing, but unfavorable country mix </t>
        </r>
      </text>
    </comment>
    <comment ref="AA110" authorId="0">
      <text>
        <r>
          <rPr>
            <b/>
            <sz val="8"/>
            <color indexed="81"/>
            <rFont val="Tahoma"/>
            <family val="2"/>
          </rPr>
          <t>grunke:</t>
        </r>
        <r>
          <rPr>
            <sz val="8"/>
            <color indexed="81"/>
            <rFont val="Tahoma"/>
            <family val="2"/>
          </rPr>
          <t xml:space="preserve">
negative country/channel mix</t>
        </r>
      </text>
    </comment>
    <comment ref="AM110" authorId="0">
      <text>
        <r>
          <rPr>
            <b/>
            <sz val="8"/>
            <color indexed="81"/>
            <rFont val="Tahoma"/>
            <family val="2"/>
          </rPr>
          <t>grunke:</t>
        </r>
        <r>
          <rPr>
            <sz val="8"/>
            <color indexed="81"/>
            <rFont val="Tahoma"/>
            <family val="2"/>
          </rPr>
          <t xml:space="preserve">
predominatly timing difference in Japan</t>
        </r>
      </text>
    </comment>
    <comment ref="AP110" authorId="0">
      <text>
        <r>
          <rPr>
            <b/>
            <sz val="8"/>
            <color indexed="81"/>
            <rFont val="Tahoma"/>
            <family val="2"/>
          </rPr>
          <t>grunke:</t>
        </r>
        <r>
          <rPr>
            <sz val="8"/>
            <color indexed="81"/>
            <rFont val="Tahoma"/>
            <family val="2"/>
          </rPr>
          <t xml:space="preserve">
China negative mix </t>
        </r>
      </text>
    </comment>
    <comment ref="AQ110" authorId="1">
      <text>
        <r>
          <rPr>
            <b/>
            <sz val="8"/>
            <color indexed="81"/>
            <rFont val="Tahoma"/>
            <family val="2"/>
          </rPr>
          <t>cruzv:</t>
        </r>
        <r>
          <rPr>
            <sz val="8"/>
            <color indexed="81"/>
            <rFont val="Tahoma"/>
            <family val="2"/>
          </rPr>
          <t xml:space="preserve">
Due to unfavorable geo mix--cycled product launches in Japan &amp; shifts in product/package mix in individual markets</t>
        </r>
      </text>
    </comment>
    <comment ref="AF112" authorId="0">
      <text>
        <r>
          <rPr>
            <b/>
            <sz val="8"/>
            <color indexed="81"/>
            <rFont val="Tahoma"/>
            <family val="2"/>
          </rPr>
          <t>grunke:</t>
        </r>
        <r>
          <rPr>
            <sz val="8"/>
            <color indexed="81"/>
            <rFont val="Tahoma"/>
            <family val="2"/>
          </rPr>
          <t xml:space="preserve">
Japan: $28M in funding to bottling system from natural disaster - will not reoccur in Q2-Q4</t>
        </r>
      </text>
    </comment>
    <comment ref="AK112" authorId="0">
      <text>
        <r>
          <rPr>
            <b/>
            <sz val="8"/>
            <color indexed="81"/>
            <rFont val="Tahoma"/>
            <family val="2"/>
          </rPr>
          <t>grunke:</t>
        </r>
        <r>
          <rPr>
            <sz val="8"/>
            <color indexed="81"/>
            <rFont val="Tahoma"/>
            <family val="2"/>
          </rPr>
          <t xml:space="preserve">
impact of cycling PY one-time items related to natural disasters in Japan</t>
        </r>
      </text>
    </comment>
    <comment ref="AR112" authorId="1">
      <text>
        <r>
          <rPr>
            <b/>
            <sz val="8"/>
            <color indexed="81"/>
            <rFont val="Tahoma"/>
            <family val="2"/>
          </rPr>
          <t>cruzv:</t>
        </r>
        <r>
          <rPr>
            <sz val="8"/>
            <color indexed="81"/>
            <rFont val="Tahoma"/>
            <family val="2"/>
          </rPr>
          <t xml:space="preserve">
Deferral of revenue and gross profit associated with the intercompany portion of concentrate sales to Coca-Cola East Japan post Japanese bottlers' merger</t>
        </r>
      </text>
    </comment>
    <comment ref="BO112" authorId="4">
      <text>
        <r>
          <rPr>
            <b/>
            <sz val="9"/>
            <color indexed="81"/>
            <rFont val="Tahoma"/>
            <family val="2"/>
          </rPr>
          <t>Falorni, Filippo (Research):</t>
        </r>
        <r>
          <rPr>
            <sz val="9"/>
            <color indexed="81"/>
            <rFont val="Tahoma"/>
            <family val="2"/>
          </rPr>
          <t xml:space="preserve">
Accounting change -5%
Structural -1%</t>
        </r>
      </text>
    </comment>
    <comment ref="AA119" authorId="0">
      <text>
        <r>
          <rPr>
            <b/>
            <sz val="8"/>
            <color indexed="81"/>
            <rFont val="Tahoma"/>
            <family val="2"/>
          </rPr>
          <t>grunke:</t>
        </r>
        <r>
          <rPr>
            <sz val="8"/>
            <color indexed="81"/>
            <rFont val="Tahoma"/>
            <family val="2"/>
          </rPr>
          <t xml:space="preserve">
3% on reported basis.  10% adjusts for  the impact of the deconsolidation of certain bottlers required by an accounting change</t>
        </r>
      </text>
    </comment>
    <comment ref="AB119" authorId="0">
      <text>
        <r>
          <rPr>
            <b/>
            <sz val="8"/>
            <color indexed="81"/>
            <rFont val="Tahoma"/>
            <family val="2"/>
          </rPr>
          <t>grunke:</t>
        </r>
        <r>
          <rPr>
            <sz val="8"/>
            <color indexed="81"/>
            <rFont val="Tahoma"/>
            <family val="2"/>
          </rPr>
          <t xml:space="preserve">
1% on reported basis.  11% adjusts for  the impact of the deconsolidation of certain bottlert required by an accounting change</t>
        </r>
      </text>
    </comment>
    <comment ref="AC119" authorId="0">
      <text>
        <r>
          <rPr>
            <b/>
            <sz val="8"/>
            <color indexed="81"/>
            <rFont val="Tahoma"/>
            <family val="2"/>
          </rPr>
          <t>grunke:</t>
        </r>
        <r>
          <rPr>
            <sz val="8"/>
            <color indexed="81"/>
            <rFont val="Tahoma"/>
            <family val="2"/>
          </rPr>
          <t xml:space="preserve">
-3% on reported basis.  8% adjusts for  the impact of the deconsolidation of certain bottelrs required by an accounting change</t>
        </r>
      </text>
    </comment>
    <comment ref="AD119" authorId="0">
      <text>
        <r>
          <rPr>
            <b/>
            <sz val="8"/>
            <color indexed="81"/>
            <rFont val="Tahoma"/>
            <family val="2"/>
          </rPr>
          <t>grunke:</t>
        </r>
        <r>
          <rPr>
            <sz val="8"/>
            <color indexed="81"/>
            <rFont val="Tahoma"/>
            <family val="2"/>
          </rPr>
          <t xml:space="preserve">
-8% on a reported basis</t>
        </r>
      </text>
    </comment>
    <comment ref="AF119" authorId="0">
      <text>
        <r>
          <rPr>
            <b/>
            <sz val="8"/>
            <color indexed="81"/>
            <rFont val="Tahoma"/>
            <family val="2"/>
          </rPr>
          <t>grunke:</t>
        </r>
        <r>
          <rPr>
            <sz val="8"/>
            <color indexed="81"/>
            <rFont val="Tahoma"/>
            <family val="2"/>
          </rPr>
          <t xml:space="preserve">
down 2% on a reported basis primarily due to structural changes</t>
        </r>
      </text>
    </comment>
    <comment ref="AI119" authorId="0">
      <text>
        <r>
          <rPr>
            <b/>
            <sz val="8"/>
            <color indexed="81"/>
            <rFont val="Tahoma"/>
            <family val="2"/>
          </rPr>
          <t>grunke:</t>
        </r>
        <r>
          <rPr>
            <sz val="8"/>
            <color indexed="81"/>
            <rFont val="Tahoma"/>
            <family val="2"/>
          </rPr>
          <t xml:space="preserve">
'as reported' volume growth
- volume +3%</t>
        </r>
      </text>
    </comment>
    <comment ref="AK119" authorId="0">
      <text>
        <r>
          <rPr>
            <b/>
            <sz val="8"/>
            <color indexed="81"/>
            <rFont val="Tahoma"/>
            <family val="2"/>
          </rPr>
          <t>grunke:</t>
        </r>
        <r>
          <rPr>
            <sz val="8"/>
            <color indexed="81"/>
            <rFont val="Tahoma"/>
            <family val="2"/>
          </rPr>
          <t xml:space="preserve">
- +11% ex-unfavorable impact of one less selling day
- 8% on as reported basis </t>
        </r>
      </text>
    </comment>
    <comment ref="AL119" authorId="0">
      <text>
        <r>
          <rPr>
            <b/>
            <sz val="8"/>
            <color indexed="81"/>
            <rFont val="Tahoma"/>
            <family val="2"/>
          </rPr>
          <t>grunke:</t>
        </r>
        <r>
          <rPr>
            <sz val="8"/>
            <color indexed="81"/>
            <rFont val="Tahoma"/>
            <family val="2"/>
          </rPr>
          <t xml:space="preserve">
comparable basis, 12% reported</t>
        </r>
      </text>
    </comment>
    <comment ref="AM119" authorId="0">
      <text>
        <r>
          <rPr>
            <b/>
            <sz val="8"/>
            <color indexed="81"/>
            <rFont val="Tahoma"/>
            <family val="2"/>
          </rPr>
          <t>grunke:</t>
        </r>
        <r>
          <rPr>
            <sz val="8"/>
            <color indexed="81"/>
            <rFont val="Tahoma"/>
            <family val="2"/>
          </rPr>
          <t xml:space="preserve">
comparable basis, 8% reported</t>
        </r>
      </text>
    </comment>
    <comment ref="AN119" authorId="0">
      <text>
        <r>
          <rPr>
            <b/>
            <sz val="8"/>
            <color indexed="81"/>
            <rFont val="Tahoma"/>
            <family val="2"/>
          </rPr>
          <t>grunke:</t>
        </r>
        <r>
          <rPr>
            <sz val="8"/>
            <color indexed="81"/>
            <rFont val="Tahoma"/>
            <family val="2"/>
          </rPr>
          <t xml:space="preserve">
- 'as reported' basis 
+5% on avg. daily sales basis
- reflects 2 extra selling days (or 7% underlying, ex selling days benefit)</t>
        </r>
      </text>
    </comment>
    <comment ref="AO119" authorId="0">
      <text>
        <r>
          <rPr>
            <b/>
            <sz val="8"/>
            <color indexed="81"/>
            <rFont val="Tahoma"/>
            <family val="2"/>
          </rPr>
          <t>grunke:</t>
        </r>
        <r>
          <rPr>
            <sz val="8"/>
            <color indexed="81"/>
            <rFont val="Tahoma"/>
            <family val="2"/>
          </rPr>
          <t xml:space="preserve">
- 'as reported' volume growth
- 10% total unit case growth</t>
        </r>
      </text>
    </comment>
    <comment ref="AP119" authorId="0">
      <text>
        <r>
          <rPr>
            <b/>
            <sz val="8"/>
            <color indexed="81"/>
            <rFont val="Tahoma"/>
            <family val="2"/>
          </rPr>
          <t>grunke:</t>
        </r>
        <r>
          <rPr>
            <sz val="8"/>
            <color indexed="81"/>
            <rFont val="Tahoma"/>
            <family val="2"/>
          </rPr>
          <t xml:space="preserve">
includes impact from 2 less selling days
+2% adj for structural changes</t>
        </r>
      </text>
    </comment>
    <comment ref="AS119" authorId="1">
      <text>
        <r>
          <rPr>
            <b/>
            <sz val="8"/>
            <color indexed="81"/>
            <rFont val="Tahoma"/>
            <family val="2"/>
          </rPr>
          <t>cruzv:</t>
        </r>
        <r>
          <rPr>
            <sz val="8"/>
            <color indexed="81"/>
            <rFont val="Tahoma"/>
            <family val="2"/>
          </rPr>
          <t xml:space="preserve">
Includes impact from one more selling day</t>
        </r>
      </text>
    </comment>
    <comment ref="AU119" authorId="2">
      <text>
        <r>
          <rPr>
            <b/>
            <sz val="8"/>
            <color indexed="81"/>
            <rFont val="Tahoma"/>
            <family val="2"/>
          </rPr>
          <t>doctobob:</t>
        </r>
        <r>
          <rPr>
            <sz val="8"/>
            <color indexed="81"/>
            <rFont val="Tahoma"/>
            <family val="2"/>
          </rPr>
          <t xml:space="preserve">
asjusted figure</t>
        </r>
      </text>
    </comment>
    <comment ref="Y120" authorId="0">
      <text>
        <r>
          <rPr>
            <b/>
            <sz val="8"/>
            <color indexed="81"/>
            <rFont val="Tahoma"/>
            <family val="2"/>
          </rPr>
          <t>grunke:</t>
        </r>
        <r>
          <rPr>
            <sz val="8"/>
            <color indexed="81"/>
            <rFont val="Tahoma"/>
            <family val="2"/>
          </rPr>
          <t xml:space="preserve">
negative country mix</t>
        </r>
      </text>
    </comment>
    <comment ref="X122" authorId="0">
      <text>
        <r>
          <rPr>
            <b/>
            <sz val="8"/>
            <color indexed="81"/>
            <rFont val="Tahoma"/>
            <family val="2"/>
          </rPr>
          <t>grunke:</t>
        </r>
        <r>
          <rPr>
            <sz val="8"/>
            <color indexed="81"/>
            <rFont val="Tahoma"/>
            <family val="2"/>
          </rPr>
          <t xml:space="preserve">
divestiture of a portion of ownership in Pakistan bottler</t>
        </r>
      </text>
    </comment>
    <comment ref="AH122" authorId="0">
      <text>
        <r>
          <rPr>
            <b/>
            <sz val="8"/>
            <color indexed="81"/>
            <rFont val="Tahoma"/>
            <family val="2"/>
          </rPr>
          <t>grunke:</t>
        </r>
        <r>
          <rPr>
            <sz val="8"/>
            <color indexed="81"/>
            <rFont val="Tahoma"/>
            <family val="2"/>
          </rPr>
          <t xml:space="preserve">
Norway/Sweden bottlers divseted in CCE deal </t>
        </r>
      </text>
    </comment>
    <comment ref="AP122" authorId="0">
      <text>
        <r>
          <rPr>
            <b/>
            <sz val="8"/>
            <color indexed="81"/>
            <rFont val="Tahoma"/>
            <family val="2"/>
          </rPr>
          <t>grunke:</t>
        </r>
        <r>
          <rPr>
            <sz val="8"/>
            <color indexed="81"/>
            <rFont val="Tahoma"/>
            <family val="2"/>
          </rPr>
          <t xml:space="preserve">
- deconsolidation of Philipines bottler on sale of 51% to KOF
- MS est. $1.4B annually</t>
        </r>
      </text>
    </comment>
    <comment ref="AQ122" authorId="0">
      <text>
        <r>
          <rPr>
            <b/>
            <sz val="8"/>
            <color indexed="81"/>
            <rFont val="Tahoma"/>
            <family val="2"/>
          </rPr>
          <t>grunke:</t>
        </r>
        <r>
          <rPr>
            <sz val="8"/>
            <color indexed="81"/>
            <rFont val="Tahoma"/>
            <family val="2"/>
          </rPr>
          <t xml:space="preserve">
- deconsolidation of Philipines bottler on sale of 51% to KOF
- MS est. $1.4B annually</t>
        </r>
      </text>
    </comment>
    <comment ref="AR122" authorId="0">
      <text>
        <r>
          <rPr>
            <b/>
            <sz val="8"/>
            <color indexed="81"/>
            <rFont val="Tahoma"/>
            <family val="2"/>
          </rPr>
          <t>grunke:</t>
        </r>
        <r>
          <rPr>
            <sz val="8"/>
            <color indexed="81"/>
            <rFont val="Tahoma"/>
            <family val="2"/>
          </rPr>
          <t xml:space="preserve">
- deconsolidation of Philipines bottler on sale of 51% to KOF
- MS est. $1.4B annually
- Brazil</t>
        </r>
      </text>
    </comment>
    <comment ref="AS122" authorId="0">
      <text>
        <r>
          <rPr>
            <b/>
            <sz val="8"/>
            <color indexed="81"/>
            <rFont val="Tahoma"/>
            <family val="2"/>
          </rPr>
          <t>grunke:</t>
        </r>
        <r>
          <rPr>
            <sz val="8"/>
            <color indexed="81"/>
            <rFont val="Tahoma"/>
            <family val="2"/>
          </rPr>
          <t xml:space="preserve">
- deconsolidation of Philipines bottler on sale of 51% to KOF
- MS est. $1.4B annually
- Brazil</t>
        </r>
      </text>
    </comment>
    <comment ref="AU122" authorId="1">
      <text>
        <r>
          <rPr>
            <b/>
            <sz val="8"/>
            <color indexed="81"/>
            <rFont val="Tahoma"/>
            <family val="2"/>
          </rPr>
          <t>cruzv:</t>
        </r>
        <r>
          <rPr>
            <sz val="8"/>
            <color indexed="81"/>
            <rFont val="Tahoma"/>
            <family val="2"/>
          </rPr>
          <t xml:space="preserve">
Jan Philippines and Brazil</t>
        </r>
      </text>
    </comment>
    <comment ref="AV122" authorId="0">
      <text>
        <r>
          <rPr>
            <b/>
            <sz val="8"/>
            <color indexed="81"/>
            <rFont val="Tahoma"/>
            <family val="2"/>
          </rPr>
          <t>grunke:</t>
        </r>
        <r>
          <rPr>
            <sz val="8"/>
            <color indexed="81"/>
            <rFont val="Tahoma"/>
            <family val="2"/>
          </rPr>
          <t xml:space="preserve">
Brazil</t>
        </r>
      </text>
    </comment>
    <comment ref="BO133" authorId="4">
      <text>
        <r>
          <rPr>
            <b/>
            <sz val="9"/>
            <color indexed="81"/>
            <rFont val="Tahoma"/>
            <family val="2"/>
          </rPr>
          <t>Falorni, Filippo (Research):</t>
        </r>
        <r>
          <rPr>
            <sz val="9"/>
            <color indexed="81"/>
            <rFont val="Tahoma"/>
            <family val="2"/>
          </rPr>
          <t xml:space="preserve">
Structural -90%
Accounting change +3%</t>
        </r>
      </text>
    </comment>
    <comment ref="AF136" authorId="0">
      <text>
        <r>
          <rPr>
            <b/>
            <sz val="8"/>
            <color indexed="81"/>
            <rFont val="Tahoma"/>
            <family val="2"/>
          </rPr>
          <t>grunke:</t>
        </r>
        <r>
          <rPr>
            <sz val="8"/>
            <color indexed="81"/>
            <rFont val="Tahoma"/>
            <family val="2"/>
          </rPr>
          <t xml:space="preserve">
includes non-GAAP adj to revs</t>
        </r>
      </text>
    </comment>
    <comment ref="AH136" authorId="0">
      <text>
        <r>
          <rPr>
            <b/>
            <sz val="8"/>
            <color indexed="81"/>
            <rFont val="Tahoma"/>
            <family val="2"/>
          </rPr>
          <t>grunke:</t>
        </r>
        <r>
          <rPr>
            <sz val="8"/>
            <color indexed="81"/>
            <rFont val="Tahoma"/>
            <family val="2"/>
          </rPr>
          <t xml:space="preserve">
net of $5M misc KO adjust</t>
        </r>
      </text>
    </comment>
    <comment ref="A160" authorId="2">
      <text>
        <r>
          <rPr>
            <b/>
            <sz val="8"/>
            <color indexed="81"/>
            <rFont val="Tahoma"/>
            <family val="2"/>
          </rPr>
          <t>doctobob:</t>
        </r>
        <r>
          <rPr>
            <sz val="8"/>
            <color indexed="81"/>
            <rFont val="Tahoma"/>
            <family val="2"/>
          </rPr>
          <t xml:space="preserve">
Reclassified India and SW Asia from Eurasia&amp;Africa to Pacific as of FY10</t>
        </r>
      </text>
    </comment>
    <comment ref="A165" authorId="2">
      <text>
        <r>
          <rPr>
            <b/>
            <sz val="8"/>
            <color indexed="81"/>
            <rFont val="Tahoma"/>
            <family val="2"/>
          </rPr>
          <t>doctobob:</t>
        </r>
        <r>
          <rPr>
            <sz val="8"/>
            <color indexed="81"/>
            <rFont val="Tahoma"/>
            <family val="2"/>
          </rPr>
          <t xml:space="preserve">
Reclassified India and SW Asia from Eurasia&amp;Africa to Pacific as of FY10</t>
        </r>
      </text>
    </comment>
    <comment ref="AD200" authorId="0">
      <text>
        <r>
          <rPr>
            <b/>
            <sz val="8"/>
            <color indexed="81"/>
            <rFont val="Tahoma"/>
            <family val="2"/>
          </rPr>
          <t>grunke:</t>
        </r>
        <r>
          <rPr>
            <sz val="8"/>
            <color indexed="81"/>
            <rFont val="Tahoma"/>
            <family val="2"/>
          </rPr>
          <t xml:space="preserve">
includes drag from CCR in Q4 results</t>
        </r>
      </text>
    </comment>
    <comment ref="AQ205" authorId="1">
      <text>
        <r>
          <rPr>
            <b/>
            <sz val="8"/>
            <color indexed="81"/>
            <rFont val="Tahoma"/>
            <family val="2"/>
          </rPr>
          <t>cruzv:</t>
        </r>
        <r>
          <rPr>
            <sz val="8"/>
            <color indexed="81"/>
            <rFont val="Tahoma"/>
            <family val="2"/>
          </rPr>
          <t xml:space="preserve">
Structural anomaly as juice biz has lower margin now that integrated Innocent</t>
        </r>
      </text>
    </comment>
    <comment ref="AR205" authorId="1">
      <text>
        <r>
          <rPr>
            <b/>
            <sz val="8"/>
            <color indexed="81"/>
            <rFont val="Tahoma"/>
            <family val="2"/>
          </rPr>
          <t>cruzv:</t>
        </r>
        <r>
          <rPr>
            <sz val="8"/>
            <color indexed="81"/>
            <rFont val="Tahoma"/>
            <family val="2"/>
          </rPr>
          <t xml:space="preserve">
Innocent lowering margins</t>
        </r>
      </text>
    </comment>
    <comment ref="AS205" authorId="1">
      <text>
        <r>
          <rPr>
            <b/>
            <sz val="8"/>
            <color indexed="81"/>
            <rFont val="Tahoma"/>
            <family val="2"/>
          </rPr>
          <t>cruzv:</t>
        </r>
        <r>
          <rPr>
            <sz val="8"/>
            <color indexed="81"/>
            <rFont val="Tahoma"/>
            <family val="2"/>
          </rPr>
          <t xml:space="preserve">
Innocent lowering margins</t>
        </r>
      </text>
    </comment>
    <comment ref="AU205" authorId="1">
      <text>
        <r>
          <rPr>
            <b/>
            <sz val="8"/>
            <color indexed="81"/>
            <rFont val="Tahoma"/>
            <family val="2"/>
          </rPr>
          <t>cruzv:</t>
        </r>
        <r>
          <rPr>
            <sz val="8"/>
            <color indexed="81"/>
            <rFont val="Tahoma"/>
            <family val="2"/>
          </rPr>
          <t xml:space="preserve">
Innocent lowering margins</t>
        </r>
      </text>
    </comment>
    <comment ref="AN207" authorId="0">
      <text>
        <r>
          <rPr>
            <b/>
            <sz val="8"/>
            <color indexed="81"/>
            <rFont val="Tahoma"/>
            <family val="2"/>
          </rPr>
          <t>grunke:</t>
        </r>
        <r>
          <rPr>
            <sz val="8"/>
            <color indexed="81"/>
            <rFont val="Tahoma"/>
            <family val="2"/>
          </rPr>
          <t xml:space="preserve">
includes positive op leverage from two more selling days</t>
        </r>
      </text>
    </comment>
    <comment ref="AO207" authorId="0">
      <text>
        <r>
          <rPr>
            <b/>
            <sz val="8"/>
            <color indexed="81"/>
            <rFont val="Tahoma"/>
            <family val="2"/>
          </rPr>
          <t>grunke:</t>
        </r>
        <r>
          <rPr>
            <sz val="8"/>
            <color indexed="81"/>
            <rFont val="Tahoma"/>
            <family val="2"/>
          </rPr>
          <t xml:space="preserve">
includes positive op leverage from one more selling day</t>
        </r>
      </text>
    </comment>
    <comment ref="AN210" authorId="0">
      <text>
        <r>
          <rPr>
            <b/>
            <sz val="8"/>
            <color indexed="81"/>
            <rFont val="Tahoma"/>
            <family val="2"/>
          </rPr>
          <t>grunke:</t>
        </r>
        <r>
          <rPr>
            <sz val="8"/>
            <color indexed="81"/>
            <rFont val="Tahoma"/>
            <family val="2"/>
          </rPr>
          <t xml:space="preserve">
includes positive op leverage from two more selling days</t>
        </r>
      </text>
    </comment>
    <comment ref="AO210" authorId="0">
      <text>
        <r>
          <rPr>
            <b/>
            <sz val="8"/>
            <color indexed="81"/>
            <rFont val="Tahoma"/>
            <family val="2"/>
          </rPr>
          <t>grunke:</t>
        </r>
        <r>
          <rPr>
            <sz val="8"/>
            <color indexed="81"/>
            <rFont val="Tahoma"/>
            <family val="2"/>
          </rPr>
          <t xml:space="preserve">
includes positive op leverage from one more selling day</t>
        </r>
      </text>
    </comment>
    <comment ref="AP210" authorId="0">
      <text>
        <r>
          <rPr>
            <b/>
            <sz val="8"/>
            <color indexed="81"/>
            <rFont val="Tahoma"/>
            <family val="2"/>
          </rPr>
          <t>grunke:</t>
        </r>
        <r>
          <rPr>
            <sz val="8"/>
            <color indexed="81"/>
            <rFont val="Tahoma"/>
            <family val="2"/>
          </rPr>
          <t xml:space="preserve">
includes positive op leverage from two more selling days</t>
        </r>
      </text>
    </comment>
    <comment ref="A212" authorId="0">
      <text>
        <r>
          <rPr>
            <b/>
            <sz val="8"/>
            <color indexed="81"/>
            <rFont val="Tahoma"/>
            <family val="2"/>
          </rPr>
          <t>grunke:</t>
        </r>
        <r>
          <rPr>
            <sz val="8"/>
            <color indexed="81"/>
            <rFont val="Tahoma"/>
            <family val="2"/>
          </rPr>
          <t xml:space="preserve">
expense as % of total sales </t>
        </r>
      </text>
    </comment>
    <comment ref="AP220" authorId="0">
      <text>
        <r>
          <rPr>
            <b/>
            <sz val="8"/>
            <color indexed="81"/>
            <rFont val="Tahoma"/>
            <family val="2"/>
          </rPr>
          <t>grunke:</t>
        </r>
        <r>
          <rPr>
            <sz val="8"/>
            <color indexed="81"/>
            <rFont val="Tahoma"/>
            <family val="2"/>
          </rPr>
          <t xml:space="preserve">
positive adj for two less selling days</t>
        </r>
      </text>
    </comment>
    <comment ref="AV236" authorId="5">
      <text>
        <r>
          <rPr>
            <b/>
            <sz val="9"/>
            <color indexed="81"/>
            <rFont val="Tahoma"/>
            <family val="2"/>
          </rPr>
          <t>Doctor, Bob (Research):</t>
        </r>
        <r>
          <rPr>
            <sz val="9"/>
            <color indexed="81"/>
            <rFont val="Tahoma"/>
            <family val="2"/>
          </rPr>
          <t xml:space="preserve">
3 structural impact from VZ</t>
        </r>
      </text>
    </comment>
    <comment ref="AV258" authorId="5">
      <text>
        <r>
          <rPr>
            <b/>
            <sz val="9"/>
            <color indexed="81"/>
            <rFont val="Tahoma"/>
            <family val="2"/>
          </rPr>
          <t>Doctor, Bob (Research):</t>
        </r>
        <r>
          <rPr>
            <sz val="9"/>
            <color indexed="81"/>
            <rFont val="Tahoma"/>
            <family val="2"/>
          </rPr>
          <t xml:space="preserve">
-6% including VZ structural impact</t>
        </r>
      </text>
    </comment>
    <comment ref="AD262" authorId="1">
      <text>
        <r>
          <rPr>
            <b/>
            <sz val="8"/>
            <color indexed="81"/>
            <rFont val="Tahoma"/>
            <family val="2"/>
          </rPr>
          <t>cruzv:</t>
        </r>
        <r>
          <rPr>
            <sz val="8"/>
            <color indexed="81"/>
            <rFont val="Tahoma"/>
            <family val="2"/>
          </rPr>
          <t xml:space="preserve">
CCE</t>
        </r>
      </text>
    </comment>
    <comment ref="AE262" authorId="1">
      <text>
        <r>
          <rPr>
            <b/>
            <sz val="8"/>
            <color indexed="81"/>
            <rFont val="Tahoma"/>
            <family val="2"/>
          </rPr>
          <t>cruzv:</t>
        </r>
        <r>
          <rPr>
            <sz val="8"/>
            <color indexed="81"/>
            <rFont val="Tahoma"/>
            <family val="2"/>
          </rPr>
          <t xml:space="preserve">
Comparable currency neutral operating expense leverage declined 3 pts for the full year as a result of an adverse 6 pt impact from structural changes (CCE)</t>
        </r>
      </text>
    </comment>
    <comment ref="AF262" authorId="1">
      <text>
        <r>
          <rPr>
            <b/>
            <sz val="8"/>
            <color indexed="81"/>
            <rFont val="Tahoma"/>
            <family val="2"/>
          </rPr>
          <t>cruzv:</t>
        </r>
        <r>
          <rPr>
            <sz val="8"/>
            <color indexed="81"/>
            <rFont val="Tahoma"/>
            <family val="2"/>
          </rPr>
          <t xml:space="preserve">
CCE</t>
        </r>
      </text>
    </comment>
    <comment ref="AG262" authorId="1">
      <text>
        <r>
          <rPr>
            <b/>
            <sz val="8"/>
            <color indexed="81"/>
            <rFont val="Tahoma"/>
            <family val="2"/>
          </rPr>
          <t>cruzv:</t>
        </r>
        <r>
          <rPr>
            <sz val="8"/>
            <color indexed="81"/>
            <rFont val="Tahoma"/>
            <family val="2"/>
          </rPr>
          <t xml:space="preserve">
CCE</t>
        </r>
      </text>
    </comment>
    <comment ref="AH262" authorId="1">
      <text>
        <r>
          <rPr>
            <b/>
            <sz val="8"/>
            <color indexed="81"/>
            <rFont val="Tahoma"/>
            <family val="2"/>
          </rPr>
          <t>cruzv:</t>
        </r>
        <r>
          <rPr>
            <sz val="8"/>
            <color indexed="81"/>
            <rFont val="Tahoma"/>
            <family val="2"/>
          </rPr>
          <t xml:space="preserve">
CCE</t>
        </r>
      </text>
    </comment>
    <comment ref="AU262" authorId="5">
      <text>
        <r>
          <rPr>
            <b/>
            <sz val="9"/>
            <color indexed="81"/>
            <rFont val="Tahoma"/>
            <family val="2"/>
          </rPr>
          <t>Doctor, Bob (Research):</t>
        </r>
        <r>
          <rPr>
            <sz val="9"/>
            <color indexed="81"/>
            <rFont val="Tahoma"/>
            <family val="2"/>
          </rPr>
          <t xml:space="preserve">
4% stated on rounding</t>
        </r>
      </text>
    </comment>
    <comment ref="AV262" authorId="5">
      <text>
        <r>
          <rPr>
            <b/>
            <sz val="9"/>
            <color indexed="81"/>
            <rFont val="Tahoma"/>
            <family val="2"/>
          </rPr>
          <t>Doctor, Bob (Research):</t>
        </r>
        <r>
          <rPr>
            <sz val="9"/>
            <color indexed="81"/>
            <rFont val="Tahoma"/>
            <family val="2"/>
          </rPr>
          <t xml:space="preserve">
flat reported on rounding</t>
        </r>
      </text>
    </comment>
    <comment ref="V276" authorId="0">
      <text>
        <r>
          <rPr>
            <b/>
            <sz val="8"/>
            <color indexed="81"/>
            <rFont val="Tahoma"/>
            <family val="2"/>
          </rPr>
          <t>grunke:</t>
        </r>
        <r>
          <rPr>
            <sz val="8"/>
            <color indexed="81"/>
            <rFont val="Tahoma"/>
            <family val="2"/>
          </rPr>
          <t xml:space="preserve">
MS est</t>
        </r>
      </text>
    </comment>
    <comment ref="AD277" authorId="0">
      <text>
        <r>
          <rPr>
            <b/>
            <sz val="8"/>
            <color indexed="81"/>
            <rFont val="Tahoma"/>
            <family val="2"/>
          </rPr>
          <t>grunke:</t>
        </r>
        <r>
          <rPr>
            <sz val="8"/>
            <color indexed="81"/>
            <rFont val="Tahoma"/>
            <family val="2"/>
          </rPr>
          <t xml:space="preserve">
5% including cross licensed brands</t>
        </r>
      </text>
    </comment>
    <comment ref="AF277" authorId="6">
      <text>
        <r>
          <rPr>
            <b/>
            <sz val="8"/>
            <color indexed="81"/>
            <rFont val="Tahoma"/>
            <family val="2"/>
          </rPr>
          <t>ayalavin:</t>
        </r>
        <r>
          <rPr>
            <sz val="8"/>
            <color indexed="81"/>
            <rFont val="Tahoma"/>
            <family val="2"/>
          </rPr>
          <t xml:space="preserve">
4% including cross licensed</t>
        </r>
      </text>
    </comment>
    <comment ref="AG277" authorId="6">
      <text>
        <r>
          <rPr>
            <b/>
            <sz val="8"/>
            <color indexed="81"/>
            <rFont val="Tahoma"/>
            <family val="2"/>
          </rPr>
          <t>ayalavin:</t>
        </r>
        <r>
          <rPr>
            <sz val="8"/>
            <color indexed="81"/>
            <rFont val="Tahoma"/>
            <family val="2"/>
          </rPr>
          <t xml:space="preserve">
5% including cross licenses</t>
        </r>
      </text>
    </comment>
    <comment ref="AH277" authorId="6">
      <text>
        <r>
          <rPr>
            <b/>
            <sz val="8"/>
            <color indexed="81"/>
            <rFont val="Tahoma"/>
            <family val="2"/>
          </rPr>
          <t>ayalavin:</t>
        </r>
        <r>
          <rPr>
            <sz val="8"/>
            <color indexed="81"/>
            <rFont val="Tahoma"/>
            <family val="2"/>
          </rPr>
          <t xml:space="preserve">
4% including cross licenses</t>
        </r>
      </text>
    </comment>
    <comment ref="Y279" authorId="0">
      <text>
        <r>
          <rPr>
            <b/>
            <sz val="8"/>
            <color indexed="81"/>
            <rFont val="Tahoma"/>
            <family val="2"/>
          </rPr>
          <t>grunke:</t>
        </r>
        <r>
          <rPr>
            <sz val="8"/>
            <color indexed="81"/>
            <rFont val="Tahoma"/>
            <family val="2"/>
          </rPr>
          <t xml:space="preserve">
sequential improvement relative to the first nine months of the year</t>
        </r>
      </text>
    </comment>
    <comment ref="AD279" authorId="6">
      <text>
        <r>
          <rPr>
            <b/>
            <sz val="8"/>
            <color indexed="81"/>
            <rFont val="Tahoma"/>
            <family val="2"/>
          </rPr>
          <t>ayalavin:</t>
        </r>
        <r>
          <rPr>
            <sz val="8"/>
            <color indexed="81"/>
            <rFont val="Tahoma"/>
            <family val="2"/>
          </rPr>
          <t xml:space="preserve">
+8% including cross-licensed brands</t>
        </r>
      </text>
    </comment>
    <comment ref="AE279" authorId="6">
      <text>
        <r>
          <rPr>
            <b/>
            <sz val="8"/>
            <color indexed="81"/>
            <rFont val="Tahoma"/>
            <family val="2"/>
          </rPr>
          <t>ayalavin:</t>
        </r>
        <r>
          <rPr>
            <sz val="8"/>
            <color indexed="81"/>
            <rFont val="Tahoma"/>
            <family val="2"/>
          </rPr>
          <t xml:space="preserve">
Up 1% including cross licensed brands</t>
        </r>
      </text>
    </comment>
    <comment ref="AF279" authorId="6">
      <text>
        <r>
          <rPr>
            <b/>
            <sz val="8"/>
            <color indexed="81"/>
            <rFont val="Tahoma"/>
            <family val="2"/>
          </rPr>
          <t>ayalavin:</t>
        </r>
        <r>
          <rPr>
            <sz val="8"/>
            <color indexed="81"/>
            <rFont val="Tahoma"/>
            <family val="2"/>
          </rPr>
          <t xml:space="preserve">
6% including cross license</t>
        </r>
      </text>
    </comment>
    <comment ref="AG279" authorId="6">
      <text>
        <r>
          <rPr>
            <b/>
            <sz val="8"/>
            <color indexed="81"/>
            <rFont val="Tahoma"/>
            <family val="2"/>
          </rPr>
          <t>ayalavin:</t>
        </r>
        <r>
          <rPr>
            <sz val="8"/>
            <color indexed="81"/>
            <rFont val="Tahoma"/>
            <family val="2"/>
          </rPr>
          <t xml:space="preserve">
6% including cross license</t>
        </r>
      </text>
    </comment>
    <comment ref="AH279" authorId="6">
      <text>
        <r>
          <rPr>
            <b/>
            <sz val="8"/>
            <color indexed="81"/>
            <rFont val="Tahoma"/>
            <family val="2"/>
          </rPr>
          <t>ayalavin:</t>
        </r>
        <r>
          <rPr>
            <sz val="8"/>
            <color indexed="81"/>
            <rFont val="Tahoma"/>
            <family val="2"/>
          </rPr>
          <t xml:space="preserve">
6% including cross licenses</t>
        </r>
      </text>
    </comment>
    <comment ref="T282" authorId="0">
      <text>
        <r>
          <rPr>
            <b/>
            <sz val="8"/>
            <color indexed="81"/>
            <rFont val="Tahoma"/>
            <family val="2"/>
          </rPr>
          <t>grunke:</t>
        </r>
        <r>
          <rPr>
            <sz val="8"/>
            <color indexed="81"/>
            <rFont val="Tahoma"/>
            <family val="2"/>
          </rPr>
          <t xml:space="preserve">
MS est. assuming NA is 35% of still mix (implies flattish to up slightly)</t>
        </r>
      </text>
    </comment>
    <comment ref="AA282" authorId="0">
      <text>
        <r>
          <rPr>
            <b/>
            <sz val="8"/>
            <color indexed="81"/>
            <rFont val="Tahoma"/>
            <family val="2"/>
          </rPr>
          <t>grunke:</t>
        </r>
        <r>
          <rPr>
            <sz val="8"/>
            <color indexed="81"/>
            <rFont val="Tahoma"/>
            <family val="2"/>
          </rPr>
          <t xml:space="preserve">
Still beverage unit case volume was down 2% in the quarter, as premium still beverages continue to be impacted by economically pressured consumers. In addition, the first quarter is cycling the shift of the Rockstar energy drink business out of the Coca-Cola system.</t>
        </r>
      </text>
    </comment>
    <comment ref="AB282" authorId="0">
      <text>
        <r>
          <rPr>
            <b/>
            <sz val="8"/>
            <color indexed="81"/>
            <rFont val="Tahoma"/>
            <family val="2"/>
          </rPr>
          <t>grunke:</t>
        </r>
        <r>
          <rPr>
            <sz val="8"/>
            <color indexed="81"/>
            <rFont val="Tahoma"/>
            <family val="2"/>
          </rPr>
          <t xml:space="preserve">
- POWERADE: +17%
- Glaceau: +6%
- Simply: +29% </t>
        </r>
      </text>
    </comment>
    <comment ref="AC282" authorId="0">
      <text>
        <r>
          <rPr>
            <b/>
            <sz val="8"/>
            <color indexed="81"/>
            <rFont val="Tahoma"/>
            <family val="2"/>
          </rPr>
          <t>grunke:</t>
        </r>
        <r>
          <rPr>
            <sz val="8"/>
            <color indexed="81"/>
            <rFont val="Tahoma"/>
            <family val="2"/>
          </rPr>
          <t xml:space="preserve">
- POWERADE: +32%
- Simply: +23% </t>
        </r>
      </text>
    </comment>
    <comment ref="A283" authorId="0">
      <text>
        <r>
          <rPr>
            <b/>
            <sz val="8"/>
            <color indexed="81"/>
            <rFont val="Tahoma"/>
            <family val="2"/>
          </rPr>
          <t>grunke:
- 'per capita consumption of company brands'
- as of Q409, amounted to 118 countries</t>
        </r>
      </text>
    </comment>
    <comment ref="AB283" authorId="0">
      <text>
        <r>
          <rPr>
            <b/>
            <sz val="8"/>
            <color indexed="81"/>
            <rFont val="Tahoma"/>
            <family val="2"/>
          </rPr>
          <t>grunke:</t>
        </r>
        <r>
          <rPr>
            <sz val="8"/>
            <color indexed="81"/>
            <rFont val="Tahoma"/>
            <family val="2"/>
          </rPr>
          <t xml:space="preserve">
sparkling grew 7%</t>
        </r>
      </text>
    </comment>
    <comment ref="A330" authorId="3">
      <text>
        <r>
          <rPr>
            <b/>
            <sz val="9"/>
            <color indexed="81"/>
            <rFont val="Tahoma"/>
            <family val="2"/>
          </rPr>
          <t>Fitzgerald, Kyle (Research):</t>
        </r>
        <r>
          <rPr>
            <sz val="9"/>
            <color indexed="81"/>
            <rFont val="Tahoma"/>
            <family val="2"/>
          </rPr>
          <t xml:space="preserve">
Most will be recognized as concentrate revenues as territories are refranchised</t>
        </r>
      </text>
    </comment>
    <comment ref="L367" authorId="7">
      <text>
        <r>
          <rPr>
            <b/>
            <sz val="8"/>
            <color indexed="81"/>
            <rFont val="Tahoma"/>
            <family val="2"/>
          </rPr>
          <t>mohseda:</t>
        </r>
        <r>
          <rPr>
            <sz val="8"/>
            <color indexed="81"/>
            <rFont val="Tahoma"/>
            <family val="2"/>
          </rPr>
          <t xml:space="preserve">
300M commofity hit not passed through </t>
        </r>
      </text>
    </comment>
  </commentList>
</comments>
</file>

<file path=xl/comments3.xml><?xml version="1.0" encoding="utf-8"?>
<comments xmlns="http://schemas.openxmlformats.org/spreadsheetml/2006/main">
  <authors>
    <author>grunke</author>
  </authors>
  <commentList>
    <comment ref="A1" authorId="0">
      <text>
        <r>
          <rPr>
            <b/>
            <sz val="8"/>
            <color indexed="81"/>
            <rFont val="Tahoma"/>
            <family val="2"/>
          </rPr>
          <t>卟䙄_x0001_＀＀䯳_x001A_䱃䕞元䵟䅅彎偅⡓〲〰㈯ⱆ⤰_x0018_＀＀_x0018_＀＀_x0008_＀＀_x0001_＀＀_x0001_＀＀섦툛삨㿚严_x000F_佋偞偟䥒䕃丨坏착_x0018_＀＀_x0018_＀＀_x0008_＀＀_x0001_＀＀_x0001_＀＀긕呺䁑䯳_x001A_䱃䕞元䵟䅅彎偅⡓〲㐰㌯ⱆ⤰_x0018_＀＀_x0018_＀＀_x0008_＀＀_x0001_＀＀_x0001_＀＀슏⣵轜㿢䯳_x001A_䱃䕞元䵟䅅彎偅⡓〲㔰ㄯⱆ⤰_x0018_＀＀_x0018_＀＀_x0008_＀＀_x0001_＀＀_x0001_＀＀롑蔞㿣蕷䱑_x000F_䱃偞偟䥒䕃丨坏착_x0018_＀＀_x0018_＀＀_x0008_＀＀_x0001_＀＀_x0001_＀＀䞮竡츔䁓䯳_x001A_䱃䕞元䵟䅅彎偅⡓〲〱㐯ⱆ⤰_x0018_＀＀_x0018_＀＀_x0008_＀＀_x0001_＀＀_x0001_＀＀换䝞爜㿴䯳_x001A_䱃䕞元䵟䅅彎偅⡓〲㠰㐯ⱆ⤰_x0018_＀＀_x0018_＀＀_x0008_＀＀_x0001_＀＀_x0001_＀＀＀＀＀＀＀＀㿰䯳_x001A_䱃䕞元䵟䅅彎偅⡓〲㤰㈯ⱆ⤰_x0018_＀＀_x0018_＀＀_x0008_＀＀_x0001_＀＀_x0001_＀＀蔟凫Ẹ㿱鸡䴐_x000F_佋偞㄁⼲ㄲ㈯㄰찰_x0018_＀＀_x0018_＀＀_x0008_＀＀_x0001_＀＀_x0001_＀＀炤਽受䁐傉䷩_x0011_单〱剙偞偟䥒䕃〨착_x0018_＀＀_x0018_＀＀_x0008_＀＀_x0001_＀＀_x0001_＀＀갈娜㭤䀈䯳_x001A_䱃䕞元䵟䅅彎偅⡓〲㜰ㄯⱆ⤰_x0018_＀＀_x0018_＀＀_x0008_＀＀_x0001_＀＀_x0001_＀＀炤਽ꏗ㿨䯳_x001A_䱃䕞元䵟䅅彎偅⡓〲㄰㐯ⱆ⤰_x0018_＀＀_x0018_＀＀_x0008_＀＀_x0001_＀＀_x0001_＀＀炤਽ꏗ㿠䯳_x001A_䱃䕞元䵟䅅彎偅⡓〲㈰㈯ⱆ⤰_x0018_＀＀_x0018_＀＀_x0008_＀＀_x0001_＀＀_x0001_＀＀湡狷鲟㿡䯳_x001A_䱃䕞元䵟䅅彎偅⡓〲㘰㌯ⱆ⤰_x0018_＀＀_x0018_＀＀_x0008_＀＀_x0001_＀＀_x0001_＀＀轜尨㿧䴏_x000F_佋偞㄁⼲〲㈯㄰찰_x0018_＀＀_x0018_＀＀_x0008_＀＀_x0001_＀＀_x0001_＀＀炤਽受䁐䯳_x001A_䱃䕞元䵟䅅彎偅⡓〲〰ㄯⱆ⤰_x0018_＀＀_x0018_＀＀_x0008_＀＀_x0001_＀＀_x0001_＀＀⳽⊖䫹㿘䯳_x001A_䱃䕞元䵟䅅彎偅⡓〲㐰㈯ⱆ⤰_x0018_＀＀_x0018_＀＀_x0008_＀＀_x0001_＀＀_x0001_＀＀蔟凫Ẹ㿥桪䳱_x000F_佋偞㄁⼱㜲㈯㄰찰_x0018_＀＀_x0018_＀＀_x0008_＀＀_x0001_＀＀_x0001_＀＀ꏗ㵰܊䁐꥚䳿_x000F_佋偞㄁⼲㠰㈯㄰찰_x0018_＀＀_x0018_＀＀_x0008_＀＀_x0001_＀＀_x0001_＀＀쳍쳌ೌ䁐䯳_x001A_䱃䕞元䵟䅅彎偅⡓〲〱㌯ⱆ⤰_x0018_＀＀_x0018_＀＀_x0008_＀＀_x0001_＀＀_x0001_＀＀㐚俴녰㿳䯳_x001A_䱃䕞元䵟䅅彎偅⡓〲㠰㌯ⱆ⤰_x0018_＀＀_x0018_＀＀_x0008_＀＀_x0001_＀＀_x0001_＀＀䞮竡긔㿯䯳_x001A_䱃䕞元䵟䅅彎偅⡓〲㤰ㄯⱆ⤰_x0018_＀＀_x0018_＀＀_x0008_＀＀_x0001_＀＀_x0001_＀＀휊炣਽㿯䯳_x001A_䱃䕞元䵟䅅彎偅⡓〲㌰㐯ⱆ⤰_x0018_＀＀_x0018_＀＀_x0008_＀＀_x0001_＀＀_x0001_＀＀쳍쳌쳌㿤䯳_x001A_䱃䕞元䵟䅅彎偅⡓〲㄰㌯ⱆ⤰_x0018_＀＀_x0018_＀＀_x0008_＀＀_x0001_＀＀_x0001_＀＀轜尨㿟䯳_x001A_䱃䕞元䵟䅅彎偅⡓〲㈰ㄯⱆ⤰_x0018_＀＀_x0018_＀＀_x0008_＀＀_x0001_＀＀_x0001_＀＀ʾڇ䰘㿟䯳_x001A_䱃䕞元䵟䅅彎偅⡓〲㔰㐯ⱆ⤰_x0018_＀＀_x0018_＀＀_x0008_＀＀_x0001_＀＀_x0001_＀＀긕ᑺ㿦䯳_x001A_䱃䕞元䵟䅅彎偅⡓〲㘰㈯ⱆ⤰_x0018_＀＀_x0018_＀＀_x0008_＀＀_x0001_＀＀_x0001_＀＀휊炣਽㿧㞷䲎_x000F_佋偞 ⼹㌱㈯㄰찰_x0018_＀＀_x0018_＀＀_x0008_＀＀_x0001_＀＀_x0001_＀＀쫁䖡Ꮆ䁍䯳_x001A_䱃䕞元䵟䅅彎偅⡓〲㐰ㄯⱆ⤰_x0018_＀＀_x0018_＀＀_x0008_＀＀_x0001_＀＀_x0001_＀＀竡긔㿢严_x000F_潫偞偟䥒䕃丨坏착_x0018_＀＀_x0018_＀＀_x0008_＀＀_x0001_＀＀_x0001_＀＀긕呺䁑䯳_x001A_䱃䕞元䵟䅅彎偅⡓〲㜰㐯ⱆ⤰_x0018_＀＀_x0018_＀＀_x0008_＀＀_x0001_＀＀_x0001_＀＀蔟凫Ẹ㿭䯳_x001A_䱃䕞元䵟䅅彎偅⡓〲〱㈯ⱆ⤰_x0018_＀＀_x0018_＀＀_x0008_＀＀_x0001_＀＀_x0001_＀＀晉໵쎷㿲䯳_x001A_䱃䕞元䵟䅅彎偅⡓〲㠰㈯ⱆ⤰_x0018_＀＀_x0018_＀＀_x0008_＀＀_x0001_＀＀_x0001_＀＀轜尨㿯酗䴞_x0010_佋䍞彑䥄彖䱙⡄⤰_x0018_＀＀_x0018_＀＀_x0008_＀＀_x0001_＀＀_x0001_＀＀_xDC6E_繢桮䀅䯳_x001A_䱃䕞元䵟䅅彎偅⡓〲㌰㌯ⱆ⤰_x0018_＀＀_x0018_＀＀_x0008_＀＀_x0001_＀＀_x0001_＀＀尩슏⣵㿤䯳_x001A_䱃䕞元䵟䅅彎偅⡓〲〰㐯ⱆ⤰_x0018_＀＀_x0018_＀＀_x0008_＀＀_x0001_＀＀_x0001_＀＀╰㘻焂㿝䯳_x001A_䱃䕞元䵟䅅彎偅⡓〲㄰㈯ⱆ⤰_x0018_＀＀_x0018_＀＀_x0008_＀＀_x0001_＀＀_x0001_＀＀鮞鲑ᖧ㿞ﵥ䳻_x000F_佋偞㄁⼲㔰㈯㄰찰_x0018_＀＀_x0018_＀＀_x0008_＀＀_x0001_＀＀_x0001_＀＀＀＀＀＀ 䁐䯳_x001A_䱃䕞元䵟䅅彎偅⡓〲㔰㌯ⱆ⤰_x0018_＀＀_x0018_＀＀_x0008_＀＀_x0001_＀＀_x0001_＀＀㵱휊炣㿥㞟䲎_x000F_佋偞㄁⼲ㄳ㈯〰참_x0018_＀＀_x0018_＀＀_x0008_＀＀_x0001_＀＀_x0001_＀＀尨ꊏ䁆䯳_x001A_䱃䕞元䵟䅅彎偅⡓〲㘰ㄯⱆ⤰_x0018_＀＀_x0018_＀＀_x0008_＀＀_x0001_＀＀_x0001_＀＀尨슏㿥䯳_x001A_䱃䕞元䵟䅅彎偅⡓〲㤰㐯ⱆ⤰_x0018_＀＀_x0018_＀＀_x0008_＀＀_x0001_＀＀_x0001_＀＀轜尨㿳雰䴞_x000F_佋偞㄁⼲ㄳ㈯㄰찰_x0018_＀＀_x0018_＀＀_x0008_＀＀_x0001_＀＀_x0001_＀＀竡긔煇䁐_xDE26_䳫_x000F_佋偞㄁⼱㌲㈯㄰찰_x0018_＀＀_x0018_＀＀_x0008_＀＀_x0001_＀＀_x0001_＀＀릜䁏攘䳺_x000F_佋偞㄁⼲㐰㈯㄰찰_x0018_＀＀_x0018_＀＀_x0008_＀＀_x0001_＀＀_x0001_＀＀＀＀＀＀ 䁐䯳_x001A_䱃䕞元䵟䅅彎偅⡓〲㜰㌯ⱆ⤰_x0018_＀＀_x0018_＀＀_x0008_＀＀_x0001_＀＀_x0001_＀＀롑蔞㿫䯳_x001A_䱃䕞元䵟䅅彎偅⡓〲〱ㄯⱆ⤰_x0018_＀＀_x0018_＀＀_x0008_＀＀_x0001_＀＀_x0001_＀＀轜尨㿳䯳_x001A_䱃䕞元䵟䅅彎偅⡓〲㠰ㄯⱆ⤰_x0018_＀＀_x0018_＀＀_x0008_＀＀_x0001_＀＀_x0001_＀＀쳍쳌쳌㿬㚷䲎_x0010_〴㌴帴䵃卟午䬨⥏＀＀＀＀䯳_x001A_䱃䕞元䵟䅅彎偅⡓〲㈰㐯ⱆ⤰_x0018_＀＀_x0018_＀＀_x0008_＀＀_x0001_＀＀_x0001_＀＀諝鈎_xD94F_㿢䯳_x001A_䱃䕞元䵟䅅彎偅⡓〲㌰㈯ⱆ⤰_x0018_＀＀_x0018_＀＀_x0008_＀＀_x0001_＀＀_x0001_＀＀ꏗ㵰휊㿣䯳_x001A_䱃䕞元䵟䅅彎偅⡓〲〰㌯ⱆ⤰_x0018_＀＀_x0018_＀＀_x0008_＀＀_x0001_＀＀_x0001_＀＀ಲ걱_xDB8B_㿛㛞䲎_x0010_佋䍞彍䡓⡓〴㌴⤴_x0018_＀＀_x0018_＀＀_x0008_＀＀_x0001_＀＀_x0001_＀＀＀＀＀＀؀䂢䯳_x001A_䱃䕞元䵟䅅彎偅⡓〲㄰ㄯⱆ⤰_x0018_＀＀_x0018_＀＀_x0008_＀＀_x0001_＀＀_x0001_＀＀尩슏⣵㿜䯳_x001A_䱃䕞元䵟䅅彎偅⡓〲㐰㐯ⱆ⤰_x0018_＀＀_x0018_＀＀_x0008_＀＀_x0001_＀＀_x0001_＀＀竡긔㿢䯳_x001A_䱃䕞元䵟䅅彎偅⡓〲㔰㈯ⱆ⤰_x0018_＀＀_x0018_＀＀_x0008_＀＀_x0001_＀＀_x0001_＀＀㵱휊炣㿥㚷䲎_x0010_㤳ㄸ帳䵃卟午䬨⥏＀＀＀＀䯳_x001A_䱃䕞元䵟䅅彎偅⡓〲㤰㌯ⱆ⤰_x0018_＀＀_x0018_＀＀_x0008_＀＀_x0001_＀＀_x0001_＀＀凬Ẹ㿱䯳_x001A_䱃䕞元䵟䅅彎偅⡓〲㜰㈯ⱆ⤰_x0018_＀＀_x0018_＀＀_x0008_＀＀_x0001_＀＀_x0001_＀＀竡긔㿪㛏䲎_x0010_佋䍞彍䡓⡓㤳ㄸ⤳_x0018_＀＀_x0018_＀＀_x0008_＀＀_x0001_＀＀_x0001_＀＀＀＀＀＀က䂢䯳_x001A_䱃䕞元䵟䅅彎偅⡓〲㈰㌯ⱆ⤰_x0018_＀＀_x0018_＀＀_x0008_＀＀_x0001_＀＀_x0001_＀＀웢Ⳓ㕵㿢傉䷩_x000F_佋䙞彇䭍彔䅖啌책_x0018_＀＀_x0018_＀＀_x0008_＀＀_x0001_＀＀_x0001_＀＀롑俶䄂䯳_x001A_䱃䕞元䵟䅅彎偅⡓〲㌰ㄯⱆ⤰_x0018_＀＀_x0018_＀＀_x0008_＀＀_x0001_＀＀_x0001_＀＀凬Ẹ㿡䯳_x001A_䱃䕞元䵟䅅彎偅⡓〲㘰㐯ⱆ⤰_x0018_＀＀_x0018_＀＀_x0008_＀＀_x0001_＀＀_x0001_＀＀⣶轜㿨竬䰷_x000F_䱃䙞彇䭍彔䅖啌책_x0018_＀＀_x0018_＀＀_x0008_＀＀_x0001_＀＀_x0001_＀＀盉龾킢䃣</t>
        </r>
      </text>
    </comment>
    <comment ref="B1" authorId="0">
      <text>
        <r>
          <rPr>
            <b/>
            <sz val="8"/>
            <color indexed="81"/>
            <rFont val="Tahoma"/>
            <family val="2"/>
          </rPr>
          <t>2157</t>
        </r>
      </text>
    </comment>
  </commentList>
</comments>
</file>

<file path=xl/sharedStrings.xml><?xml version="1.0" encoding="utf-8"?>
<sst xmlns="http://schemas.openxmlformats.org/spreadsheetml/2006/main" count="2330" uniqueCount="790">
  <si>
    <t xml:space="preserve">Net Cash Provided by (Used In) Financing Activities </t>
  </si>
  <si>
    <t xml:space="preserve">Effect of Exchange Rate Changes on Cash </t>
  </si>
  <si>
    <t>Short-Term Investments</t>
  </si>
  <si>
    <t xml:space="preserve">Cash &amp; Cash Equivalents </t>
  </si>
  <si>
    <t>Net Operating Revenues</t>
  </si>
  <si>
    <t>Cost of Goods Sold</t>
  </si>
  <si>
    <t>SG&amp;A</t>
  </si>
  <si>
    <t>Interest Income</t>
  </si>
  <si>
    <t>Interest Expense</t>
  </si>
  <si>
    <t>Equity Income (Loss), Net</t>
  </si>
  <si>
    <t>Other Income (Loss), Net</t>
  </si>
  <si>
    <t>Less: Net Income to Noncontrolling Interests</t>
  </si>
  <si>
    <t>Organic Sales Growth</t>
  </si>
  <si>
    <t>North America</t>
  </si>
  <si>
    <t>Latin America</t>
  </si>
  <si>
    <t>FY2008</t>
  </si>
  <si>
    <t>FY2007</t>
  </si>
  <si>
    <t>FY2006</t>
  </si>
  <si>
    <t>FY2005</t>
  </si>
  <si>
    <t>FY2009</t>
  </si>
  <si>
    <t>% Growth</t>
  </si>
  <si>
    <t xml:space="preserve">US Household Products and Beverages </t>
  </si>
  <si>
    <t>Dara Mohsenian, CFA</t>
  </si>
  <si>
    <t>(212) 761 - 6575</t>
  </si>
  <si>
    <t>dara.mohsenian@morganstanley.com</t>
  </si>
  <si>
    <t>Income Statement</t>
  </si>
  <si>
    <t>% of Sales Bps Change</t>
  </si>
  <si>
    <t>% of Sales</t>
  </si>
  <si>
    <t>Gross Profit</t>
  </si>
  <si>
    <t>Gross Margin %</t>
  </si>
  <si>
    <t>Gross Margin Bps Change</t>
  </si>
  <si>
    <t>Operating Income</t>
  </si>
  <si>
    <t>Operating Margin</t>
  </si>
  <si>
    <t>Operating Margin Bps Change</t>
  </si>
  <si>
    <t>Pretax Income</t>
  </si>
  <si>
    <t>Taxes</t>
  </si>
  <si>
    <t>Tax Rate</t>
  </si>
  <si>
    <t>Net Income</t>
  </si>
  <si>
    <t>EPS Diluted</t>
  </si>
  <si>
    <t>EPS % Growth</t>
  </si>
  <si>
    <t>Reported Net Income</t>
  </si>
  <si>
    <t>Reported Diluted EPS</t>
  </si>
  <si>
    <t>Basic Shares</t>
  </si>
  <si>
    <t>Diluted Shares</t>
  </si>
  <si>
    <t>Share repurchases (in millions)</t>
  </si>
  <si>
    <t>Beginning basic</t>
  </si>
  <si>
    <t>Shares Issued</t>
  </si>
  <si>
    <t>Shares Repurchased</t>
  </si>
  <si>
    <t>Ending basic shares</t>
  </si>
  <si>
    <t>Average basic shares</t>
  </si>
  <si>
    <t>Dilutive Effect of Stock Options</t>
  </si>
  <si>
    <t>Average diluted shares</t>
  </si>
  <si>
    <t>Shares repurchased</t>
  </si>
  <si>
    <t>Share Price</t>
  </si>
  <si>
    <t>$ Repurchases</t>
  </si>
  <si>
    <t>Balance Sheet</t>
  </si>
  <si>
    <t>Assets</t>
  </si>
  <si>
    <t>Surplus Cash</t>
  </si>
  <si>
    <t>Receivables, Net</t>
  </si>
  <si>
    <t>Inventories</t>
  </si>
  <si>
    <t>Total Current Assets</t>
  </si>
  <si>
    <t>PP&amp;E, Net</t>
  </si>
  <si>
    <t>Other Assets</t>
  </si>
  <si>
    <t>Total Assets</t>
  </si>
  <si>
    <t>Liabilities</t>
  </si>
  <si>
    <t>Short-Term Debt</t>
  </si>
  <si>
    <t>Est. Options Proceeds</t>
  </si>
  <si>
    <t>Est. Net Share Repurchases</t>
  </si>
  <si>
    <t>Total Current Liabilities</t>
  </si>
  <si>
    <t>Deferred Income Taxes</t>
  </si>
  <si>
    <t>Other Liabilities</t>
  </si>
  <si>
    <t>Total Liabilities</t>
  </si>
  <si>
    <t>Shareholders' Equity</t>
  </si>
  <si>
    <t>Common Stock</t>
  </si>
  <si>
    <t>Accumulated Other Comprehensive Income (Loss)</t>
  </si>
  <si>
    <t>Treasury Stock</t>
  </si>
  <si>
    <t>Total Shareholders' Equity</t>
  </si>
  <si>
    <t>Check</t>
  </si>
  <si>
    <t>Cash Flow</t>
  </si>
  <si>
    <t>Depreciation and Amortization</t>
  </si>
  <si>
    <t>Stock-Based Compensation Expense</t>
  </si>
  <si>
    <t>Net Increase (Decrease) in Cash and Cash Equivs</t>
  </si>
  <si>
    <t>Cash and Cash Equivs, Beg</t>
  </si>
  <si>
    <t>Cash and Cash Equivs, End</t>
  </si>
  <si>
    <t>Cash Flow Statistics</t>
  </si>
  <si>
    <t>Cash Flow From Operations</t>
  </si>
  <si>
    <t>Free Cash Flow (Cash Flow Oper. Less Capex)</t>
  </si>
  <si>
    <t>Free Cash Flow Per Share</t>
  </si>
  <si>
    <t>% growth</t>
  </si>
  <si>
    <t>Cash Returned to Shareholders</t>
  </si>
  <si>
    <t>Bottling</t>
  </si>
  <si>
    <t>Other synergies-150M 3-yr program 2009-2011</t>
  </si>
  <si>
    <t>Round 2 deal synergies</t>
  </si>
  <si>
    <t>Ex CCE</t>
  </si>
  <si>
    <t>Ex CCE/round 1</t>
  </si>
  <si>
    <t>Ex CCE/round 1-2</t>
  </si>
  <si>
    <t>Ex CCE/round 1-2-3</t>
  </si>
  <si>
    <t>KO NA Profit</t>
  </si>
  <si>
    <t>YOY growth</t>
  </si>
  <si>
    <t>Deal synergies-350 announced, realized yr one</t>
  </si>
  <si>
    <t>Cash Returned to Shareholders as % Available</t>
  </si>
  <si>
    <t>Ratios</t>
  </si>
  <si>
    <t>COGS % Sales</t>
  </si>
  <si>
    <t>SGA % Sales</t>
  </si>
  <si>
    <t>Taxes % Pretax Income</t>
  </si>
  <si>
    <t>Cash % of Sales</t>
  </si>
  <si>
    <t>AR % of Sales</t>
  </si>
  <si>
    <t>AR Days</t>
  </si>
  <si>
    <t>Inventories % COGS</t>
  </si>
  <si>
    <t>Inventory Days</t>
  </si>
  <si>
    <t>Capex, net of dispositions</t>
  </si>
  <si>
    <t>Addition to PPE as % Sales</t>
  </si>
  <si>
    <t>Depreciation % opening PPE</t>
  </si>
  <si>
    <t>Depreciation % Net PPE</t>
  </si>
  <si>
    <t>AP Days</t>
  </si>
  <si>
    <t>Total Debt</t>
  </si>
  <si>
    <t>Net Debt</t>
  </si>
  <si>
    <t>Interest Rate on Debt</t>
  </si>
  <si>
    <t>Net Debt/LTM EBITDA</t>
  </si>
  <si>
    <t>Memo Item:  D&amp;A</t>
  </si>
  <si>
    <t>Memo Item:  EBITDA (excluding charges)</t>
  </si>
  <si>
    <t>Memo Item:  EBITDA Margin</t>
  </si>
  <si>
    <t>Capital Employed</t>
  </si>
  <si>
    <t>ROIC</t>
  </si>
  <si>
    <t>Operating Profit</t>
  </si>
  <si>
    <t>NOPAT</t>
  </si>
  <si>
    <t>Cash Conversion Cycle</t>
  </si>
  <si>
    <t>Days Inventory</t>
  </si>
  <si>
    <t>Days Recievable</t>
  </si>
  <si>
    <t>Days Payable</t>
  </si>
  <si>
    <t>Capex</t>
  </si>
  <si>
    <t>Jun-18 E</t>
  </si>
  <si>
    <t>Sep-18 E</t>
  </si>
  <si>
    <t>Dec-18 E</t>
  </si>
  <si>
    <t>FY2018E</t>
  </si>
  <si>
    <t>Mar-19 E</t>
  </si>
  <si>
    <t>Jun-19 E</t>
  </si>
  <si>
    <t>Sep-19 E</t>
  </si>
  <si>
    <t>Dec-19 E</t>
  </si>
  <si>
    <t>FY2019E</t>
  </si>
  <si>
    <t>Unrecorded Goodwill</t>
  </si>
  <si>
    <t>NM</t>
  </si>
  <si>
    <t>Statutory Tax Rate</t>
  </si>
  <si>
    <t>Currency Impact on Revenue</t>
  </si>
  <si>
    <t>Acquisitions and Disposals</t>
  </si>
  <si>
    <t>Revenue NA</t>
  </si>
  <si>
    <t>Revenue Europe</t>
  </si>
  <si>
    <t>Sales Mix</t>
  </si>
  <si>
    <t>USD</t>
  </si>
  <si>
    <t>Mar-21 E</t>
  </si>
  <si>
    <t>Jun-21 E</t>
  </si>
  <si>
    <t>Sep-21 E</t>
  </si>
  <si>
    <t>Dec-21 E</t>
  </si>
  <si>
    <t>FY2021E</t>
  </si>
  <si>
    <t>FY2013</t>
  </si>
  <si>
    <r>
      <t>MEMO: Selling Expenses (</t>
    </r>
    <r>
      <rPr>
        <i/>
        <sz val="12"/>
        <rFont val="Arial"/>
        <family val="2"/>
      </rPr>
      <t>Annual Disclosure</t>
    </r>
    <r>
      <rPr>
        <sz val="12"/>
        <rFont val="Arial"/>
        <family val="2"/>
      </rPr>
      <t>)</t>
    </r>
  </si>
  <si>
    <r>
      <t>MEMO: Advertising Expenses (</t>
    </r>
    <r>
      <rPr>
        <i/>
        <sz val="12"/>
        <rFont val="Arial"/>
        <family val="2"/>
      </rPr>
      <t>Annual Disclosure</t>
    </r>
    <r>
      <rPr>
        <sz val="12"/>
        <rFont val="Arial"/>
        <family val="2"/>
      </rPr>
      <t>)</t>
    </r>
  </si>
  <si>
    <t>KO.N,mscalc:targetPrice</t>
  </si>
  <si>
    <t>$T$2</t>
  </si>
  <si>
    <t>Total</t>
  </si>
  <si>
    <t>Operating Profit Mix</t>
  </si>
  <si>
    <t>NA</t>
  </si>
  <si>
    <t>Dividend Payout Ratio</t>
  </si>
  <si>
    <t>Other Liabilities as % of Sales</t>
  </si>
  <si>
    <t>Accrued Income Taxes as % of Sales</t>
  </si>
  <si>
    <t xml:space="preserve">Deferred Income Taxes as % of Sales </t>
  </si>
  <si>
    <t>D&amp;A as % of Sales</t>
  </si>
  <si>
    <t>This sheet contains Factset binary data for use with this workbook's =FDS codes.  Modifying the worksheet's contents may damage the workbook's =FDS functionality.</t>
  </si>
  <si>
    <t>Model</t>
  </si>
  <si>
    <t>-</t>
  </si>
  <si>
    <t xml:space="preserve"> </t>
  </si>
  <si>
    <t>Long-Term Debt</t>
  </si>
  <si>
    <t>CL.N,mscalc:closePriceCurrencyCalc</t>
  </si>
  <si>
    <t>CL.N,mscalc:sedolCodeCalc</t>
  </si>
  <si>
    <t>CL.N,mscalc:targetPrice,,,,USD</t>
  </si>
  <si>
    <t>Invested Capital</t>
  </si>
  <si>
    <t>Tax rate</t>
  </si>
  <si>
    <t>2209106</t>
  </si>
  <si>
    <t xml:space="preserve">Coca-Cola </t>
  </si>
  <si>
    <t>Coca-Cola</t>
  </si>
  <si>
    <t>Regional Segments</t>
  </si>
  <si>
    <t>($ millions)</t>
  </si>
  <si>
    <t>Eurasia &amp; Africa</t>
  </si>
  <si>
    <t>Europe</t>
  </si>
  <si>
    <t>Pacific</t>
  </si>
  <si>
    <t>Bottling Investments</t>
  </si>
  <si>
    <t>Corporate</t>
  </si>
  <si>
    <t>Eurasia</t>
  </si>
  <si>
    <t xml:space="preserve">  Price/Mix</t>
  </si>
  <si>
    <t xml:space="preserve">  FX Impact</t>
  </si>
  <si>
    <t xml:space="preserve">  % Sales Growth</t>
  </si>
  <si>
    <t xml:space="preserve">  Unit Case Volume</t>
  </si>
  <si>
    <t xml:space="preserve">  Concentrate Sales </t>
  </si>
  <si>
    <t xml:space="preserve">  Structural Change/Other</t>
  </si>
  <si>
    <t>Intercompany Elims</t>
  </si>
  <si>
    <t>Net Revenues</t>
  </si>
  <si>
    <t xml:space="preserve">  % of Gross Sales</t>
  </si>
  <si>
    <t xml:space="preserve">  YoY Growth</t>
  </si>
  <si>
    <t>Consolidated</t>
  </si>
  <si>
    <t>n.m.f.</t>
  </si>
  <si>
    <t>Operating Margin YoY ∆ (Bps)</t>
  </si>
  <si>
    <t>YoY Growth</t>
  </si>
  <si>
    <t>Corporate (as % of net sales)</t>
  </si>
  <si>
    <t>Dividends</t>
  </si>
  <si>
    <t>Goodwill</t>
  </si>
  <si>
    <t xml:space="preserve">Reconciliation to GAAP EPS </t>
  </si>
  <si>
    <t>Consolidated Net Income</t>
  </si>
  <si>
    <t>Net Income Attributable to Shareholders</t>
  </si>
  <si>
    <t>Issuances/Payments of Debt, Net</t>
  </si>
  <si>
    <t>Interest Rate on Cash</t>
  </si>
  <si>
    <t>Cash &amp; ST Investments</t>
  </si>
  <si>
    <t>Prepaids and Other CA % Sales</t>
  </si>
  <si>
    <t>Other Assets % Sales</t>
  </si>
  <si>
    <t>A/P and Accrued Expenses % COGS</t>
  </si>
  <si>
    <t xml:space="preserve">Dividend Per Share </t>
  </si>
  <si>
    <t>Capital Charge</t>
  </si>
  <si>
    <t xml:space="preserve">  WACC</t>
  </si>
  <si>
    <t xml:space="preserve">  </t>
  </si>
  <si>
    <t>Economic Profit</t>
  </si>
  <si>
    <t xml:space="preserve">Avg. Capital Employed </t>
  </si>
  <si>
    <t>Economic Profit Calculation (EVA)</t>
  </si>
  <si>
    <t>CCE</t>
  </si>
  <si>
    <t>Selling and Advertising</t>
  </si>
  <si>
    <t>MEMO: Components of SG&amp;A</t>
  </si>
  <si>
    <t>General and Administrative</t>
  </si>
  <si>
    <t>Reported % Growth</t>
  </si>
  <si>
    <t>Adj. Operating Profit</t>
  </si>
  <si>
    <t>Currency Neutral YoY Operating Income Growth</t>
  </si>
  <si>
    <t xml:space="preserve">Currency Impact on Op Income After Considering Items Impacting Comparability </t>
  </si>
  <si>
    <t>YoY Change After Considering Non-GAAP Items (Including FX)</t>
  </si>
  <si>
    <t>Mar-22 E</t>
  </si>
  <si>
    <t>Jun-22 E</t>
  </si>
  <si>
    <t>Sep-22 E</t>
  </si>
  <si>
    <t>Dec-22 E</t>
  </si>
  <si>
    <t>FY2022E</t>
  </si>
  <si>
    <t>Africa</t>
  </si>
  <si>
    <t>Currency Neutral YoY Gross Profit Growth</t>
  </si>
  <si>
    <t>Operating Leverage</t>
  </si>
  <si>
    <t>FY2004</t>
  </si>
  <si>
    <t>FY2003</t>
  </si>
  <si>
    <t>FY2002</t>
  </si>
  <si>
    <t>FY2001</t>
  </si>
  <si>
    <t>FY2000</t>
  </si>
  <si>
    <t>Mar-20 E</t>
  </si>
  <si>
    <t>Jun-20 E</t>
  </si>
  <si>
    <t>Sep-20 E</t>
  </si>
  <si>
    <t>Dec-20 E</t>
  </si>
  <si>
    <t>FY2020E</t>
  </si>
  <si>
    <t>% Est. Organic Growth</t>
  </si>
  <si>
    <t>Net Operating Revenue</t>
  </si>
  <si>
    <t xml:space="preserve">  KO Ownership in CCE</t>
  </si>
  <si>
    <t xml:space="preserve">  CCE Adj. Net Earnings</t>
  </si>
  <si>
    <t>Bob Doctor, CFA</t>
  </si>
  <si>
    <t xml:space="preserve">  Sparkling</t>
  </si>
  <si>
    <t xml:space="preserve">  Non-Carb</t>
  </si>
  <si>
    <t xml:space="preserve">  Trademark Coke as % of Total</t>
  </si>
  <si>
    <t xml:space="preserve">United States as % Total </t>
  </si>
  <si>
    <t xml:space="preserve">  Trademark Coke as % of US</t>
  </si>
  <si>
    <t xml:space="preserve">ROW as % Total </t>
  </si>
  <si>
    <t>Unit Case Mix %</t>
  </si>
  <si>
    <t>Total Unit Cases (millions 192 ou cases)</t>
  </si>
  <si>
    <t>$/Case</t>
  </si>
  <si>
    <t>MEMO:  BIG</t>
  </si>
  <si>
    <t>Total Impact from Items Impacting Comparability (pre-tax)</t>
  </si>
  <si>
    <t>Total Impact from Items Impacting Comparability (after-tax)</t>
  </si>
  <si>
    <t>FY2011</t>
  </si>
  <si>
    <t>KO.N</t>
  </si>
  <si>
    <t>,mscalc:sedolCodeCalc</t>
  </si>
  <si>
    <t>,mscalc:closePriceCurrencyCalc</t>
  </si>
  <si>
    <t>,mscalc:targetPrice,,,,USD</t>
  </si>
  <si>
    <t>Coca-Cola Co.</t>
  </si>
  <si>
    <t>Geographic Data</t>
  </si>
  <si>
    <t xml:space="preserve">  United States</t>
  </si>
  <si>
    <t xml:space="preserve">  International </t>
  </si>
  <si>
    <t xml:space="preserve">    Total</t>
  </si>
  <si>
    <t>Geographic Mix</t>
  </si>
  <si>
    <t>Free Cash Flow Conversion</t>
  </si>
  <si>
    <t>Unit Volume Growth by Category</t>
  </si>
  <si>
    <t>Brand Coca Cola</t>
  </si>
  <si>
    <t>Sparkling (Total)</t>
  </si>
  <si>
    <t>Still Beverages (Total)</t>
  </si>
  <si>
    <t xml:space="preserve">  Intl. Sparkling</t>
  </si>
  <si>
    <t xml:space="preserve">  Intl. Still </t>
  </si>
  <si>
    <t xml:space="preserve">  NA Still</t>
  </si>
  <si>
    <t>NP</t>
  </si>
  <si>
    <t xml:space="preserve">  NA Sparkling</t>
  </si>
  <si>
    <t>Est. Wtd. Strike Price on Option Proceeds</t>
  </si>
  <si>
    <t>Company</t>
  </si>
  <si>
    <t>Rating</t>
  </si>
  <si>
    <t>PCC &lt; 150 8-ounce servings/year</t>
  </si>
  <si>
    <t>Sales Incentives</t>
  </si>
  <si>
    <t>Ad Spending</t>
  </si>
  <si>
    <t>% Sales</t>
  </si>
  <si>
    <t>Currency</t>
  </si>
  <si>
    <t>Current Stock Price</t>
  </si>
  <si>
    <t>Count</t>
  </si>
  <si>
    <t>Bottling and Distribution Expenses</t>
  </si>
  <si>
    <t>Other Operating Expenses</t>
  </si>
  <si>
    <t>KO.N,mscalc:sedolCodeCalc</t>
  </si>
  <si>
    <t>KO.N,mscalc:targetPrice,,,,USD</t>
  </si>
  <si>
    <t>KO.N,mscalc:closePriceCurrencyCalc</t>
  </si>
  <si>
    <t>Equity Income Adjustment (Post CCE Deal)</t>
  </si>
  <si>
    <t xml:space="preserve">  Adj. to KO Equity Earnings</t>
  </si>
  <si>
    <t>(212) 761 - 7250</t>
  </si>
  <si>
    <t>bob.doctor@morganstanley.com</t>
  </si>
  <si>
    <t>Multiplier</t>
  </si>
  <si>
    <t>LBO Model Items</t>
  </si>
  <si>
    <t>Net Sales</t>
  </si>
  <si>
    <t>Other Non-Op Income</t>
  </si>
  <si>
    <t xml:space="preserve">EBITDA </t>
  </si>
  <si>
    <t>Other Adjustments</t>
  </si>
  <si>
    <t>Changes in Working Capital</t>
  </si>
  <si>
    <t>SOS</t>
  </si>
  <si>
    <t>Cash - Beginning Balance</t>
  </si>
  <si>
    <t>2206657</t>
  </si>
  <si>
    <t>FY2010</t>
  </si>
  <si>
    <t xml:space="preserve">  Acq Impact on Volume Growth</t>
  </si>
  <si>
    <t xml:space="preserve">  Est. Organic Growth</t>
  </si>
  <si>
    <t>FX Impact on Gross Profit After Considering Items Impacting Comparability</t>
  </si>
  <si>
    <t>Marketable Securities</t>
  </si>
  <si>
    <t>Prepaid Expenses and Other Current Assets</t>
  </si>
  <si>
    <t>Equity Method Investments</t>
  </si>
  <si>
    <t>Other Investments, Principally Bottling Companies</t>
  </si>
  <si>
    <t>Trademarks with Indefinite Lives</t>
  </si>
  <si>
    <t>Loans and Notes Payable</t>
  </si>
  <si>
    <t>Current Maturities of Long-Term Debt</t>
  </si>
  <si>
    <t>Accounts Payable and Accrued Expenses</t>
  </si>
  <si>
    <t>Capital Surplus</t>
  </si>
  <si>
    <t>Reinvested Earnings</t>
  </si>
  <si>
    <t>Equity Attributable to Non-Controlling Interests</t>
  </si>
  <si>
    <t>Foreign Currency Adjustments</t>
  </si>
  <si>
    <t>Gains on Sales of Assets, Including Bottling Interests</t>
  </si>
  <si>
    <t>Other Operating Charges</t>
  </si>
  <si>
    <t>Other Items</t>
  </si>
  <si>
    <t>Net Change in Operating Assets and Liabilities</t>
  </si>
  <si>
    <t>Cumulative Effect of Accounting Change</t>
  </si>
  <si>
    <t>Operating Activites</t>
  </si>
  <si>
    <t>Investing Activities</t>
  </si>
  <si>
    <t xml:space="preserve">Total Liabilities &amp; Shareholders' Equity </t>
  </si>
  <si>
    <t>Equity Income or Loss, Net of Dividends</t>
  </si>
  <si>
    <t>FY2012</t>
  </si>
  <si>
    <t xml:space="preserve">Purchases of PP&amp;E </t>
  </si>
  <si>
    <t>Proceeds from Disposals of PP&amp;E</t>
  </si>
  <si>
    <t>Other Investing Activities</t>
  </si>
  <si>
    <t>Net Cash Provided by Operating Activities</t>
  </si>
  <si>
    <t>Net Cash Provided by (Used In) Investing Activities</t>
  </si>
  <si>
    <t>Financing Activities</t>
  </si>
  <si>
    <t>Issuances of Stock</t>
  </si>
  <si>
    <t>Purchases of Stock for Treasury</t>
  </si>
  <si>
    <t>FY2014</t>
  </si>
  <si>
    <t>Acquisitions of businesses, equity method investments and nonmarketable securities</t>
  </si>
  <si>
    <t>Proceeds from disposals of businesses, equity method investments and nonmarketable securities</t>
  </si>
  <si>
    <t>Purchases of Investments (Net)</t>
  </si>
  <si>
    <t>FX Gain/Loss from euro-denominated debt</t>
  </si>
  <si>
    <t>LT Debt Issued</t>
  </si>
  <si>
    <t>Impact to EPS</t>
  </si>
  <si>
    <t>FY16</t>
  </si>
  <si>
    <t>Other Intangibile Assets</t>
  </si>
  <si>
    <t>FY2015</t>
  </si>
  <si>
    <t>Sales Mix (Pre 2016 Restatement)</t>
  </si>
  <si>
    <t>Bottling Investments (Pre 2016 Restatement)</t>
  </si>
  <si>
    <t>North America (Pre 2016 Restatement)</t>
  </si>
  <si>
    <t>Operating Profit Mix (Pre 2016 Restatement)</t>
  </si>
  <si>
    <t xml:space="preserve">  Reported Volume</t>
  </si>
  <si>
    <t>NA Refranchising pace</t>
  </si>
  <si>
    <t>Add CCNA Sales to Bottlers</t>
  </si>
  <si>
    <t>CCR Revenues</t>
  </si>
  <si>
    <t>BIG NA Revenue</t>
  </si>
  <si>
    <t>% of NA</t>
  </si>
  <si>
    <t>Europe Structural Change</t>
  </si>
  <si>
    <t>China Revenue</t>
  </si>
  <si>
    <t>Y-o-Y Growth</t>
  </si>
  <si>
    <t>China Structural Change</t>
  </si>
  <si>
    <t>Total BIG Structural Change</t>
  </si>
  <si>
    <t>PF</t>
  </si>
  <si>
    <t>BIG Refranchising Impact</t>
  </si>
  <si>
    <t>Germany Revenue</t>
  </si>
  <si>
    <t>Refranchising Estimates (Don't Delete)</t>
  </si>
  <si>
    <t>NA Concentrate Sales to CCR (No Refranchising Assumed)</t>
  </si>
  <si>
    <t>Actual NA Intersegment Revenue Est</t>
  </si>
  <si>
    <t>BIG NA Incremental Structural Change</t>
  </si>
  <si>
    <t>Bottler Refranchised Territory Revenues (Drives Sub-Bottling Payment Est.)</t>
  </si>
  <si>
    <t>Accrued Income Taxes, Other</t>
  </si>
  <si>
    <t>ROTC</t>
  </si>
  <si>
    <t>Intangible Capital</t>
  </si>
  <si>
    <t>Tangible Capital</t>
  </si>
  <si>
    <t>Europe, Middle East, Africa</t>
  </si>
  <si>
    <t>FY2016</t>
  </si>
  <si>
    <t>Asia Pacific</t>
  </si>
  <si>
    <t>Filippo Falorni, CFA</t>
  </si>
  <si>
    <t>(212) 296 - 4965</t>
  </si>
  <si>
    <t>filippo.falorni@morganstanley.com</t>
  </si>
  <si>
    <t>Unit case + price</t>
  </si>
  <si>
    <t>FY17</t>
  </si>
  <si>
    <t>Coroporate</t>
  </si>
  <si>
    <t>EMEA</t>
  </si>
  <si>
    <t>LATAM</t>
  </si>
  <si>
    <t>Asia Pac</t>
  </si>
  <si>
    <t>NOPAT (including equity income)</t>
  </si>
  <si>
    <t>Scott Rotondi</t>
  </si>
  <si>
    <t>(212) 761 - 9196</t>
  </si>
  <si>
    <t>scott.rotondi@morganstanley.com</t>
  </si>
  <si>
    <t>FY2017</t>
  </si>
  <si>
    <t>49</t>
  </si>
  <si>
    <t>Research</t>
  </si>
  <si>
    <t>MSA12783</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</si>
  <si>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</si>
  <si>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</si>
  <si>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</si>
  <si>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</si>
  <si>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</si>
  <si>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</si>
  <si>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</si>
  <si>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Dara Mohsenian</t>
  </si>
  <si>
    <t>Date: 24 Apr 2018</t>
  </si>
  <si>
    <t>Ticker: KO.N</t>
  </si>
  <si>
    <t>Stock Rating: Equal-Weight</t>
  </si>
  <si>
    <t>Industry: Beverages</t>
  </si>
  <si>
    <t>Industry View: In-Line</t>
  </si>
  <si>
    <t>Price as of 24 Apr 2018: 43.07</t>
  </si>
  <si>
    <t>Target Price: 49</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</si>
  <si>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</si>
  <si>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</si>
  <si>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</si>
  <si>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</si>
  <si>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Coca-Cola Co..</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</si>
  <si>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</si>
  <si>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</si>
  <si>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</si>
  <si>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</si>
  <si>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</si>
  <si>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</si>
  <si>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</si>
  <si>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</si>
  <si>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</si>
  <si>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</si>
  <si>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</si>
  <si>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</si>
  <si>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</si>
  <si>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</si>
  <si>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</si>
  <si>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</si>
  <si>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</si>
  <si>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</si>
  <si>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</si>
  <si>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</si>
  <si>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</si>
  <si>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</si>
  <si>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</si>
  <si>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</si>
  <si>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</si>
  <si>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</si>
  <si>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</si>
  <si>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</si>
  <si>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</si>
  <si>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</si>
  <si>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</si>
  <si>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</si>
  <si>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</si>
  <si>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</si>
  <si>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</si>
  <si>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</si>
  <si>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</si>
  <si>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</si>
  <si>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</si>
  <si>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</si>
  <si>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</si>
  <si>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</si>
  <si>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</si>
  <si>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</si>
  <si>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</si>
  <si>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</si>
  <si>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</si>
  <si>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</si>
  <si>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</si>
  <si>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</si>
  <si>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</si>
  <si>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</si>
  <si>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</si>
  <si>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</si>
  <si>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</si>
  <si>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</si>
  <si>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</si>
  <si>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</si>
  <si>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</si>
  <si>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</si>
  <si>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</si>
  <si>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</si>
  <si>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</si>
  <si>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</si>
  <si>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</si>
  <si>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</si>
  <si>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</si>
  <si>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</si>
  <si>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</si>
  <si>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</si>
  <si>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</si>
  <si>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</si>
  <si>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</si>
  <si>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</si>
  <si>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</si>
  <si>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</si>
  <si>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</si>
  <si>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</si>
  <si>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</si>
  <si>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</si>
  <si>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</si>
  <si>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</si>
  <si>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</si>
  <si>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</si>
  <si>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</si>
  <si>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</si>
  <si>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</si>
  <si>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</si>
  <si>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</si>
  <si>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</si>
  <si>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</si>
  <si>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</si>
  <si>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</si>
  <si>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</si>
  <si>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</si>
  <si>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</si>
  <si>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</si>
  <si>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</si>
  <si>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</si>
  <si>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</si>
  <si>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</si>
  <si>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</si>
  <si>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</si>
  <si>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</si>
  <si>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</si>
  <si>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</si>
  <si>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</si>
  <si>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</si>
  <si>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</si>
  <si>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</si>
  <si>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</si>
  <si>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</si>
  <si>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</si>
  <si>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</si>
  <si>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</si>
  <si>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</si>
  <si>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</si>
  <si>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</si>
  <si>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</si>
  <si>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</si>
  <si>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</si>
  <si>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</si>
  <si>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</si>
  <si>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</si>
  <si>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</si>
  <si>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</si>
  <si>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</si>
  <si>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</si>
  <si>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</si>
  <si>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</si>
  <si>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</si>
  <si>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</si>
  <si>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</si>
  <si>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</si>
  <si>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</si>
  <si>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</si>
  <si>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</si>
  <si>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</si>
  <si>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</si>
  <si>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</si>
  <si>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</si>
  <si>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</si>
  <si>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</si>
  <si>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</si>
  <si>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</si>
  <si>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</si>
  <si>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</si>
  <si>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</si>
  <si>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</si>
  <si>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</si>
  <si>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</si>
  <si>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</si>
  <si>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</si>
  <si>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</si>
  <si>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</si>
  <si>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</si>
  <si>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</si>
  <si>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</si>
  <si>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</si>
  <si>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</si>
  <si>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</si>
  <si>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</si>
  <si>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</si>
  <si>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</si>
  <si>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</si>
  <si>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</si>
  <si>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</si>
  <si>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</si>
  <si>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</si>
  <si>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</si>
  <si>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</si>
  <si>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</si>
  <si>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</si>
  <si>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</si>
  <si>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</si>
  <si>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</si>
  <si>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Coca-Cola Co..</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</si>
  <si>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</si>
  <si>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</si>
  <si>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</si>
  <si>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</si>
  <si>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</si>
  <si>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</si>
  <si>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</si>
  <si>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</si>
  <si>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</si>
  <si>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</si>
  <si>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</si>
  <si>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</si>
  <si>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</si>
  <si>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</si>
  <si>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</si>
  <si>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</si>
  <si>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</si>
  <si>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</si>
  <si>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</si>
  <si>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</si>
  <si>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</si>
  <si>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</si>
  <si>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</si>
  <si>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</si>
  <si>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</si>
  <si>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</si>
  <si>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</si>
  <si>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</si>
  <si>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</si>
  <si>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</si>
  <si>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</si>
  <si>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</si>
  <si>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</si>
  <si>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</si>
  <si>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</si>
  <si>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</si>
  <si>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</si>
  <si>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</si>
  <si>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</si>
  <si>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</si>
  <si>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</si>
  <si>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</si>
  <si>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</si>
  <si>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</si>
  <si>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</si>
  <si>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</si>
  <si>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</si>
  <si>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</si>
  <si>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</si>
  <si>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</si>
  <si>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</si>
  <si>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</si>
  <si>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</si>
  <si>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</si>
  <si>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</si>
  <si>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</si>
  <si>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</si>
  <si>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</si>
  <si>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</si>
  <si>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</si>
  <si>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</si>
  <si>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</si>
  <si>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</si>
  <si>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</si>
  <si>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</si>
  <si>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</si>
  <si>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</si>
  <si>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</si>
  <si>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Coca-Cola Co..</t>
  </si>
  <si>
    <t>Within the last 12 months, Morgan Stanley has provided or is providing investment banking services to,</t>
  </si>
  <si>
    <t>or has an investment banking client relationship with, the following company: Coca-Cola Co..</t>
  </si>
  <si>
    <t>Within the last 12 months, Morgan Stanley has received compensation for products and services other than</t>
  </si>
  <si>
    <t>investment banking services from Coca-Cola Co..</t>
  </si>
  <si>
    <t>In the next 3 months, Morgan Stanley expects to receive or intends to seek compensation for investment</t>
  </si>
  <si>
    <t>banking services from Coca-Cola Co..</t>
  </si>
  <si>
    <t>Within the last 12 months, Morgan Stanley has received compensation for investment banking services from</t>
  </si>
  <si>
    <t>Coca-Cola Co..</t>
  </si>
  <si>
    <t>As of March 29, 2018, Morgan Stanley beneficially owned 1% or more of a class of common equity</t>
  </si>
  <si>
    <t>securities of the following companies covered in Morgan Stanley Research: Coca-Cola Co..</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</si>
  <si>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</si>
  <si>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</si>
  <si>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</si>
  <si>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</si>
  <si>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</si>
  <si>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Dara Mohsenian,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</si>
  <si>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</si>
  <si>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</si>
  <si>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</si>
  <si>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</si>
  <si>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</si>
  <si>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</si>
  <si>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</si>
  <si>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</si>
  <si>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</si>
  <si>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</si>
  <si>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</si>
  <si>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</si>
  <si>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</si>
  <si>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</si>
  <si>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</si>
  <si>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</si>
  <si>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</si>
  <si>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</si>
  <si>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</si>
  <si>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</si>
  <si>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</si>
  <si>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</si>
  <si>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</si>
  <si>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</si>
  <si>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</si>
  <si>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SubjectCode</t>
  </si>
  <si>
    <t>Description</t>
  </si>
  <si>
    <t>KeepVersions</t>
  </si>
  <si>
    <t>All</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</si>
  <si>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</si>
  <si>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</si>
  <si>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</si>
  <si>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</si>
  <si>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</si>
  <si>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</si>
  <si>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</si>
  <si>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</si>
  <si>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</si>
  <si>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</si>
  <si>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</si>
  <si>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</si>
  <si>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</si>
  <si>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</si>
  <si>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</si>
  <si>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</si>
  <si>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</si>
  <si>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</si>
  <si>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</si>
  <si>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</si>
  <si>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</si>
  <si>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</si>
  <si>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</si>
  <si>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</si>
  <si>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</si>
  <si>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</si>
  <si>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</si>
  <si>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</si>
  <si>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</si>
  <si>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</si>
  <si>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</si>
  <si>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</si>
  <si>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</si>
  <si>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</si>
  <si>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</si>
  <si>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</si>
  <si>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</si>
  <si>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</si>
  <si>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filipf</t>
  </si>
  <si>
    <t>L:\CONSUMER\STAPLES\KO\Model\Published Model\Historical\KO_Model_Post Q1.xlsm</t>
  </si>
  <si>
    <t>[BRO MSA]</t>
  </si>
  <si>
    <t>[PRODUCT MODEL]</t>
  </si>
  <si>
    <t>[EMAIL_ALERT YES]</t>
  </si>
  <si>
    <t>[DISCIPLINE Company]</t>
  </si>
  <si>
    <t>[SUPPRESSED NO]</t>
  </si>
  <si>
    <t>[DOCDAT 2018-04-24]</t>
  </si>
  <si>
    <t>[DOCTIME 18:01]</t>
  </si>
  <si>
    <t>[PSYM KO.N(S&amp;P) (None)]</t>
  </si>
  <si>
    <t>[COU 1]</t>
  </si>
  <si>
    <t>[ANA ]</t>
  </si>
  <si>
    <t>[HL KO.N Model]</t>
  </si>
  <si>
    <t>[IND BEVALC]</t>
  </si>
  <si>
    <t>[PANA MSA12783]</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</si>
  <si>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</si>
  <si>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</si>
  <si>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</si>
  <si>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</si>
  <si>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</si>
  <si>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</si>
  <si>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</si>
  <si>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</si>
  <si>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</si>
  <si>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ImportantDisclosures</t>
  </si>
  <si>
    <t>SheetVisibilityStatus</t>
  </si>
  <si>
    <t>CircularReferenceAlert</t>
  </si>
  <si>
    <t>Cover</t>
  </si>
  <si>
    <t>Financial Statements</t>
  </si>
  <si>
    <t>Segments</t>
  </si>
  <si>
    <t>IndexInformation</t>
  </si>
  <si>
    <t>ModPubIndex</t>
  </si>
  <si>
    <t>__FDSCACHE__</t>
  </si>
  <si>
    <t>MW-Cache</t>
  </si>
  <si>
    <t>__APW_ACTIVE_FIELD_RESTORE__</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</si>
</sst>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
    <numFmt numFmtId="165" formatCode="#,##0.0"/>
    <numFmt numFmtId="166" formatCode="0.0"/>
    <numFmt numFmtId="167" formatCode="&quot;$&quot;#,##0.00"/>
    <numFmt numFmtId="168" formatCode="&quot;$&quot;#,##0.0"/>
    <numFmt numFmtId="169" formatCode="#,#00.0"/>
    <numFmt numFmtId="170" formatCode="_(* #,##0.0_);_(* \(#,##0.0\);_(* &quot;-&quot;??_);_(@_)"/>
    <numFmt numFmtId="171" formatCode="0.0&quot;x&quot;"/>
    <numFmt numFmtId="174" formatCode="#,##0.0_);[Red]\(#,##0.0\)"/>
    <numFmt numFmtId="175" formatCode="#,##0.0_);\(#,##0.0\)"/>
    <numFmt numFmtId="178" formatCode="_(* #,##0_);_(* \(#,##0\);_(* &quot;-&quot;??_);_(@_)"/>
    <numFmt numFmtId="182" formatCode="0\ &quot;bps&quot;;\(0\)\ &quot;bps&quot;"/>
    <numFmt numFmtId="183" formatCode="#,#00"/>
    <numFmt numFmtId="191" formatCode="#,##0;\(#,##0\)"/>
    <numFmt numFmtId="192" formatCode="_([$€-2]* #,##0.00_);_([$€-2]* \(#,##0.00\);_([$€-2]* &quot;-&quot;??_)"/>
    <numFmt numFmtId="194" formatCode="_(&quot;$&quot;* #,##0.000_);_(&quot;$&quot;* \(#,##0.000\);_(&quot;$&quot;* &quot;-&quot;??_);_(@_)"/>
    <numFmt numFmtId="196" formatCode="0.000%"/>
    <numFmt numFmtId="197" formatCode="0.00000%"/>
    <numFmt numFmtId="198" formatCode="#,##0.000"/>
    <numFmt numFmtId="199" formatCode="_(* #,##0.000_);_(* \(#,##0.000\);_(* &quot;-&quot;??_);_(@_)"/>
    <numFmt numFmtId="200" formatCode="&quot;$&quot;#,##0.000"/>
    <numFmt numFmtId="201" formatCode="_(&quot;$&quot;* #,##0_);_(&quot;$&quot;* \(#,##0\);_(&quot;$&quot;* &quot;-&quot;??_);_(@_)"/>
    <numFmt numFmtId="204" formatCode="#,#00.000"/>
    <numFmt numFmtId="205" formatCode="0.0000"/>
    <numFmt numFmtId="206" formatCode="0.000"/>
    <numFmt numFmtId="207" formatCode="0.0000000000000000%"/>
    <numFmt numFmtId="209" formatCode="[$€-2]\ #,##0"/>
    <numFmt numFmtId="216" formatCode="mm/dd/yy\ hh:mm"/>
  </numFmts>
  <fonts count="123" x14ac:knownFonts="1">
    <font>
      <sz val="10"/>
      <name val="Arial"/>
    </font>
    <font>
      <sz val="10"/>
      <name val="Arial"/>
      <family val="2"/>
    </font>
    <font>
      <sz val="10"/>
      <color indexed="8"/>
      <name val="MS Sans Serif"/>
      <family val="2"/>
    </font>
    <font>
      <sz val="8"/>
      <name val="Arial"/>
      <family val="2"/>
    </font>
    <font>
      <sz val="10"/>
      <color indexed="12"/>
      <name val="Arial"/>
      <family val="2"/>
    </font>
    <font>
      <sz val="10"/>
      <color indexed="9"/>
      <name val="Arial"/>
      <family val="2"/>
    </font>
    <font>
      <b/>
      <sz val="12"/>
      <color indexed="9"/>
      <name val="Arial"/>
      <family val="2"/>
    </font>
    <font>
      <sz val="12"/>
      <color indexed="9"/>
      <name val="Arial"/>
      <family val="2"/>
    </font>
    <font>
      <sz val="12"/>
      <color indexed="9"/>
      <name val="Arial"/>
      <family val="2"/>
    </font>
    <font>
      <b/>
      <sz val="14"/>
      <color indexed="9"/>
      <name val="Arial"/>
      <family val="2"/>
    </font>
    <font>
      <i/>
      <sz val="10"/>
      <color indexed="9"/>
      <name val="Arial"/>
      <family val="2"/>
    </font>
    <font>
      <sz val="10"/>
      <color indexed="9"/>
      <name val="Arial"/>
      <family val="2"/>
    </font>
    <font>
      <u/>
      <sz val="10"/>
      <color indexed="9"/>
      <name val="Arial"/>
      <family val="2"/>
    </font>
    <font>
      <u/>
      <sz val="10"/>
      <color indexed="12"/>
      <name val="Arial"/>
      <family val="2"/>
    </font>
    <font>
      <b/>
      <sz val="10"/>
      <color indexed="9"/>
      <name val="Arial"/>
      <family val="2"/>
    </font>
    <font>
      <b/>
      <sz val="10"/>
      <name val="Arial"/>
      <family val="2"/>
    </font>
    <font>
      <b/>
      <i/>
      <sz val="11"/>
      <color indexed="9"/>
      <name val="Arial"/>
      <family val="2"/>
    </font>
    <font>
      <b/>
      <i/>
      <sz val="10"/>
      <color indexed="9"/>
      <name val="Arial"/>
      <family val="2"/>
    </font>
    <font>
      <b/>
      <sz val="10"/>
      <color indexed="9"/>
      <name val="Arial"/>
      <family val="2"/>
    </font>
    <font>
      <b/>
      <u/>
      <sz val="10"/>
      <color indexed="9"/>
      <name val="Arial"/>
      <family val="2"/>
    </font>
    <font>
      <i/>
      <sz val="11"/>
      <color indexed="9"/>
      <name val="Arial"/>
      <family val="2"/>
    </font>
    <font>
      <sz val="8"/>
      <color indexed="81"/>
      <name val="Tahoma"/>
      <family val="2"/>
    </font>
    <font>
      <b/>
      <sz val="8"/>
      <color indexed="81"/>
      <name val="Tahoma"/>
      <family val="2"/>
    </font>
    <font>
      <sz val="11"/>
      <name val="Arial"/>
      <family val="2"/>
    </font>
    <font>
      <b/>
      <sz val="11"/>
      <name val="Arial"/>
      <family val="2"/>
    </font>
    <font>
      <sz val="8"/>
      <color indexed="12"/>
      <name val="Arial"/>
      <family val="2"/>
    </font>
    <font>
      <sz val="9"/>
      <name val="Times New Roman"/>
      <family val="1"/>
    </font>
    <font>
      <sz val="10"/>
      <name val="Arial"/>
      <family val="2"/>
    </font>
    <font>
      <sz val="10"/>
      <color indexed="10"/>
      <name val="Arial"/>
      <family val="2"/>
    </font>
    <font>
      <b/>
      <sz val="10"/>
      <color indexed="10"/>
      <name val="Arial"/>
      <family val="2"/>
    </font>
    <font>
      <b/>
      <sz val="10"/>
      <color indexed="12"/>
      <name val="Arial"/>
      <family val="2"/>
    </font>
    <font>
      <sz val="10"/>
      <color indexed="12"/>
      <name val="Arial"/>
      <family val="2"/>
    </font>
    <font>
      <sz val="10"/>
      <name val="MS Sans Serif"/>
      <family val="2"/>
    </font>
    <font>
      <b/>
      <sz val="10"/>
      <color indexed="8"/>
      <name val="Times New Roman"/>
      <family val="1"/>
    </font>
    <font>
      <b/>
      <sz val="12"/>
      <name val="Arial"/>
      <family val="2"/>
    </font>
    <font>
      <sz val="10"/>
      <color indexed="8"/>
      <name val="Times New Roman"/>
      <family val="1"/>
    </font>
    <font>
      <i/>
      <sz val="8"/>
      <name val="Times New Roman"/>
      <family val="1"/>
    </font>
    <font>
      <u/>
      <sz val="10"/>
      <name val="Arial"/>
      <family val="2"/>
    </font>
    <font>
      <sz val="10"/>
      <color indexed="8"/>
      <name val="Arial"/>
      <family val="2"/>
    </font>
    <font>
      <i/>
      <sz val="10"/>
      <name val="Arial"/>
      <family val="2"/>
    </font>
    <font>
      <b/>
      <u/>
      <sz val="10"/>
      <name val="Arial"/>
      <family val="2"/>
    </font>
    <font>
      <b/>
      <i/>
      <sz val="10"/>
      <name val="Arial"/>
      <family val="2"/>
    </font>
    <font>
      <b/>
      <sz val="12"/>
      <color indexed="10"/>
      <name val="Arial"/>
      <family val="2"/>
    </font>
    <font>
      <b/>
      <i/>
      <sz val="10"/>
      <color indexed="62"/>
      <name val="Arial"/>
      <family val="2"/>
    </font>
    <font>
      <b/>
      <u/>
      <sz val="10"/>
      <color indexed="12"/>
      <name val="Arial"/>
      <family val="2"/>
    </font>
    <font>
      <i/>
      <sz val="10"/>
      <color indexed="10"/>
      <name val="Arial"/>
      <family val="2"/>
    </font>
    <font>
      <b/>
      <i/>
      <sz val="10"/>
      <color indexed="10"/>
      <name val="Arial"/>
      <family val="2"/>
    </font>
    <font>
      <b/>
      <i/>
      <sz val="10"/>
      <color indexed="17"/>
      <name val="Arial"/>
      <family val="2"/>
    </font>
    <font>
      <b/>
      <u/>
      <sz val="10"/>
      <color indexed="10"/>
      <name val="Arial"/>
      <family val="2"/>
    </font>
    <font>
      <i/>
      <sz val="8"/>
      <color indexed="81"/>
      <name val="Tahoma"/>
      <family val="2"/>
    </font>
    <font>
      <b/>
      <sz val="12"/>
      <color indexed="12"/>
      <name val="Arial"/>
      <family val="2"/>
    </font>
    <font>
      <b/>
      <sz val="11"/>
      <color indexed="10"/>
      <name val="Arial"/>
      <family val="2"/>
    </font>
    <font>
      <sz val="12"/>
      <name val="Arial"/>
      <family val="2"/>
    </font>
    <font>
      <sz val="10"/>
      <color indexed="10"/>
      <name val="Arial"/>
      <family val="2"/>
    </font>
    <font>
      <sz val="12"/>
      <name val="Times New Roman"/>
      <family val="1"/>
    </font>
    <font>
      <sz val="8"/>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48"/>
      <name val="Arial"/>
      <family val="2"/>
    </font>
    <font>
      <sz val="10"/>
      <color indexed="44"/>
      <name val="Arial"/>
      <family val="2"/>
    </font>
    <font>
      <b/>
      <sz val="11"/>
      <color indexed="12"/>
      <name val="Arial"/>
      <family val="2"/>
    </font>
    <font>
      <sz val="9"/>
      <name val="Times New Roman"/>
      <family val="1"/>
    </font>
    <font>
      <sz val="9"/>
      <color indexed="81"/>
      <name val="Tahoma"/>
      <family val="2"/>
    </font>
    <font>
      <b/>
      <sz val="9"/>
      <color indexed="81"/>
      <name val="Tahoma"/>
      <family val="2"/>
    </font>
    <font>
      <sz val="10"/>
      <name val="Arial"/>
      <family val="2"/>
    </font>
    <font>
      <sz val="12"/>
      <color indexed="8"/>
      <name val="Arial"/>
      <family val="2"/>
    </font>
    <font>
      <sz val="11"/>
      <color indexed="8"/>
      <name val="Arial"/>
      <family val="2"/>
    </font>
    <font>
      <sz val="11"/>
      <color indexed="12"/>
      <name val="Arial"/>
      <family val="2"/>
    </font>
    <font>
      <b/>
      <sz val="11"/>
      <color indexed="16"/>
      <name val="Arial"/>
      <family val="2"/>
    </font>
    <font>
      <sz val="11"/>
      <color indexed="10"/>
      <name val="Arial"/>
      <family val="2"/>
    </font>
    <font>
      <i/>
      <sz val="11"/>
      <name val="Arial"/>
      <family val="2"/>
    </font>
    <font>
      <b/>
      <sz val="11"/>
      <color indexed="14"/>
      <name val="Arial"/>
      <family val="2"/>
    </font>
    <font>
      <b/>
      <sz val="11"/>
      <color indexed="8"/>
      <name val="Arial"/>
      <family val="2"/>
    </font>
    <font>
      <b/>
      <i/>
      <sz val="11"/>
      <color indexed="12"/>
      <name val="Arial"/>
      <family val="2"/>
    </font>
    <font>
      <b/>
      <sz val="11"/>
      <color indexed="23"/>
      <name val="Arial"/>
      <family val="2"/>
    </font>
    <font>
      <b/>
      <u/>
      <sz val="11"/>
      <name val="Arial"/>
      <family val="2"/>
    </font>
    <font>
      <sz val="12"/>
      <color indexed="12"/>
      <name val="Arial"/>
      <family val="2"/>
    </font>
    <font>
      <b/>
      <sz val="12"/>
      <color indexed="17"/>
      <name val="Arial"/>
      <family val="2"/>
    </font>
    <font>
      <b/>
      <sz val="12"/>
      <color indexed="16"/>
      <name val="Arial"/>
      <family val="2"/>
    </font>
    <font>
      <sz val="12"/>
      <color indexed="10"/>
      <name val="Arial"/>
      <family val="2"/>
    </font>
    <font>
      <i/>
      <sz val="12"/>
      <name val="Arial"/>
      <family val="2"/>
    </font>
    <font>
      <i/>
      <sz val="12"/>
      <color indexed="8"/>
      <name val="Arial"/>
      <family val="2"/>
    </font>
    <font>
      <b/>
      <i/>
      <sz val="12"/>
      <color indexed="10"/>
      <name val="Arial"/>
      <family val="2"/>
    </font>
    <font>
      <sz val="10"/>
      <name val="Arial"/>
      <family val="2"/>
    </font>
    <font>
      <b/>
      <sz val="12"/>
      <color indexed="23"/>
      <name val="Arial"/>
      <family val="2"/>
    </font>
    <font>
      <sz val="10"/>
      <name val="Arial"/>
      <family val="2"/>
    </font>
    <font>
      <b/>
      <sz val="12"/>
      <color rgb="FFFF0000"/>
      <name val="Arial"/>
      <family val="2"/>
    </font>
    <font>
      <sz val="10"/>
      <color rgb="FFFF0000"/>
      <name val="Arial"/>
      <family val="2"/>
    </font>
    <font>
      <sz val="10"/>
      <color theme="1"/>
      <name val="Arial"/>
      <family val="2"/>
    </font>
    <font>
      <sz val="10"/>
      <color rgb="FF0000FF"/>
      <name val="Arial"/>
      <family val="2"/>
    </font>
    <font>
      <i/>
      <sz val="10"/>
      <color theme="4"/>
      <name val="Arial"/>
      <family val="2"/>
    </font>
    <font>
      <sz val="10"/>
      <color theme="4"/>
      <name val="Arial"/>
      <family val="2"/>
    </font>
    <font>
      <sz val="12"/>
      <color rgb="FFFF0000"/>
      <name val="Arial"/>
      <family val="2"/>
    </font>
    <font>
      <b/>
      <sz val="11"/>
      <color rgb="FFFF0000"/>
      <name val="Arial"/>
      <family val="2"/>
    </font>
    <font>
      <sz val="12"/>
      <color theme="1"/>
      <name val="Arial"/>
      <family val="2"/>
    </font>
    <font>
      <sz val="11"/>
      <color theme="1"/>
      <name val="Arial"/>
      <family val="2"/>
    </font>
    <font>
      <u/>
      <sz val="10"/>
      <color theme="0"/>
      <name val="Arial"/>
      <family val="2"/>
    </font>
    <font>
      <b/>
      <sz val="10"/>
      <color rgb="FFFF0000"/>
      <name val="Arial"/>
      <family val="2"/>
    </font>
    <font>
      <b/>
      <sz val="12"/>
      <color theme="1"/>
      <name val="Arial"/>
      <family val="2"/>
    </font>
    <font>
      <i/>
      <sz val="11"/>
      <color theme="1"/>
      <name val="Arial"/>
      <family val="2"/>
    </font>
    <font>
      <i/>
      <sz val="10"/>
      <color rgb="FF0000FF"/>
      <name val="Arial"/>
      <family val="2"/>
    </font>
    <font>
      <sz val="11"/>
      <color rgb="FFFF0000"/>
      <name val="Arial"/>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26">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26"/>
        <bgColor indexed="64"/>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indexed="65"/>
        <bgColor indexed="64"/>
      </patternFill>
    </fill>
  </fills>
  <borders count="2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7">
    <xf numFmtId="0" fontId="0" fillId="0" borderId="0"/>
    <xf numFmtId="0" fontId="1" fillId="0" borderId="0"/>
    <xf numFmtId="0" fontId="2"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32" fillId="0" borderId="0"/>
    <xf numFmtId="0" fontId="32" fillId="0" borderId="0"/>
    <xf numFmtId="0" fontId="56" fillId="2" borderId="0" applyNumberFormat="0" applyBorder="0" applyAlignment="0" applyProtection="0"/>
    <xf numFmtId="0" fontId="56" fillId="3" borderId="0" applyNumberFormat="0" applyBorder="0" applyAlignment="0" applyProtection="0"/>
    <xf numFmtId="0" fontId="56" fillId="4" borderId="0" applyNumberFormat="0" applyBorder="0" applyAlignment="0" applyProtection="0"/>
    <xf numFmtId="0" fontId="56" fillId="2" borderId="0" applyNumberFormat="0" applyBorder="0" applyAlignment="0" applyProtection="0"/>
    <xf numFmtId="0" fontId="56" fillId="5" borderId="0" applyNumberFormat="0" applyBorder="0" applyAlignment="0" applyProtection="0"/>
    <xf numFmtId="0" fontId="56" fillId="4" borderId="0" applyNumberFormat="0" applyBorder="0" applyAlignment="0" applyProtection="0"/>
    <xf numFmtId="0" fontId="56" fillId="6" borderId="0" applyNumberFormat="0" applyBorder="0" applyAlignment="0" applyProtection="0"/>
    <xf numFmtId="0" fontId="56" fillId="3" borderId="0" applyNumberFormat="0" applyBorder="0" applyAlignment="0" applyProtection="0"/>
    <xf numFmtId="0" fontId="56" fillId="4" borderId="0" applyNumberFormat="0" applyBorder="0" applyAlignment="0" applyProtection="0"/>
    <xf numFmtId="0" fontId="56" fillId="6" borderId="0" applyNumberFormat="0" applyBorder="0" applyAlignment="0" applyProtection="0"/>
    <xf numFmtId="0" fontId="56" fillId="7" borderId="0" applyNumberFormat="0" applyBorder="0" applyAlignment="0" applyProtection="0"/>
    <xf numFmtId="0" fontId="56" fillId="4" borderId="0" applyNumberFormat="0" applyBorder="0" applyAlignment="0" applyProtection="0"/>
    <xf numFmtId="0" fontId="57" fillId="8" borderId="0" applyNumberFormat="0" applyBorder="0" applyAlignment="0" applyProtection="0"/>
    <xf numFmtId="0" fontId="57" fillId="3" borderId="0" applyNumberFormat="0" applyBorder="0" applyAlignment="0" applyProtection="0"/>
    <xf numFmtId="0" fontId="57" fillId="9" borderId="0" applyNumberFormat="0" applyBorder="0" applyAlignment="0" applyProtection="0"/>
    <xf numFmtId="0" fontId="57" fillId="6" borderId="0" applyNumberFormat="0" applyBorder="0" applyAlignment="0" applyProtection="0"/>
    <xf numFmtId="0" fontId="57" fillId="8" borderId="0" applyNumberFormat="0" applyBorder="0" applyAlignment="0" applyProtection="0"/>
    <xf numFmtId="0" fontId="57" fillId="4" borderId="0" applyNumberFormat="0" applyBorder="0" applyAlignment="0" applyProtection="0"/>
    <xf numFmtId="0" fontId="57" fillId="8" borderId="0" applyNumberFormat="0" applyBorder="0" applyAlignment="0" applyProtection="0"/>
    <xf numFmtId="0" fontId="57" fillId="3"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8" borderId="0" applyNumberFormat="0" applyBorder="0" applyAlignment="0" applyProtection="0"/>
    <xf numFmtId="0" fontId="57" fillId="3" borderId="0" applyNumberFormat="0" applyBorder="0" applyAlignment="0" applyProtection="0"/>
    <xf numFmtId="0" fontId="58" fillId="11" borderId="0" applyNumberFormat="0" applyBorder="0" applyAlignment="0" applyProtection="0"/>
    <xf numFmtId="0" fontId="33" fillId="0" borderId="0"/>
    <xf numFmtId="0" fontId="59" fillId="12" borderId="1" applyNumberFormat="0" applyAlignment="0" applyProtection="0"/>
    <xf numFmtId="0" fontId="60" fillId="13" borderId="2" applyNumberFormat="0" applyAlignment="0" applyProtection="0"/>
    <xf numFmtId="43" fontId="1" fillId="0" borderId="0" applyFont="0" applyFill="0" applyBorder="0" applyAlignment="0" applyProtection="0"/>
    <xf numFmtId="44" fontId="1" fillId="0" borderId="0" applyFont="0" applyFill="0" applyBorder="0" applyAlignment="0" applyProtection="0"/>
    <xf numFmtId="44" fontId="78" fillId="0" borderId="0" applyFont="0" applyFill="0" applyBorder="0" applyAlignment="0" applyProtection="0"/>
    <xf numFmtId="44" fontId="27" fillId="0" borderId="0" applyFont="0" applyFill="0" applyBorder="0" applyAlignment="0" applyProtection="0"/>
    <xf numFmtId="44" fontId="97" fillId="0" borderId="0" applyFont="0" applyFill="0" applyBorder="0" applyAlignment="0" applyProtection="0"/>
    <xf numFmtId="192" fontId="1" fillId="0" borderId="0" applyFont="0" applyFill="0" applyBorder="0" applyAlignment="0" applyProtection="0"/>
    <xf numFmtId="0" fontId="61" fillId="0" borderId="0" applyNumberFormat="0" applyFill="0" applyBorder="0" applyAlignment="0" applyProtection="0"/>
    <xf numFmtId="191" fontId="55" fillId="0" borderId="0"/>
    <xf numFmtId="0" fontId="62" fillId="14" borderId="0" applyNumberFormat="0" applyBorder="0" applyAlignment="0" applyProtection="0"/>
    <xf numFmtId="0" fontId="63" fillId="0" borderId="3" applyNumberFormat="0" applyFill="0" applyAlignment="0" applyProtection="0"/>
    <xf numFmtId="0" fontId="64" fillId="0" borderId="4" applyNumberFormat="0" applyFill="0" applyAlignment="0" applyProtection="0"/>
    <xf numFmtId="0" fontId="65" fillId="0" borderId="5" applyNumberFormat="0" applyFill="0" applyAlignment="0" applyProtection="0"/>
    <xf numFmtId="0" fontId="65" fillId="0" borderId="0" applyNumberFormat="0" applyFill="0" applyBorder="0" applyAlignment="0" applyProtection="0"/>
    <xf numFmtId="0" fontId="13" fillId="0" borderId="0" applyNumberFormat="0" applyFill="0" applyBorder="0" applyAlignment="0" applyProtection="0">
      <alignment vertical="top"/>
      <protection locked="0"/>
    </xf>
    <xf numFmtId="191" fontId="25" fillId="15" borderId="0"/>
    <xf numFmtId="0" fontId="66" fillId="0" borderId="6" applyNumberFormat="0" applyFill="0" applyAlignment="0" applyProtection="0"/>
    <xf numFmtId="0" fontId="67" fillId="4" borderId="0" applyNumberFormat="0" applyBorder="0" applyAlignment="0" applyProtection="0"/>
    <xf numFmtId="0" fontId="27" fillId="0" borderId="0"/>
    <xf numFmtId="0" fontId="1" fillId="0" borderId="0">
      <alignment horizontal="left" vertical="top" wrapText="1"/>
    </xf>
    <xf numFmtId="0" fontId="2" fillId="0" borderId="0" applyNumberFormat="0" applyFont="0" applyFill="0" applyBorder="0" applyAlignment="0" applyProtection="0"/>
    <xf numFmtId="0" fontId="75" fillId="0" borderId="0"/>
    <xf numFmtId="0" fontId="1" fillId="0" borderId="0"/>
    <xf numFmtId="0" fontId="1" fillId="0" borderId="0"/>
    <xf numFmtId="0" fontId="1" fillId="4" borderId="7" applyNumberFormat="0" applyFont="0" applyAlignment="0" applyProtection="0"/>
    <xf numFmtId="0" fontId="68" fillId="12" borderId="8" applyNumberFormat="0" applyAlignment="0" applyProtection="0"/>
    <xf numFmtId="0" fontId="26" fillId="0" borderId="0">
      <alignment vertical="center"/>
    </xf>
    <xf numFmtId="9" fontId="1" fillId="0" borderId="0" applyFont="0" applyFill="0" applyBorder="0" applyAlignment="0" applyProtection="0"/>
    <xf numFmtId="0" fontId="27" fillId="16" borderId="0" applyNumberFormat="0" applyFont="0" applyBorder="0" applyAlignment="0" applyProtection="0"/>
    <xf numFmtId="0" fontId="35" fillId="0" borderId="0"/>
    <xf numFmtId="0" fontId="35" fillId="0" borderId="9">
      <alignment horizontal="centerContinuous"/>
    </xf>
    <xf numFmtId="0" fontId="36" fillId="0" borderId="9"/>
    <xf numFmtId="0" fontId="1" fillId="0" borderId="0">
      <alignment vertical="top"/>
    </xf>
    <xf numFmtId="0" fontId="1" fillId="0" borderId="0">
      <alignment vertical="top"/>
    </xf>
    <xf numFmtId="0" fontId="69" fillId="0" borderId="0" applyNumberFormat="0" applyFill="0" applyBorder="0" applyAlignment="0" applyProtection="0"/>
    <xf numFmtId="0" fontId="70" fillId="0" borderId="10" applyNumberFormat="0" applyFill="0" applyAlignment="0" applyProtection="0"/>
    <xf numFmtId="0" fontId="71" fillId="0" borderId="0" applyNumberFormat="0" applyFill="0" applyBorder="0" applyAlignment="0" applyProtection="0"/>
    <xf numFmtId="43" fontId="1" fillId="0" borderId="0" applyFont="0" applyFill="0" applyBorder="0" applyAlignment="0" applyProtection="0"/>
    <xf numFmtId="0" fontId="1" fillId="0" borderId="0"/>
    <xf numFmtId="0" fontId="1" fillId="16" borderId="0" applyNumberFormat="0" applyFont="0" applyBorder="0" applyAlignment="0" applyProtection="0"/>
    <xf numFmtId="0" fontId="116" fillId="0" borderId="0"/>
  </cellStyleXfs>
  <cellXfs count="880">
    <xf numFmtId="0" fontId="0" fillId="0" borderId="0" xfId="0"/>
    <xf numFmtId="0" fontId="4" fillId="17" borderId="0" xfId="59" applyFont="1" applyFill="1"/>
    <xf numFmtId="0" fontId="1" fillId="17" borderId="0" xfId="68" applyFont="1" applyFill="1" applyAlignment="1"/>
    <xf numFmtId="0" fontId="5" fillId="17" borderId="0" xfId="59" applyFont="1" applyFill="1"/>
    <xf numFmtId="0" fontId="6" fillId="17" borderId="0" xfId="59" applyFont="1" applyFill="1" applyBorder="1"/>
    <xf numFmtId="0" fontId="7" fillId="17" borderId="0" xfId="59" applyFont="1" applyFill="1" applyBorder="1"/>
    <xf numFmtId="0" fontId="8" fillId="17" borderId="0" xfId="59" applyFont="1" applyFill="1" applyBorder="1"/>
    <xf numFmtId="0" fontId="9" fillId="17" borderId="0" xfId="59" applyFont="1" applyFill="1" applyBorder="1"/>
    <xf numFmtId="0" fontId="10" fillId="17" borderId="0" xfId="59" applyFont="1" applyFill="1" applyBorder="1"/>
    <xf numFmtId="0" fontId="11" fillId="17" borderId="0" xfId="59" applyFont="1" applyFill="1" applyBorder="1"/>
    <xf numFmtId="0" fontId="12" fillId="17" borderId="0" xfId="50" applyFont="1" applyFill="1" applyAlignment="1" applyProtection="1"/>
    <xf numFmtId="0" fontId="14" fillId="17" borderId="0" xfId="59" applyFont="1" applyFill="1" applyBorder="1"/>
    <xf numFmtId="0" fontId="15" fillId="17" borderId="0" xfId="68" applyFont="1" applyFill="1" applyAlignment="1"/>
    <xf numFmtId="0" fontId="16" fillId="17" borderId="0" xfId="59" applyFont="1" applyFill="1" applyBorder="1"/>
    <xf numFmtId="0" fontId="17" fillId="17" borderId="0" xfId="59" applyFont="1" applyFill="1" applyBorder="1"/>
    <xf numFmtId="0" fontId="18" fillId="17" borderId="0" xfId="59" applyFont="1" applyFill="1" applyBorder="1"/>
    <xf numFmtId="0" fontId="19" fillId="17" borderId="0" xfId="50" applyFont="1" applyFill="1" applyAlignment="1" applyProtection="1"/>
    <xf numFmtId="0" fontId="20" fillId="17" borderId="0" xfId="59" applyFont="1" applyFill="1" applyBorder="1"/>
    <xf numFmtId="0" fontId="23" fillId="0" borderId="0" xfId="0" applyFont="1"/>
    <xf numFmtId="0" fontId="15" fillId="0" borderId="0" xfId="0" applyFont="1"/>
    <xf numFmtId="0" fontId="24" fillId="0" borderId="0" xfId="0" applyFont="1"/>
    <xf numFmtId="0" fontId="0" fillId="18" borderId="0" xfId="0" applyFill="1"/>
    <xf numFmtId="0" fontId="15" fillId="18" borderId="0" xfId="0" applyFont="1" applyFill="1" applyBorder="1"/>
    <xf numFmtId="164" fontId="27" fillId="18" borderId="0" xfId="63" applyNumberFormat="1" applyFont="1" applyFill="1"/>
    <xf numFmtId="17" fontId="15" fillId="19" borderId="14" xfId="0" applyNumberFormat="1" applyFont="1" applyFill="1" applyBorder="1" applyAlignment="1">
      <alignment horizontal="center"/>
    </xf>
    <xf numFmtId="0" fontId="27" fillId="18" borderId="0" xfId="0" applyFont="1" applyFill="1"/>
    <xf numFmtId="17" fontId="15" fillId="19" borderId="16" xfId="0" applyNumberFormat="1" applyFont="1" applyFill="1" applyBorder="1" applyAlignment="1">
      <alignment horizontal="center"/>
    </xf>
    <xf numFmtId="164" fontId="27" fillId="19" borderId="17" xfId="63" applyNumberFormat="1" applyFont="1" applyFill="1" applyBorder="1" applyAlignment="1">
      <alignment horizontal="center"/>
    </xf>
    <xf numFmtId="0" fontId="27" fillId="19" borderId="17" xfId="0" applyFont="1" applyFill="1" applyBorder="1"/>
    <xf numFmtId="0" fontId="39" fillId="18" borderId="0" xfId="0" applyFont="1" applyFill="1"/>
    <xf numFmtId="0" fontId="27" fillId="18" borderId="0" xfId="0" applyFont="1" applyFill="1" applyBorder="1"/>
    <xf numFmtId="0" fontId="40" fillId="18" borderId="0" xfId="0" applyFont="1" applyFill="1"/>
    <xf numFmtId="164" fontId="27" fillId="18" borderId="0" xfId="0" applyNumberFormat="1" applyFont="1" applyFill="1"/>
    <xf numFmtId="0" fontId="27" fillId="18" borderId="11" xfId="0" applyFont="1" applyFill="1" applyBorder="1"/>
    <xf numFmtId="0" fontId="15" fillId="18" borderId="0" xfId="0" applyFont="1" applyFill="1"/>
    <xf numFmtId="164" fontId="27" fillId="19" borderId="18" xfId="63" applyNumberFormat="1" applyFont="1" applyFill="1" applyBorder="1" applyAlignment="1">
      <alignment horizontal="center"/>
    </xf>
    <xf numFmtId="164" fontId="27" fillId="18" borderId="0" xfId="63" applyNumberFormat="1" applyFont="1" applyFill="1" applyBorder="1" applyAlignment="1">
      <alignment horizontal="center"/>
    </xf>
    <xf numFmtId="164" fontId="15" fillId="18" borderId="14" xfId="63" applyNumberFormat="1" applyFont="1" applyFill="1" applyBorder="1" applyAlignment="1">
      <alignment horizontal="center"/>
    </xf>
    <xf numFmtId="164" fontId="15" fillId="18" borderId="0" xfId="63" applyNumberFormat="1" applyFont="1" applyFill="1" applyBorder="1" applyAlignment="1">
      <alignment horizontal="center"/>
    </xf>
    <xf numFmtId="49" fontId="0" fillId="0" borderId="0" xfId="0" applyNumberFormat="1"/>
    <xf numFmtId="164" fontId="30" fillId="18" borderId="0" xfId="63" applyNumberFormat="1" applyFont="1" applyFill="1" applyBorder="1" applyAlignment="1">
      <alignment horizontal="center"/>
    </xf>
    <xf numFmtId="164" fontId="31" fillId="18" borderId="0" xfId="63" applyNumberFormat="1" applyFont="1" applyFill="1" applyBorder="1" applyAlignment="1">
      <alignment horizontal="center"/>
    </xf>
    <xf numFmtId="9" fontId="27" fillId="18" borderId="0" xfId="63" applyFont="1" applyFill="1" applyBorder="1" applyAlignment="1">
      <alignment horizontal="center"/>
    </xf>
    <xf numFmtId="164" fontId="38" fillId="18" borderId="0" xfId="63" applyNumberFormat="1" applyFont="1" applyFill="1" applyBorder="1" applyAlignment="1">
      <alignment horizontal="center"/>
    </xf>
    <xf numFmtId="164" fontId="31" fillId="19" borderId="17" xfId="63" applyNumberFormat="1" applyFont="1" applyFill="1" applyBorder="1" applyAlignment="1">
      <alignment horizontal="center"/>
    </xf>
    <xf numFmtId="0" fontId="27" fillId="18" borderId="0" xfId="58" applyFont="1" applyFill="1" applyBorder="1" applyAlignment="1"/>
    <xf numFmtId="0" fontId="27" fillId="18" borderId="0" xfId="0" applyFont="1" applyFill="1" applyBorder="1" applyAlignment="1"/>
    <xf numFmtId="0" fontId="27" fillId="18" borderId="12" xfId="58" applyFont="1" applyFill="1" applyBorder="1" applyAlignment="1"/>
    <xf numFmtId="0" fontId="43" fillId="18" borderId="0" xfId="0" applyFont="1" applyFill="1" applyProtection="1">
      <protection locked="0"/>
    </xf>
    <xf numFmtId="37" fontId="27" fillId="18" borderId="0" xfId="58" applyNumberFormat="1" applyFont="1" applyFill="1" applyBorder="1" applyAlignment="1">
      <alignment horizontal="center"/>
    </xf>
    <xf numFmtId="0" fontId="40" fillId="18" borderId="0" xfId="58" applyFont="1" applyFill="1" applyBorder="1" applyAlignment="1">
      <alignment horizontal="center"/>
    </xf>
    <xf numFmtId="37" fontId="27" fillId="18" borderId="0" xfId="37" applyNumberFormat="1" applyFont="1" applyFill="1" applyBorder="1" applyAlignment="1">
      <alignment horizontal="center"/>
    </xf>
    <xf numFmtId="0" fontId="15" fillId="18" borderId="12" xfId="58" applyFont="1" applyFill="1" applyBorder="1" applyAlignment="1"/>
    <xf numFmtId="37" fontId="15" fillId="18" borderId="0" xfId="37" applyNumberFormat="1" applyFont="1" applyFill="1" applyBorder="1" applyAlignment="1">
      <alignment horizontal="center"/>
    </xf>
    <xf numFmtId="37" fontId="40" fillId="18" borderId="0" xfId="58" applyNumberFormat="1" applyFont="1" applyFill="1" applyBorder="1" applyAlignment="1">
      <alignment horizontal="center"/>
    </xf>
    <xf numFmtId="164" fontId="40" fillId="18" borderId="0" xfId="63" applyNumberFormat="1" applyFont="1" applyFill="1" applyBorder="1" applyAlignment="1">
      <alignment horizontal="center"/>
    </xf>
    <xf numFmtId="164" fontId="28" fillId="18" borderId="0" xfId="63" applyNumberFormat="1" applyFont="1" applyFill="1" applyBorder="1" applyAlignment="1">
      <alignment horizontal="center"/>
    </xf>
    <xf numFmtId="178" fontId="27" fillId="18" borderId="0" xfId="37" applyNumberFormat="1" applyFont="1" applyFill="1" applyBorder="1" applyAlignment="1">
      <alignment horizontal="center"/>
    </xf>
    <xf numFmtId="0" fontId="15" fillId="18" borderId="0" xfId="58" applyFont="1" applyFill="1" applyBorder="1" applyAlignment="1"/>
    <xf numFmtId="9" fontId="27" fillId="18" borderId="0" xfId="63" applyNumberFormat="1" applyFont="1" applyFill="1" applyBorder="1" applyAlignment="1">
      <alignment horizontal="center"/>
    </xf>
    <xf numFmtId="170" fontId="15" fillId="19" borderId="15" xfId="37" applyNumberFormat="1" applyFont="1" applyFill="1" applyBorder="1" applyAlignment="1">
      <alignment horizontal="left"/>
    </xf>
    <xf numFmtId="37" fontId="15" fillId="18" borderId="0" xfId="58" applyNumberFormat="1" applyFont="1" applyFill="1" applyBorder="1" applyAlignment="1">
      <alignment horizontal="center"/>
    </xf>
    <xf numFmtId="164" fontId="46" fillId="18" borderId="0" xfId="0" applyNumberFormat="1" applyFont="1" applyFill="1" applyAlignment="1">
      <alignment horizontal="center"/>
    </xf>
    <xf numFmtId="174" fontId="46" fillId="18" borderId="12" xfId="0" applyNumberFormat="1" applyFont="1" applyFill="1" applyBorder="1" applyAlignment="1">
      <alignment horizontal="left"/>
    </xf>
    <xf numFmtId="37" fontId="27" fillId="19" borderId="17" xfId="37" applyNumberFormat="1" applyFont="1" applyFill="1" applyBorder="1" applyAlignment="1">
      <alignment horizontal="center"/>
    </xf>
    <xf numFmtId="37" fontId="15" fillId="19" borderId="17" xfId="37" applyNumberFormat="1" applyFont="1" applyFill="1" applyBorder="1" applyAlignment="1">
      <alignment horizontal="center"/>
    </xf>
    <xf numFmtId="9" fontId="27" fillId="19" borderId="17" xfId="63" applyFont="1" applyFill="1" applyBorder="1" applyAlignment="1">
      <alignment horizontal="center"/>
    </xf>
    <xf numFmtId="0" fontId="40" fillId="19" borderId="17" xfId="58" applyFont="1" applyFill="1" applyBorder="1" applyAlignment="1">
      <alignment horizontal="center"/>
    </xf>
    <xf numFmtId="164" fontId="46" fillId="18" borderId="0" xfId="0" applyNumberFormat="1" applyFont="1" applyFill="1" applyBorder="1" applyAlignment="1">
      <alignment horizontal="center"/>
    </xf>
    <xf numFmtId="37" fontId="29" fillId="18" borderId="0" xfId="37" applyNumberFormat="1" applyFont="1" applyFill="1" applyBorder="1" applyAlignment="1">
      <alignment horizontal="center"/>
    </xf>
    <xf numFmtId="37" fontId="40" fillId="18" borderId="0" xfId="37" applyNumberFormat="1" applyFont="1" applyFill="1" applyBorder="1" applyAlignment="1">
      <alignment horizontal="center"/>
    </xf>
    <xf numFmtId="0" fontId="15" fillId="18" borderId="15" xfId="58" applyFont="1" applyFill="1" applyBorder="1" applyAlignment="1"/>
    <xf numFmtId="37" fontId="15" fillId="18" borderId="14" xfId="58" applyNumberFormat="1" applyFont="1" applyFill="1" applyBorder="1" applyAlignment="1">
      <alignment horizontal="center"/>
    </xf>
    <xf numFmtId="0" fontId="15" fillId="18" borderId="0" xfId="58" applyFont="1" applyFill="1" applyBorder="1" applyAlignment="1">
      <alignment horizontal="center"/>
    </xf>
    <xf numFmtId="0" fontId="15" fillId="18" borderId="14" xfId="58" applyFont="1" applyFill="1" applyBorder="1" applyAlignment="1">
      <alignment horizontal="center"/>
    </xf>
    <xf numFmtId="3" fontId="15" fillId="18" borderId="14" xfId="37" applyNumberFormat="1" applyFont="1" applyFill="1" applyBorder="1" applyAlignment="1">
      <alignment horizontal="center"/>
    </xf>
    <xf numFmtId="164" fontId="47" fillId="18" borderId="0" xfId="0" applyNumberFormat="1" applyFont="1" applyFill="1" applyAlignment="1">
      <alignment horizontal="center"/>
    </xf>
    <xf numFmtId="37" fontId="40" fillId="19" borderId="17" xfId="37" applyNumberFormat="1" applyFont="1" applyFill="1" applyBorder="1" applyAlignment="1">
      <alignment horizontal="center"/>
    </xf>
    <xf numFmtId="9" fontId="27" fillId="19" borderId="17" xfId="63" applyNumberFormat="1" applyFont="1" applyFill="1" applyBorder="1" applyAlignment="1">
      <alignment horizontal="center"/>
    </xf>
    <xf numFmtId="37" fontId="27" fillId="18" borderId="11" xfId="58" applyNumberFormat="1" applyFont="1" applyFill="1" applyBorder="1" applyAlignment="1">
      <alignment horizontal="center"/>
    </xf>
    <xf numFmtId="164" fontId="27" fillId="18" borderId="11" xfId="63" applyNumberFormat="1" applyFont="1" applyFill="1" applyBorder="1" applyAlignment="1">
      <alignment horizontal="center"/>
    </xf>
    <xf numFmtId="0" fontId="27" fillId="18" borderId="13" xfId="58" applyFont="1" applyFill="1" applyBorder="1" applyAlignment="1"/>
    <xf numFmtId="0" fontId="40" fillId="18" borderId="11" xfId="58" applyFont="1" applyFill="1" applyBorder="1" applyAlignment="1">
      <alignment horizontal="center"/>
    </xf>
    <xf numFmtId="0" fontId="27" fillId="18" borderId="11" xfId="0" applyFont="1" applyFill="1" applyBorder="1" applyAlignment="1"/>
    <xf numFmtId="164" fontId="40" fillId="18" borderId="11" xfId="63" applyNumberFormat="1" applyFont="1" applyFill="1" applyBorder="1" applyAlignment="1">
      <alignment horizontal="center"/>
    </xf>
    <xf numFmtId="164" fontId="31" fillId="18" borderId="11" xfId="63" applyNumberFormat="1" applyFont="1" applyFill="1" applyBorder="1" applyAlignment="1">
      <alignment horizontal="center"/>
    </xf>
    <xf numFmtId="164" fontId="27" fillId="19" borderId="21" xfId="63" applyNumberFormat="1" applyFont="1" applyFill="1" applyBorder="1" applyAlignment="1">
      <alignment horizontal="center"/>
    </xf>
    <xf numFmtId="37" fontId="15" fillId="19" borderId="16" xfId="58" applyNumberFormat="1" applyFont="1" applyFill="1" applyBorder="1" applyAlignment="1">
      <alignment horizontal="center"/>
    </xf>
    <xf numFmtId="0" fontId="15" fillId="19" borderId="17" xfId="58" applyFont="1" applyFill="1" applyBorder="1" applyAlignment="1">
      <alignment horizontal="center"/>
    </xf>
    <xf numFmtId="164" fontId="15" fillId="19" borderId="16" xfId="63" applyNumberFormat="1" applyFont="1" applyFill="1" applyBorder="1" applyAlignment="1">
      <alignment horizontal="center"/>
    </xf>
    <xf numFmtId="0" fontId="15" fillId="19" borderId="16" xfId="58" applyFont="1" applyFill="1" applyBorder="1" applyAlignment="1">
      <alignment horizontal="center"/>
    </xf>
    <xf numFmtId="178" fontId="45" fillId="18" borderId="0" xfId="37" applyNumberFormat="1" applyFont="1" applyFill="1" applyBorder="1" applyAlignment="1">
      <alignment horizontal="center"/>
    </xf>
    <xf numFmtId="178" fontId="29" fillId="18" borderId="12" xfId="37" applyNumberFormat="1" applyFont="1" applyFill="1" applyBorder="1" applyAlignment="1">
      <alignment horizontal="center"/>
    </xf>
    <xf numFmtId="164" fontId="15" fillId="19" borderId="17" xfId="63" applyNumberFormat="1" applyFont="1" applyFill="1" applyBorder="1" applyAlignment="1">
      <alignment horizontal="center"/>
    </xf>
    <xf numFmtId="3" fontId="27" fillId="19" borderId="17" xfId="37" applyNumberFormat="1" applyFont="1" applyFill="1" applyBorder="1" applyAlignment="1">
      <alignment horizontal="center"/>
    </xf>
    <xf numFmtId="3" fontId="15" fillId="19" borderId="16" xfId="37" applyNumberFormat="1" applyFont="1" applyFill="1" applyBorder="1" applyAlignment="1">
      <alignment horizontal="center"/>
    </xf>
    <xf numFmtId="178" fontId="45" fillId="19" borderId="17" xfId="37" applyNumberFormat="1" applyFont="1" applyFill="1" applyBorder="1" applyAlignment="1">
      <alignment horizontal="center"/>
    </xf>
    <xf numFmtId="0" fontId="40" fillId="19" borderId="18" xfId="58" applyFont="1" applyFill="1" applyBorder="1" applyAlignment="1">
      <alignment horizontal="center"/>
    </xf>
    <xf numFmtId="0" fontId="15" fillId="19" borderId="21" xfId="58" applyFont="1" applyFill="1" applyBorder="1" applyAlignment="1">
      <alignment horizontal="center"/>
    </xf>
    <xf numFmtId="9" fontId="27" fillId="19" borderId="18" xfId="63" applyFont="1" applyFill="1" applyBorder="1" applyAlignment="1">
      <alignment horizontal="center"/>
    </xf>
    <xf numFmtId="164" fontId="40" fillId="19" borderId="17" xfId="63" applyNumberFormat="1" applyFont="1" applyFill="1" applyBorder="1" applyAlignment="1">
      <alignment horizontal="center"/>
    </xf>
    <xf numFmtId="164" fontId="40" fillId="19" borderId="18" xfId="63" applyNumberFormat="1" applyFont="1" applyFill="1" applyBorder="1" applyAlignment="1">
      <alignment horizontal="center"/>
    </xf>
    <xf numFmtId="178" fontId="45" fillId="18" borderId="0" xfId="37" applyNumberFormat="1" applyFont="1" applyFill="1" applyBorder="1" applyAlignment="1">
      <alignment horizontal="left"/>
    </xf>
    <xf numFmtId="178" fontId="45" fillId="19" borderId="17" xfId="37" applyNumberFormat="1" applyFont="1" applyFill="1" applyBorder="1" applyAlignment="1">
      <alignment horizontal="left"/>
    </xf>
    <xf numFmtId="164" fontId="30" fillId="19" borderId="17" xfId="63" applyNumberFormat="1" applyFont="1" applyFill="1" applyBorder="1" applyAlignment="1">
      <alignment horizontal="center"/>
    </xf>
    <xf numFmtId="37" fontId="44" fillId="18" borderId="0" xfId="37" applyNumberFormat="1" applyFont="1" applyFill="1" applyBorder="1" applyAlignment="1">
      <alignment horizontal="center"/>
    </xf>
    <xf numFmtId="170" fontId="15" fillId="18" borderId="0" xfId="37" applyNumberFormat="1" applyFont="1" applyFill="1" applyBorder="1" applyAlignment="1">
      <alignment horizontal="center"/>
    </xf>
    <xf numFmtId="170" fontId="15" fillId="19" borderId="17" xfId="37" applyNumberFormat="1" applyFont="1" applyFill="1" applyBorder="1" applyAlignment="1">
      <alignment horizontal="center"/>
    </xf>
    <xf numFmtId="170" fontId="40" fillId="18" borderId="0" xfId="37" applyNumberFormat="1" applyFont="1" applyFill="1" applyBorder="1" applyAlignment="1">
      <alignment horizontal="center"/>
    </xf>
    <xf numFmtId="170" fontId="40" fillId="19" borderId="17" xfId="37" applyNumberFormat="1" applyFont="1" applyFill="1" applyBorder="1" applyAlignment="1">
      <alignment horizontal="center"/>
    </xf>
    <xf numFmtId="178" fontId="40" fillId="19" borderId="17" xfId="37" applyNumberFormat="1" applyFont="1" applyFill="1" applyBorder="1" applyAlignment="1">
      <alignment horizontal="center"/>
    </xf>
    <xf numFmtId="164" fontId="28" fillId="19" borderId="17" xfId="63" applyNumberFormat="1" applyFont="1" applyFill="1" applyBorder="1" applyAlignment="1">
      <alignment horizontal="center"/>
    </xf>
    <xf numFmtId="164" fontId="15" fillId="18" borderId="0" xfId="58" applyNumberFormat="1" applyFont="1" applyFill="1" applyBorder="1" applyAlignment="1">
      <alignment horizontal="center"/>
    </xf>
    <xf numFmtId="37" fontId="15" fillId="19" borderId="17" xfId="58" applyNumberFormat="1" applyFont="1" applyFill="1" applyBorder="1" applyAlignment="1">
      <alignment horizontal="center"/>
    </xf>
    <xf numFmtId="37" fontId="15" fillId="18" borderId="11" xfId="58" applyNumberFormat="1" applyFont="1" applyFill="1" applyBorder="1" applyAlignment="1">
      <alignment horizontal="center"/>
    </xf>
    <xf numFmtId="37" fontId="15" fillId="19" borderId="18" xfId="58" applyNumberFormat="1" applyFont="1" applyFill="1" applyBorder="1" applyAlignment="1">
      <alignment horizontal="center"/>
    </xf>
    <xf numFmtId="37" fontId="44" fillId="18" borderId="0" xfId="58" applyNumberFormat="1" applyFont="1" applyFill="1" applyBorder="1" applyAlignment="1">
      <alignment horizontal="center"/>
    </xf>
    <xf numFmtId="164" fontId="28" fillId="18" borderId="0" xfId="63" applyNumberFormat="1" applyFont="1" applyFill="1" applyBorder="1" applyAlignment="1"/>
    <xf numFmtId="5" fontId="15" fillId="18" borderId="0" xfId="37" applyNumberFormat="1" applyFont="1" applyFill="1" applyBorder="1" applyAlignment="1">
      <alignment horizontal="center"/>
    </xf>
    <xf numFmtId="5" fontId="15" fillId="19" borderId="17" xfId="37" applyNumberFormat="1" applyFont="1" applyFill="1" applyBorder="1" applyAlignment="1">
      <alignment horizontal="center"/>
    </xf>
    <xf numFmtId="164" fontId="15" fillId="18" borderId="15" xfId="63" applyNumberFormat="1" applyFont="1" applyFill="1" applyBorder="1" applyAlignment="1">
      <alignment horizontal="center"/>
    </xf>
    <xf numFmtId="164" fontId="0" fillId="18" borderId="0" xfId="63" applyNumberFormat="1" applyFont="1" applyFill="1"/>
    <xf numFmtId="3" fontId="27" fillId="18" borderId="0" xfId="37" applyNumberFormat="1" applyFont="1" applyFill="1" applyBorder="1" applyAlignment="1">
      <alignment horizontal="center"/>
    </xf>
    <xf numFmtId="164" fontId="27" fillId="18" borderId="0" xfId="0" applyNumberFormat="1" applyFont="1" applyFill="1" applyAlignment="1">
      <alignment horizontal="center"/>
    </xf>
    <xf numFmtId="43" fontId="15" fillId="18" borderId="0" xfId="37" applyNumberFormat="1" applyFont="1" applyFill="1" applyBorder="1" applyAlignment="1">
      <alignment horizontal="center"/>
    </xf>
    <xf numFmtId="43" fontId="15" fillId="19" borderId="17" xfId="37" applyNumberFormat="1" applyFont="1" applyFill="1" applyBorder="1" applyAlignment="1">
      <alignment horizontal="center"/>
    </xf>
    <xf numFmtId="164" fontId="15" fillId="18" borderId="0" xfId="0" applyNumberFormat="1" applyFont="1" applyFill="1"/>
    <xf numFmtId="3" fontId="31" fillId="19" borderId="17" xfId="37" applyNumberFormat="1" applyFont="1" applyFill="1" applyBorder="1" applyAlignment="1">
      <alignment horizontal="center"/>
    </xf>
    <xf numFmtId="178" fontId="15" fillId="18" borderId="0" xfId="37" applyNumberFormat="1" applyFont="1" applyFill="1" applyBorder="1" applyAlignment="1">
      <alignment horizontal="center"/>
    </xf>
    <xf numFmtId="164" fontId="29" fillId="18" borderId="0" xfId="63" applyNumberFormat="1" applyFont="1" applyFill="1" applyBorder="1" applyAlignment="1">
      <alignment horizontal="center"/>
    </xf>
    <xf numFmtId="10" fontId="40" fillId="18" borderId="0" xfId="58" applyNumberFormat="1" applyFont="1" applyFill="1" applyBorder="1" applyAlignment="1">
      <alignment horizontal="center"/>
    </xf>
    <xf numFmtId="164" fontId="27" fillId="18" borderId="0" xfId="58" applyNumberFormat="1" applyFont="1" applyFill="1" applyAlignment="1"/>
    <xf numFmtId="9" fontId="27" fillId="18" borderId="0" xfId="0" applyNumberFormat="1" applyFont="1" applyFill="1"/>
    <xf numFmtId="164" fontId="15" fillId="19" borderId="21" xfId="63" applyNumberFormat="1" applyFont="1" applyFill="1" applyBorder="1" applyAlignment="1">
      <alignment horizontal="center"/>
    </xf>
    <xf numFmtId="164" fontId="27" fillId="19" borderId="17" xfId="0" applyNumberFormat="1" applyFont="1" applyFill="1" applyBorder="1"/>
    <xf numFmtId="164" fontId="15" fillId="18" borderId="0" xfId="0" applyNumberFormat="1" applyFont="1" applyFill="1" applyAlignment="1">
      <alignment horizontal="center"/>
    </xf>
    <xf numFmtId="9" fontId="27" fillId="18" borderId="0" xfId="0" applyNumberFormat="1" applyFont="1" applyFill="1" applyAlignment="1">
      <alignment horizontal="center"/>
    </xf>
    <xf numFmtId="2" fontId="15" fillId="18" borderId="0" xfId="58" applyNumberFormat="1" applyFont="1" applyFill="1" applyBorder="1" applyAlignment="1">
      <alignment horizontal="center"/>
    </xf>
    <xf numFmtId="9" fontId="0" fillId="18" borderId="0" xfId="0" applyNumberFormat="1" applyFill="1"/>
    <xf numFmtId="164" fontId="45" fillId="19" borderId="17" xfId="63" applyNumberFormat="1" applyFont="1" applyFill="1" applyBorder="1" applyAlignment="1">
      <alignment horizontal="center"/>
    </xf>
    <xf numFmtId="1" fontId="15" fillId="19" borderId="17" xfId="58" applyNumberFormat="1" applyFont="1" applyFill="1" applyBorder="1" applyAlignment="1">
      <alignment horizontal="center"/>
    </xf>
    <xf numFmtId="178" fontId="27" fillId="18" borderId="0" xfId="37" applyNumberFormat="1" applyFont="1" applyFill="1" applyAlignment="1"/>
    <xf numFmtId="164" fontId="0" fillId="0" borderId="0" xfId="63" applyNumberFormat="1" applyFont="1"/>
    <xf numFmtId="164" fontId="46" fillId="19" borderId="17" xfId="0" applyNumberFormat="1" applyFont="1" applyFill="1" applyBorder="1" applyAlignment="1">
      <alignment horizontal="center"/>
    </xf>
    <xf numFmtId="9" fontId="31" fillId="18" borderId="0" xfId="0" applyNumberFormat="1" applyFont="1" applyFill="1" applyAlignment="1">
      <alignment horizontal="center"/>
    </xf>
    <xf numFmtId="178" fontId="28" fillId="18" borderId="0" xfId="37" applyNumberFormat="1" applyFont="1" applyFill="1" applyBorder="1" applyAlignment="1">
      <alignment horizontal="center"/>
    </xf>
    <xf numFmtId="183" fontId="29" fillId="18" borderId="0" xfId="0" applyNumberFormat="1" applyFont="1" applyFill="1" applyAlignment="1">
      <alignment horizontal="center"/>
    </xf>
    <xf numFmtId="183" fontId="29" fillId="19" borderId="17" xfId="0" applyNumberFormat="1" applyFont="1" applyFill="1" applyBorder="1" applyAlignment="1">
      <alignment horizontal="center"/>
    </xf>
    <xf numFmtId="164" fontId="46" fillId="18" borderId="0" xfId="63" applyNumberFormat="1" applyFont="1" applyFill="1" applyBorder="1" applyAlignment="1">
      <alignment horizontal="center"/>
    </xf>
    <xf numFmtId="164" fontId="46" fillId="19" borderId="17" xfId="63" applyNumberFormat="1" applyFont="1" applyFill="1" applyBorder="1" applyAlignment="1">
      <alignment horizontal="center"/>
    </xf>
    <xf numFmtId="164" fontId="46" fillId="18" borderId="0" xfId="58" applyNumberFormat="1" applyFont="1" applyFill="1" applyBorder="1" applyAlignment="1">
      <alignment horizontal="center"/>
    </xf>
    <xf numFmtId="164" fontId="15" fillId="18" borderId="0" xfId="63" applyNumberFormat="1" applyFont="1" applyFill="1"/>
    <xf numFmtId="43" fontId="15" fillId="19" borderId="17" xfId="37" applyFont="1" applyFill="1" applyBorder="1" applyAlignment="1">
      <alignment horizontal="center"/>
    </xf>
    <xf numFmtId="43" fontId="15" fillId="18" borderId="0" xfId="37" applyFont="1" applyFill="1" applyBorder="1" applyAlignment="1">
      <alignment horizontal="center"/>
    </xf>
    <xf numFmtId="198" fontId="27" fillId="18" borderId="0" xfId="37" applyNumberFormat="1" applyFont="1" applyFill="1" applyBorder="1" applyAlignment="1">
      <alignment horizontal="center"/>
    </xf>
    <xf numFmtId="198" fontId="15" fillId="19" borderId="17" xfId="37" applyNumberFormat="1" applyFont="1" applyFill="1" applyBorder="1" applyAlignment="1">
      <alignment horizontal="center"/>
    </xf>
    <xf numFmtId="164" fontId="27" fillId="0" borderId="0" xfId="63" applyNumberFormat="1" applyFont="1" applyFill="1" applyBorder="1" applyAlignment="1">
      <alignment horizontal="center"/>
    </xf>
    <xf numFmtId="3" fontId="29" fillId="18" borderId="0" xfId="37" applyNumberFormat="1" applyFont="1" applyFill="1" applyBorder="1" applyAlignment="1">
      <alignment horizontal="center"/>
    </xf>
    <xf numFmtId="3" fontId="29" fillId="19" borderId="17" xfId="37" applyNumberFormat="1" applyFont="1" applyFill="1" applyBorder="1" applyAlignment="1">
      <alignment horizontal="center"/>
    </xf>
    <xf numFmtId="3" fontId="29" fillId="19" borderId="17" xfId="58" applyNumberFormat="1" applyFont="1" applyFill="1" applyBorder="1" applyAlignment="1">
      <alignment horizontal="center"/>
    </xf>
    <xf numFmtId="164" fontId="48" fillId="18" borderId="0" xfId="63" applyNumberFormat="1" applyFont="1" applyFill="1" applyBorder="1" applyAlignment="1">
      <alignment horizontal="center"/>
    </xf>
    <xf numFmtId="164" fontId="48" fillId="19" borderId="17" xfId="63" applyNumberFormat="1" applyFont="1" applyFill="1" applyBorder="1" applyAlignment="1">
      <alignment horizontal="center"/>
    </xf>
    <xf numFmtId="164" fontId="0" fillId="0" borderId="0" xfId="0" applyNumberFormat="1"/>
    <xf numFmtId="4" fontId="0" fillId="0" borderId="0" xfId="0" applyNumberFormat="1"/>
    <xf numFmtId="164" fontId="15" fillId="0" borderId="0" xfId="0" applyNumberFormat="1" applyFont="1"/>
    <xf numFmtId="0" fontId="27" fillId="16" borderId="0" xfId="0" applyFont="1" applyFill="1" applyBorder="1"/>
    <xf numFmtId="9" fontId="15" fillId="18" borderId="0" xfId="0" applyNumberFormat="1" applyFont="1" applyFill="1"/>
    <xf numFmtId="7" fontId="27" fillId="18" borderId="0" xfId="37" applyNumberFormat="1" applyFont="1" applyFill="1" applyBorder="1" applyAlignment="1">
      <alignment horizontal="center"/>
    </xf>
    <xf numFmtId="37" fontId="0" fillId="0" borderId="0" xfId="0" applyNumberFormat="1"/>
    <xf numFmtId="4" fontId="29" fillId="19" borderId="17" xfId="37" applyNumberFormat="1" applyFont="1" applyFill="1" applyBorder="1" applyAlignment="1">
      <alignment horizontal="center"/>
    </xf>
    <xf numFmtId="4" fontId="29" fillId="18" borderId="0" xfId="37" applyNumberFormat="1" applyFont="1" applyFill="1" applyBorder="1" applyAlignment="1">
      <alignment horizontal="center"/>
    </xf>
    <xf numFmtId="43" fontId="30" fillId="18" borderId="0" xfId="37" applyFont="1" applyFill="1" applyBorder="1" applyAlignment="1">
      <alignment horizontal="center"/>
    </xf>
    <xf numFmtId="164" fontId="0" fillId="18" borderId="0" xfId="0" applyNumberFormat="1" applyFill="1"/>
    <xf numFmtId="37" fontId="29" fillId="18" borderId="0" xfId="58" applyNumberFormat="1" applyFont="1" applyFill="1" applyBorder="1" applyAlignment="1">
      <alignment horizontal="center"/>
    </xf>
    <xf numFmtId="0" fontId="53" fillId="18" borderId="0" xfId="0" applyFont="1" applyFill="1"/>
    <xf numFmtId="37" fontId="29" fillId="19" borderId="17" xfId="58" applyNumberFormat="1" applyFont="1" applyFill="1" applyBorder="1" applyAlignment="1">
      <alignment horizontal="center"/>
    </xf>
    <xf numFmtId="37" fontId="29" fillId="19" borderId="17" xfId="37" applyNumberFormat="1" applyFont="1" applyFill="1" applyBorder="1" applyAlignment="1">
      <alignment horizontal="center"/>
    </xf>
    <xf numFmtId="201" fontId="28" fillId="18" borderId="0" xfId="38" applyNumberFormat="1" applyFont="1" applyFill="1" applyBorder="1" applyAlignment="1">
      <alignment horizontal="center"/>
    </xf>
    <xf numFmtId="201" fontId="28" fillId="19" borderId="17" xfId="38" applyNumberFormat="1" applyFont="1" applyFill="1" applyBorder="1" applyAlignment="1">
      <alignment horizontal="center"/>
    </xf>
    <xf numFmtId="164" fontId="72" fillId="18" borderId="0" xfId="63" applyNumberFormat="1" applyFont="1" applyFill="1" applyBorder="1" applyAlignment="1">
      <alignment horizontal="center"/>
    </xf>
    <xf numFmtId="164" fontId="72" fillId="19" borderId="17" xfId="63" applyNumberFormat="1" applyFont="1" applyFill="1" applyBorder="1" applyAlignment="1">
      <alignment horizontal="center"/>
    </xf>
    <xf numFmtId="164" fontId="72" fillId="18" borderId="11" xfId="63" applyNumberFormat="1" applyFont="1" applyFill="1" applyBorder="1" applyAlignment="1">
      <alignment horizontal="center"/>
    </xf>
    <xf numFmtId="164" fontId="72" fillId="19" borderId="18" xfId="63" applyNumberFormat="1" applyFont="1" applyFill="1" applyBorder="1" applyAlignment="1">
      <alignment horizontal="center"/>
    </xf>
    <xf numFmtId="164" fontId="73" fillId="18" borderId="0" xfId="63" applyNumberFormat="1" applyFont="1" applyFill="1" applyBorder="1" applyAlignment="1">
      <alignment horizontal="center"/>
    </xf>
    <xf numFmtId="164" fontId="73" fillId="19" borderId="17" xfId="63" applyNumberFormat="1" applyFont="1" applyFill="1" applyBorder="1" applyAlignment="1">
      <alignment horizontal="center"/>
    </xf>
    <xf numFmtId="164" fontId="4" fillId="19" borderId="17" xfId="63" applyNumberFormat="1" applyFont="1" applyFill="1" applyBorder="1" applyAlignment="1">
      <alignment horizontal="center"/>
    </xf>
    <xf numFmtId="164" fontId="1" fillId="19" borderId="17" xfId="63" applyNumberFormat="1" applyFont="1" applyFill="1" applyBorder="1" applyAlignment="1">
      <alignment horizontal="center"/>
    </xf>
    <xf numFmtId="0" fontId="74" fillId="0" borderId="0" xfId="0" applyFont="1" applyFill="1"/>
    <xf numFmtId="164" fontId="15" fillId="18" borderId="12" xfId="63" applyNumberFormat="1" applyFont="1" applyFill="1" applyBorder="1" applyAlignment="1"/>
    <xf numFmtId="3" fontId="0" fillId="0" borderId="0" xfId="0" applyNumberFormat="1"/>
    <xf numFmtId="164" fontId="37" fillId="18" borderId="11" xfId="63" applyNumberFormat="1" applyFont="1" applyFill="1" applyBorder="1" applyAlignment="1">
      <alignment horizontal="center"/>
    </xf>
    <xf numFmtId="164" fontId="27" fillId="18" borderId="0" xfId="63" applyNumberFormat="1" applyFont="1" applyFill="1" applyAlignment="1"/>
    <xf numFmtId="37" fontId="40" fillId="19" borderId="17" xfId="58" applyNumberFormat="1" applyFont="1" applyFill="1" applyBorder="1" applyAlignment="1">
      <alignment horizontal="center"/>
    </xf>
    <xf numFmtId="37" fontId="0" fillId="18" borderId="0" xfId="0" applyNumberFormat="1" applyFill="1"/>
    <xf numFmtId="37" fontId="15" fillId="18" borderId="0" xfId="0" applyNumberFormat="1" applyFont="1" applyFill="1"/>
    <xf numFmtId="0" fontId="41" fillId="18" borderId="0" xfId="0" applyFont="1" applyFill="1"/>
    <xf numFmtId="164" fontId="41" fillId="18" borderId="0" xfId="63" applyNumberFormat="1" applyFont="1" applyFill="1"/>
    <xf numFmtId="1" fontId="15" fillId="18" borderId="0" xfId="58" applyNumberFormat="1" applyFont="1" applyFill="1" applyBorder="1" applyAlignment="1">
      <alignment horizontal="center"/>
    </xf>
    <xf numFmtId="206" fontId="15" fillId="18" borderId="0" xfId="58" applyNumberFormat="1" applyFont="1" applyFill="1" applyBorder="1" applyAlignment="1">
      <alignment horizontal="center"/>
    </xf>
    <xf numFmtId="205" fontId="15" fillId="18" borderId="0" xfId="58" applyNumberFormat="1" applyFont="1" applyFill="1" applyBorder="1" applyAlignment="1">
      <alignment horizontal="center"/>
    </xf>
    <xf numFmtId="0" fontId="24" fillId="19" borderId="14" xfId="0" applyFont="1" applyFill="1" applyBorder="1"/>
    <xf numFmtId="0" fontId="23" fillId="19" borderId="14" xfId="0" applyFont="1" applyFill="1" applyBorder="1"/>
    <xf numFmtId="17" fontId="24" fillId="19" borderId="14" xfId="0" applyNumberFormat="1" applyFont="1" applyFill="1" applyBorder="1" applyAlignment="1">
      <alignment horizontal="center"/>
    </xf>
    <xf numFmtId="17" fontId="24" fillId="19" borderId="16" xfId="0" applyNumberFormat="1" applyFont="1" applyFill="1" applyBorder="1" applyAlignment="1">
      <alignment horizontal="center"/>
    </xf>
    <xf numFmtId="169" fontId="24" fillId="18" borderId="0" xfId="0" applyNumberFormat="1" applyFont="1" applyFill="1" applyAlignment="1">
      <alignment horizontal="center"/>
    </xf>
    <xf numFmtId="169" fontId="24" fillId="19" borderId="17" xfId="0" applyNumberFormat="1" applyFont="1" applyFill="1" applyBorder="1" applyAlignment="1">
      <alignment horizontal="center"/>
    </xf>
    <xf numFmtId="169" fontId="24" fillId="0" borderId="0" xfId="0" applyNumberFormat="1" applyFont="1" applyAlignment="1">
      <alignment horizontal="center"/>
    </xf>
    <xf numFmtId="0" fontId="23" fillId="18" borderId="0" xfId="0" applyFont="1" applyFill="1"/>
    <xf numFmtId="164" fontId="23" fillId="18" borderId="0" xfId="63" applyNumberFormat="1" applyFont="1" applyFill="1" applyAlignment="1">
      <alignment horizontal="center"/>
    </xf>
    <xf numFmtId="164" fontId="23" fillId="19" borderId="17" xfId="63" applyNumberFormat="1" applyFont="1" applyFill="1" applyBorder="1" applyAlignment="1">
      <alignment horizontal="center"/>
    </xf>
    <xf numFmtId="178" fontId="23" fillId="18" borderId="0" xfId="37" applyNumberFormat="1" applyFont="1" applyFill="1" applyAlignment="1">
      <alignment horizontal="center"/>
    </xf>
    <xf numFmtId="164" fontId="51" fillId="18" borderId="0" xfId="63" applyNumberFormat="1" applyFont="1" applyFill="1" applyAlignment="1">
      <alignment horizontal="center"/>
    </xf>
    <xf numFmtId="169" fontId="51" fillId="19" borderId="17" xfId="0" applyNumberFormat="1" applyFont="1" applyFill="1" applyBorder="1" applyAlignment="1">
      <alignment horizontal="center"/>
    </xf>
    <xf numFmtId="169" fontId="23" fillId="18" borderId="0" xfId="0" applyNumberFormat="1" applyFont="1" applyFill="1" applyAlignment="1">
      <alignment horizontal="center"/>
    </xf>
    <xf numFmtId="169" fontId="23" fillId="19" borderId="17" xfId="0" applyNumberFormat="1" applyFont="1" applyFill="1" applyBorder="1" applyAlignment="1">
      <alignment horizontal="center"/>
    </xf>
    <xf numFmtId="165" fontId="23" fillId="0" borderId="0" xfId="0" applyNumberFormat="1" applyFont="1" applyAlignment="1">
      <alignment horizontal="center"/>
    </xf>
    <xf numFmtId="165" fontId="23" fillId="18" borderId="0" xfId="0" applyNumberFormat="1" applyFont="1" applyFill="1" applyAlignment="1">
      <alignment horizontal="center"/>
    </xf>
    <xf numFmtId="169" fontId="23" fillId="0" borderId="0" xfId="0" applyNumberFormat="1" applyFont="1" applyAlignment="1">
      <alignment horizontal="center"/>
    </xf>
    <xf numFmtId="164" fontId="23" fillId="0" borderId="0" xfId="63" applyNumberFormat="1" applyFont="1" applyAlignment="1">
      <alignment horizontal="center"/>
    </xf>
    <xf numFmtId="0" fontId="23" fillId="19" borderId="17" xfId="0" applyFont="1" applyFill="1" applyBorder="1"/>
    <xf numFmtId="0" fontId="23" fillId="18" borderId="0" xfId="0" applyFont="1" applyFill="1" applyBorder="1"/>
    <xf numFmtId="169" fontId="82" fillId="18" borderId="0" xfId="0" applyNumberFormat="1" applyFont="1" applyFill="1" applyAlignment="1">
      <alignment horizontal="center"/>
    </xf>
    <xf numFmtId="164" fontId="51" fillId="0" borderId="0" xfId="63" applyNumberFormat="1" applyFont="1" applyAlignment="1">
      <alignment horizontal="center"/>
    </xf>
    <xf numFmtId="0" fontId="80" fillId="0" borderId="0" xfId="0" applyFont="1"/>
    <xf numFmtId="164" fontId="23" fillId="18" borderId="0" xfId="63" applyNumberFormat="1" applyFont="1" applyFill="1"/>
    <xf numFmtId="164" fontId="23" fillId="19" borderId="17" xfId="63" applyNumberFormat="1" applyFont="1" applyFill="1" applyBorder="1"/>
    <xf numFmtId="169" fontId="51" fillId="18" borderId="0" xfId="0" applyNumberFormat="1" applyFont="1" applyFill="1" applyAlignment="1">
      <alignment horizontal="center"/>
    </xf>
    <xf numFmtId="0" fontId="24" fillId="18" borderId="0" xfId="0" applyFont="1" applyFill="1"/>
    <xf numFmtId="169" fontId="51" fillId="0" borderId="0" xfId="0" applyNumberFormat="1" applyFont="1" applyAlignment="1">
      <alignment horizontal="center"/>
    </xf>
    <xf numFmtId="0" fontId="80" fillId="18" borderId="0" xfId="0" applyFont="1" applyFill="1"/>
    <xf numFmtId="43" fontId="51" fillId="0" borderId="0" xfId="37" applyFont="1" applyAlignment="1">
      <alignment horizontal="center"/>
    </xf>
    <xf numFmtId="169" fontId="23" fillId="0" borderId="0" xfId="0" applyNumberFormat="1" applyFont="1"/>
    <xf numFmtId="164" fontId="23" fillId="0" borderId="0" xfId="63" applyNumberFormat="1" applyFont="1"/>
    <xf numFmtId="0" fontId="23" fillId="18" borderId="0" xfId="0" applyFont="1" applyFill="1" applyAlignment="1">
      <alignment horizontal="center"/>
    </xf>
    <xf numFmtId="0" fontId="23" fillId="19" borderId="17" xfId="0" applyFont="1" applyFill="1" applyBorder="1" applyAlignment="1">
      <alignment horizontal="center"/>
    </xf>
    <xf numFmtId="166" fontId="23" fillId="0" borderId="0" xfId="0" applyNumberFormat="1" applyFont="1" applyAlignment="1">
      <alignment horizontal="center"/>
    </xf>
    <xf numFmtId="166" fontId="23" fillId="18" borderId="0" xfId="0" applyNumberFormat="1" applyFont="1" applyFill="1" applyAlignment="1">
      <alignment horizontal="center"/>
    </xf>
    <xf numFmtId="166" fontId="23" fillId="19" borderId="17" xfId="0" applyNumberFormat="1" applyFont="1" applyFill="1" applyBorder="1" applyAlignment="1">
      <alignment horizontal="center"/>
    </xf>
    <xf numFmtId="165" fontId="23" fillId="19" borderId="17" xfId="0" applyNumberFormat="1" applyFont="1" applyFill="1" applyBorder="1" applyAlignment="1">
      <alignment horizontal="center"/>
    </xf>
    <xf numFmtId="166" fontId="81" fillId="0" borderId="0" xfId="0" applyNumberFormat="1" applyFont="1" applyAlignment="1">
      <alignment horizontal="center"/>
    </xf>
    <xf numFmtId="0" fontId="83" fillId="0" borderId="0" xfId="0" applyFont="1"/>
    <xf numFmtId="0" fontId="51" fillId="18" borderId="0" xfId="0" applyFont="1" applyFill="1" applyAlignment="1">
      <alignment horizontal="center"/>
    </xf>
    <xf numFmtId="0" fontId="51" fillId="19" borderId="17" xfId="0" applyFont="1" applyFill="1" applyBorder="1" applyAlignment="1">
      <alignment horizontal="center"/>
    </xf>
    <xf numFmtId="0" fontId="51" fillId="0" borderId="0" xfId="0" applyFont="1" applyAlignment="1">
      <alignment horizontal="center"/>
    </xf>
    <xf numFmtId="41" fontId="23" fillId="18" borderId="0" xfId="0" applyNumberFormat="1" applyFont="1" applyFill="1"/>
    <xf numFmtId="41" fontId="24" fillId="18" borderId="0" xfId="0" applyNumberFormat="1" applyFont="1" applyFill="1"/>
    <xf numFmtId="164" fontId="81" fillId="0" borderId="0" xfId="63" applyNumberFormat="1" applyFont="1" applyFill="1" applyBorder="1" applyAlignment="1">
      <alignment horizontal="center"/>
    </xf>
    <xf numFmtId="2" fontId="81" fillId="0" borderId="0" xfId="37" applyNumberFormat="1" applyFont="1" applyFill="1" applyBorder="1" applyAlignment="1">
      <alignment horizontal="center"/>
    </xf>
    <xf numFmtId="2" fontId="81" fillId="18" borderId="0" xfId="37" applyNumberFormat="1" applyFont="1" applyFill="1" applyBorder="1" applyAlignment="1">
      <alignment horizontal="center"/>
    </xf>
    <xf numFmtId="164" fontId="81" fillId="18" borderId="0" xfId="63" applyNumberFormat="1" applyFont="1" applyFill="1" applyBorder="1" applyAlignment="1">
      <alignment horizontal="center"/>
    </xf>
    <xf numFmtId="10" fontId="23" fillId="18" borderId="0" xfId="63" applyNumberFormat="1" applyFont="1" applyFill="1"/>
    <xf numFmtId="164" fontId="85" fillId="18" borderId="0" xfId="63" applyNumberFormat="1" applyFont="1" applyFill="1" applyAlignment="1">
      <alignment horizontal="left"/>
    </xf>
    <xf numFmtId="169" fontId="85" fillId="18" borderId="0" xfId="0" applyNumberFormat="1" applyFont="1" applyFill="1" applyAlignment="1">
      <alignment horizontal="left"/>
    </xf>
    <xf numFmtId="169" fontId="85" fillId="18" borderId="0" xfId="0" applyNumberFormat="1" applyFont="1" applyFill="1" applyAlignment="1">
      <alignment horizontal="center"/>
    </xf>
    <xf numFmtId="194" fontId="85" fillId="18" borderId="0" xfId="38" applyNumberFormat="1" applyFont="1" applyFill="1" applyAlignment="1">
      <alignment horizontal="center"/>
    </xf>
    <xf numFmtId="164" fontId="23" fillId="18" borderId="0" xfId="63" applyNumberFormat="1" applyFont="1" applyFill="1" applyAlignment="1">
      <alignment horizontal="left"/>
    </xf>
    <xf numFmtId="44" fontId="23" fillId="18" borderId="0" xfId="38" applyFont="1" applyFill="1" applyAlignment="1">
      <alignment horizontal="center"/>
    </xf>
    <xf numFmtId="194" fontId="23" fillId="18" borderId="0" xfId="38" applyNumberFormat="1" applyFont="1" applyFill="1"/>
    <xf numFmtId="164" fontId="23" fillId="18" borderId="0" xfId="63" applyNumberFormat="1" applyFont="1" applyFill="1" applyBorder="1"/>
    <xf numFmtId="197" fontId="23" fillId="18" borderId="0" xfId="0" applyNumberFormat="1" applyFont="1" applyFill="1"/>
    <xf numFmtId="164" fontId="82" fillId="18" borderId="0" xfId="63" applyNumberFormat="1" applyFont="1" applyFill="1" applyAlignment="1">
      <alignment horizontal="center"/>
    </xf>
    <xf numFmtId="169" fontId="82" fillId="18" borderId="0" xfId="0" applyNumberFormat="1" applyFont="1" applyFill="1" applyAlignment="1">
      <alignment horizontal="left"/>
    </xf>
    <xf numFmtId="178" fontId="82" fillId="18" borderId="0" xfId="37" applyNumberFormat="1" applyFont="1" applyFill="1" applyAlignment="1">
      <alignment horizontal="center"/>
    </xf>
    <xf numFmtId="178" fontId="81" fillId="18" borderId="0" xfId="37" applyNumberFormat="1" applyFont="1" applyFill="1" applyAlignment="1">
      <alignment horizontal="left"/>
    </xf>
    <xf numFmtId="178" fontId="81" fillId="18" borderId="0" xfId="37" applyNumberFormat="1" applyFont="1" applyFill="1" applyAlignment="1">
      <alignment horizontal="center"/>
    </xf>
    <xf numFmtId="164" fontId="81" fillId="18" borderId="0" xfId="63" applyNumberFormat="1" applyFont="1" applyFill="1" applyAlignment="1">
      <alignment horizontal="center"/>
    </xf>
    <xf numFmtId="164" fontId="81" fillId="18" borderId="0" xfId="63" applyNumberFormat="1" applyFont="1" applyFill="1" applyAlignment="1">
      <alignment horizontal="left"/>
    </xf>
    <xf numFmtId="170" fontId="23" fillId="18" borderId="0" xfId="37" applyNumberFormat="1" applyFont="1" applyFill="1"/>
    <xf numFmtId="164" fontId="23" fillId="0" borderId="0" xfId="0" applyNumberFormat="1" applyFont="1"/>
    <xf numFmtId="0" fontId="51" fillId="18" borderId="0" xfId="0" applyFont="1" applyFill="1"/>
    <xf numFmtId="170" fontId="51" fillId="0" borderId="0" xfId="37" applyNumberFormat="1" applyFont="1" applyAlignment="1">
      <alignment horizontal="center"/>
    </xf>
    <xf numFmtId="170" fontId="51" fillId="18" borderId="0" xfId="37" applyNumberFormat="1" applyFont="1" applyFill="1" applyAlignment="1">
      <alignment horizontal="center"/>
    </xf>
    <xf numFmtId="164" fontId="24" fillId="18" borderId="0" xfId="63" applyNumberFormat="1" applyFont="1" applyFill="1" applyAlignment="1">
      <alignment horizontal="center"/>
    </xf>
    <xf numFmtId="178" fontId="24" fillId="18" borderId="0" xfId="37" applyNumberFormat="1" applyFont="1" applyFill="1" applyAlignment="1">
      <alignment horizontal="center"/>
    </xf>
    <xf numFmtId="178" fontId="51" fillId="18" borderId="0" xfId="37" applyNumberFormat="1" applyFont="1" applyFill="1" applyAlignment="1">
      <alignment horizontal="center"/>
    </xf>
    <xf numFmtId="169" fontId="51" fillId="0" borderId="0" xfId="0" applyNumberFormat="1" applyFont="1" applyAlignment="1">
      <alignment horizontal="left"/>
    </xf>
    <xf numFmtId="204" fontId="51" fillId="0" borderId="11" xfId="0" applyNumberFormat="1" applyFont="1" applyBorder="1" applyAlignment="1">
      <alignment horizontal="center"/>
    </xf>
    <xf numFmtId="43" fontId="23" fillId="18" borderId="0" xfId="0" applyNumberFormat="1" applyFont="1" applyFill="1"/>
    <xf numFmtId="164" fontId="80" fillId="18" borderId="0" xfId="63" applyNumberFormat="1" applyFont="1" applyFill="1" applyBorder="1" applyAlignment="1">
      <alignment horizontal="center"/>
    </xf>
    <xf numFmtId="182" fontId="23" fillId="18" borderId="0" xfId="0" applyNumberFormat="1" applyFont="1" applyFill="1" applyBorder="1" applyAlignment="1">
      <alignment horizontal="center"/>
    </xf>
    <xf numFmtId="164" fontId="23" fillId="18" borderId="0" xfId="0" applyNumberFormat="1" applyFont="1" applyFill="1"/>
    <xf numFmtId="164" fontId="23" fillId="18" borderId="0" xfId="63" applyNumberFormat="1" applyFont="1" applyFill="1" applyBorder="1" applyAlignment="1">
      <alignment horizontal="center"/>
    </xf>
    <xf numFmtId="169" fontId="23" fillId="18" borderId="0" xfId="0" applyNumberFormat="1" applyFont="1" applyFill="1"/>
    <xf numFmtId="0" fontId="84" fillId="18" borderId="0" xfId="0" applyFont="1" applyFill="1"/>
    <xf numFmtId="164" fontId="83" fillId="18" borderId="0" xfId="63" applyNumberFormat="1" applyFont="1" applyFill="1" applyBorder="1" applyAlignment="1">
      <alignment horizontal="center"/>
    </xf>
    <xf numFmtId="0" fontId="83" fillId="18" borderId="0" xfId="0" applyFont="1" applyFill="1"/>
    <xf numFmtId="0" fontId="86" fillId="0" borderId="0" xfId="0" applyFont="1"/>
    <xf numFmtId="9" fontId="23" fillId="0" borderId="0" xfId="0" applyNumberFormat="1" applyFont="1"/>
    <xf numFmtId="170" fontId="83" fillId="18" borderId="0" xfId="37" applyNumberFormat="1" applyFont="1" applyFill="1" applyBorder="1"/>
    <xf numFmtId="164" fontId="83" fillId="18" borderId="0" xfId="63" applyNumberFormat="1" applyFont="1" applyFill="1" applyBorder="1"/>
    <xf numFmtId="41" fontId="24" fillId="18" borderId="0" xfId="0" applyNumberFormat="1" applyFont="1" applyFill="1" applyBorder="1"/>
    <xf numFmtId="164" fontId="23" fillId="18" borderId="11" xfId="63" applyNumberFormat="1" applyFont="1" applyFill="1" applyBorder="1"/>
    <xf numFmtId="43" fontId="83" fillId="18" borderId="0" xfId="37" applyNumberFormat="1" applyFont="1" applyFill="1" applyBorder="1"/>
    <xf numFmtId="178" fontId="83" fillId="18" borderId="0" xfId="37" applyNumberFormat="1" applyFont="1" applyFill="1" applyBorder="1" applyAlignment="1">
      <alignment horizontal="center"/>
    </xf>
    <xf numFmtId="43" fontId="23" fillId="18" borderId="0" xfId="37" applyNumberFormat="1" applyFont="1" applyFill="1" applyBorder="1"/>
    <xf numFmtId="169" fontId="23" fillId="18" borderId="0" xfId="0" applyNumberFormat="1" applyFont="1" applyFill="1" applyBorder="1"/>
    <xf numFmtId="0" fontId="23" fillId="18" borderId="11" xfId="0" applyFont="1" applyFill="1" applyBorder="1"/>
    <xf numFmtId="169" fontId="23" fillId="19" borderId="21" xfId="0" applyNumberFormat="1" applyFont="1" applyFill="1" applyBorder="1" applyAlignment="1">
      <alignment horizontal="center"/>
    </xf>
    <xf numFmtId="178" fontId="23" fillId="18" borderId="0" xfId="37" applyNumberFormat="1" applyFont="1" applyFill="1"/>
    <xf numFmtId="1" fontId="51" fillId="19" borderId="17" xfId="0" applyNumberFormat="1" applyFont="1" applyFill="1" applyBorder="1" applyAlignment="1">
      <alignment horizontal="center"/>
    </xf>
    <xf numFmtId="166" fontId="23" fillId="0" borderId="0" xfId="0" applyNumberFormat="1" applyFont="1" applyFill="1" applyAlignment="1">
      <alignment horizontal="center"/>
    </xf>
    <xf numFmtId="166" fontId="81" fillId="19" borderId="17" xfId="0" applyNumberFormat="1" applyFont="1" applyFill="1" applyBorder="1" applyAlignment="1">
      <alignment horizontal="center"/>
    </xf>
    <xf numFmtId="167" fontId="23" fillId="0" borderId="0" xfId="0" applyNumberFormat="1" applyFont="1" applyAlignment="1">
      <alignment horizontal="center"/>
    </xf>
    <xf numFmtId="167" fontId="23" fillId="19" borderId="17" xfId="0" applyNumberFormat="1" applyFont="1" applyFill="1" applyBorder="1" applyAlignment="1">
      <alignment horizontal="center"/>
    </xf>
    <xf numFmtId="167" fontId="23" fillId="18" borderId="0" xfId="0" applyNumberFormat="1" applyFont="1" applyFill="1" applyAlignment="1">
      <alignment horizontal="center"/>
    </xf>
    <xf numFmtId="167" fontId="23" fillId="0" borderId="0" xfId="0" applyNumberFormat="1" applyFont="1" applyFill="1" applyAlignment="1">
      <alignment horizontal="center"/>
    </xf>
    <xf numFmtId="167" fontId="81" fillId="0" borderId="0" xfId="0" applyNumberFormat="1" applyFont="1" applyAlignment="1">
      <alignment horizontal="center"/>
    </xf>
    <xf numFmtId="168" fontId="23" fillId="0" borderId="0" xfId="0" applyNumberFormat="1" applyFont="1" applyAlignment="1">
      <alignment horizontal="center"/>
    </xf>
    <xf numFmtId="168" fontId="23" fillId="19" borderId="18" xfId="0" applyNumberFormat="1" applyFont="1" applyFill="1" applyBorder="1" applyAlignment="1">
      <alignment horizontal="center"/>
    </xf>
    <xf numFmtId="168" fontId="23" fillId="18" borderId="0" xfId="0" applyNumberFormat="1" applyFont="1" applyFill="1" applyAlignment="1">
      <alignment horizontal="center"/>
    </xf>
    <xf numFmtId="168" fontId="23" fillId="0" borderId="0" xfId="0" applyNumberFormat="1" applyFont="1" applyFill="1" applyAlignment="1">
      <alignment horizontal="center"/>
    </xf>
    <xf numFmtId="168" fontId="23" fillId="18" borderId="0" xfId="0" applyNumberFormat="1" applyFont="1" applyFill="1" applyBorder="1" applyAlignment="1">
      <alignment horizontal="center"/>
    </xf>
    <xf numFmtId="165" fontId="83" fillId="0" borderId="0" xfId="0" applyNumberFormat="1" applyFont="1" applyAlignment="1">
      <alignment horizontal="center"/>
    </xf>
    <xf numFmtId="167" fontId="23" fillId="19" borderId="21" xfId="0" applyNumberFormat="1" applyFont="1" applyFill="1" applyBorder="1" applyAlignment="1">
      <alignment horizontal="center"/>
    </xf>
    <xf numFmtId="168" fontId="23" fillId="19" borderId="17" xfId="0" applyNumberFormat="1" applyFont="1" applyFill="1" applyBorder="1" applyAlignment="1">
      <alignment horizontal="center"/>
    </xf>
    <xf numFmtId="168" fontId="24" fillId="18" borderId="0" xfId="0" applyNumberFormat="1" applyFont="1" applyFill="1" applyAlignment="1">
      <alignment horizontal="center"/>
    </xf>
    <xf numFmtId="168" fontId="24" fillId="18" borderId="0" xfId="0" applyNumberFormat="1" applyFont="1" applyFill="1" applyBorder="1" applyAlignment="1">
      <alignment horizontal="center"/>
    </xf>
    <xf numFmtId="168" fontId="24" fillId="19" borderId="18" xfId="0" applyNumberFormat="1" applyFont="1" applyFill="1" applyBorder="1" applyAlignment="1">
      <alignment horizontal="center"/>
    </xf>
    <xf numFmtId="167" fontId="23" fillId="18" borderId="0" xfId="0" applyNumberFormat="1" applyFont="1" applyFill="1"/>
    <xf numFmtId="43" fontId="23" fillId="0" borderId="0" xfId="37" applyFont="1" applyAlignment="1">
      <alignment horizontal="center"/>
    </xf>
    <xf numFmtId="7" fontId="74" fillId="18" borderId="0" xfId="37" applyNumberFormat="1" applyFont="1" applyFill="1" applyAlignment="1">
      <alignment horizontal="center"/>
    </xf>
    <xf numFmtId="7" fontId="74" fillId="18" borderId="0" xfId="63" applyNumberFormat="1" applyFont="1" applyFill="1" applyAlignment="1">
      <alignment horizontal="center"/>
    </xf>
    <xf numFmtId="164" fontId="74" fillId="18" borderId="0" xfId="37" applyNumberFormat="1" applyFont="1" applyFill="1" applyAlignment="1">
      <alignment horizontal="center"/>
    </xf>
    <xf numFmtId="194" fontId="23" fillId="0" borderId="0" xfId="38" applyNumberFormat="1" applyFont="1" applyAlignment="1">
      <alignment horizontal="center"/>
    </xf>
    <xf numFmtId="167" fontId="23" fillId="0" borderId="0" xfId="38" applyNumberFormat="1" applyFont="1" applyAlignment="1">
      <alignment horizontal="center"/>
    </xf>
    <xf numFmtId="175" fontId="23" fillId="0" borderId="0" xfId="0" applyNumberFormat="1" applyFont="1" applyFill="1" applyBorder="1"/>
    <xf numFmtId="175" fontId="23" fillId="19" borderId="17" xfId="0" applyNumberFormat="1" applyFont="1" applyFill="1" applyBorder="1"/>
    <xf numFmtId="175" fontId="23" fillId="18" borderId="0" xfId="0" applyNumberFormat="1" applyFont="1" applyFill="1" applyBorder="1"/>
    <xf numFmtId="175" fontId="23" fillId="0" borderId="0" xfId="0" applyNumberFormat="1" applyFont="1"/>
    <xf numFmtId="175" fontId="23" fillId="18" borderId="0" xfId="0" applyNumberFormat="1" applyFont="1" applyFill="1" applyAlignment="1">
      <alignment horizontal="right"/>
    </xf>
    <xf numFmtId="175" fontId="23" fillId="0" borderId="11" xfId="0" applyNumberFormat="1" applyFont="1" applyBorder="1"/>
    <xf numFmtId="175" fontId="23" fillId="19" borderId="18" xfId="0" applyNumberFormat="1" applyFont="1" applyFill="1" applyBorder="1"/>
    <xf numFmtId="175" fontId="23" fillId="18" borderId="11" xfId="0" applyNumberFormat="1" applyFont="1" applyFill="1" applyBorder="1"/>
    <xf numFmtId="175" fontId="24" fillId="0" borderId="0" xfId="0" applyNumberFormat="1" applyFont="1" applyBorder="1"/>
    <xf numFmtId="175" fontId="24" fillId="19" borderId="21" xfId="0" applyNumberFormat="1" applyFont="1" applyFill="1" applyBorder="1" applyAlignment="1">
      <alignment horizontal="right"/>
    </xf>
    <xf numFmtId="175" fontId="24" fillId="18" borderId="0" xfId="0" applyNumberFormat="1" applyFont="1" applyFill="1" applyBorder="1" applyAlignment="1">
      <alignment horizontal="right"/>
    </xf>
    <xf numFmtId="175" fontId="23" fillId="18" borderId="0" xfId="0" applyNumberFormat="1" applyFont="1" applyFill="1"/>
    <xf numFmtId="0" fontId="87" fillId="0" borderId="0" xfId="0" applyFont="1"/>
    <xf numFmtId="0" fontId="23" fillId="18" borderId="0" xfId="0" applyFont="1" applyFill="1" applyAlignment="1">
      <alignment horizontal="right"/>
    </xf>
    <xf numFmtId="175" fontId="24" fillId="0" borderId="0" xfId="0" applyNumberFormat="1" applyFont="1"/>
    <xf numFmtId="175" fontId="24" fillId="19" borderId="17" xfId="0" applyNumberFormat="1" applyFont="1" applyFill="1" applyBorder="1"/>
    <xf numFmtId="169" fontId="24" fillId="19" borderId="21" xfId="0" applyNumberFormat="1" applyFont="1" applyFill="1" applyBorder="1" applyAlignment="1">
      <alignment horizontal="center"/>
    </xf>
    <xf numFmtId="175" fontId="24" fillId="18" borderId="0" xfId="0" applyNumberFormat="1" applyFont="1" applyFill="1"/>
    <xf numFmtId="166" fontId="23" fillId="0" borderId="0" xfId="0" applyNumberFormat="1" applyFont="1"/>
    <xf numFmtId="175" fontId="24" fillId="19" borderId="18" xfId="0" applyNumberFormat="1" applyFont="1" applyFill="1" applyBorder="1"/>
    <xf numFmtId="166" fontId="84" fillId="18" borderId="0" xfId="0" applyNumberFormat="1" applyFont="1" applyFill="1" applyAlignment="1">
      <alignment horizontal="center"/>
    </xf>
    <xf numFmtId="0" fontId="24" fillId="19" borderId="15" xfId="0" applyFont="1" applyFill="1" applyBorder="1"/>
    <xf numFmtId="43" fontId="23" fillId="19" borderId="17" xfId="37" applyFont="1" applyFill="1" applyBorder="1"/>
    <xf numFmtId="175" fontId="23" fillId="0" borderId="13" xfId="0" applyNumberFormat="1" applyFont="1" applyBorder="1"/>
    <xf numFmtId="175" fontId="23" fillId="0" borderId="20" xfId="0" applyNumberFormat="1" applyFont="1" applyBorder="1"/>
    <xf numFmtId="166" fontId="23" fillId="19" borderId="17" xfId="0" applyNumberFormat="1" applyFont="1" applyFill="1" applyBorder="1"/>
    <xf numFmtId="0" fontId="83" fillId="19" borderId="17" xfId="0" applyFont="1" applyFill="1" applyBorder="1"/>
    <xf numFmtId="0" fontId="88" fillId="18" borderId="0" xfId="0" applyFont="1" applyFill="1" applyAlignment="1">
      <alignment horizontal="center"/>
    </xf>
    <xf numFmtId="0" fontId="89" fillId="18" borderId="0" xfId="0" applyFont="1" applyFill="1"/>
    <xf numFmtId="170" fontId="83" fillId="18" borderId="0" xfId="37" applyNumberFormat="1" applyFont="1" applyFill="1" applyAlignment="1">
      <alignment horizontal="center"/>
    </xf>
    <xf numFmtId="164" fontId="23" fillId="19" borderId="18" xfId="63" applyNumberFormat="1" applyFont="1" applyFill="1" applyBorder="1" applyAlignment="1">
      <alignment horizontal="center"/>
    </xf>
    <xf numFmtId="0" fontId="23" fillId="19" borderId="15" xfId="0" applyFont="1" applyFill="1" applyBorder="1"/>
    <xf numFmtId="164" fontId="23" fillId="0" borderId="0" xfId="0" applyNumberFormat="1" applyFont="1" applyAlignment="1">
      <alignment horizontal="center"/>
    </xf>
    <xf numFmtId="164" fontId="23" fillId="19" borderId="17" xfId="0" applyNumberFormat="1" applyFont="1" applyFill="1" applyBorder="1" applyAlignment="1">
      <alignment horizontal="center"/>
    </xf>
    <xf numFmtId="10" fontId="80" fillId="0" borderId="0" xfId="0" applyNumberFormat="1" applyFont="1"/>
    <xf numFmtId="1" fontId="80" fillId="0" borderId="0" xfId="0" applyNumberFormat="1" applyFont="1"/>
    <xf numFmtId="166" fontId="80" fillId="0" borderId="0" xfId="0" applyNumberFormat="1" applyFont="1"/>
    <xf numFmtId="0" fontId="80" fillId="0" borderId="0" xfId="0" applyNumberFormat="1" applyFont="1"/>
    <xf numFmtId="44" fontId="83" fillId="0" borderId="0" xfId="38" applyFont="1"/>
    <xf numFmtId="9" fontId="83" fillId="19" borderId="17" xfId="63" applyFont="1" applyFill="1" applyBorder="1"/>
    <xf numFmtId="170" fontId="83" fillId="0" borderId="0" xfId="37" applyNumberFormat="1" applyFont="1"/>
    <xf numFmtId="178" fontId="51" fillId="0" borderId="0" xfId="37" applyNumberFormat="1" applyFont="1"/>
    <xf numFmtId="178" fontId="51" fillId="19" borderId="17" xfId="37" applyNumberFormat="1" applyFont="1" applyFill="1" applyBorder="1"/>
    <xf numFmtId="165" fontId="24" fillId="0" borderId="0" xfId="0" applyNumberFormat="1" applyFont="1" applyAlignment="1">
      <alignment horizontal="center"/>
    </xf>
    <xf numFmtId="165" fontId="24" fillId="19" borderId="17" xfId="0" applyNumberFormat="1" applyFont="1" applyFill="1" applyBorder="1" applyAlignment="1">
      <alignment horizontal="center"/>
    </xf>
    <xf numFmtId="171" fontId="24" fillId="0" borderId="0" xfId="0" applyNumberFormat="1" applyFont="1" applyAlignment="1">
      <alignment horizontal="center"/>
    </xf>
    <xf numFmtId="171" fontId="24" fillId="19" borderId="17" xfId="0" applyNumberFormat="1" applyFont="1" applyFill="1" applyBorder="1" applyAlignment="1">
      <alignment horizontal="center"/>
    </xf>
    <xf numFmtId="2" fontId="23" fillId="0" borderId="0" xfId="0" applyNumberFormat="1" applyFont="1"/>
    <xf numFmtId="165" fontId="24" fillId="19" borderId="18" xfId="0" applyNumberFormat="1" applyFont="1" applyFill="1" applyBorder="1" applyAlignment="1">
      <alignment horizontal="center"/>
    </xf>
    <xf numFmtId="0" fontId="81" fillId="18" borderId="0" xfId="0" applyFont="1" applyFill="1" applyBorder="1"/>
    <xf numFmtId="164" fontId="80" fillId="0" borderId="0" xfId="0" applyNumberFormat="1" applyFont="1" applyAlignment="1">
      <alignment horizontal="center"/>
    </xf>
    <xf numFmtId="166" fontId="23" fillId="19" borderId="18" xfId="0" applyNumberFormat="1" applyFont="1" applyFill="1" applyBorder="1" applyAlignment="1">
      <alignment horizontal="center"/>
    </xf>
    <xf numFmtId="0" fontId="80" fillId="18" borderId="0" xfId="0" applyFont="1" applyFill="1" applyBorder="1"/>
    <xf numFmtId="165" fontId="23" fillId="19" borderId="21" xfId="0" applyNumberFormat="1" applyFont="1" applyFill="1" applyBorder="1" applyAlignment="1">
      <alignment horizontal="center"/>
    </xf>
    <xf numFmtId="0" fontId="86" fillId="18" borderId="0" xfId="0" applyFont="1" applyFill="1" applyBorder="1"/>
    <xf numFmtId="164" fontId="74" fillId="19" borderId="17" xfId="0" applyNumberFormat="1" applyFont="1" applyFill="1" applyBorder="1" applyAlignment="1">
      <alignment horizontal="center"/>
    </xf>
    <xf numFmtId="164" fontId="86" fillId="18" borderId="0" xfId="63" applyNumberFormat="1" applyFont="1" applyFill="1" applyBorder="1"/>
    <xf numFmtId="164" fontId="80" fillId="18" borderId="0" xfId="63" applyNumberFormat="1" applyFont="1" applyFill="1" applyBorder="1"/>
    <xf numFmtId="170" fontId="23" fillId="18" borderId="0" xfId="37" applyNumberFormat="1" applyFont="1" applyFill="1" applyBorder="1"/>
    <xf numFmtId="5" fontId="23" fillId="18" borderId="0" xfId="37" applyNumberFormat="1" applyFont="1" applyFill="1" applyBorder="1" applyAlignment="1">
      <alignment horizontal="right"/>
    </xf>
    <xf numFmtId="5" fontId="23" fillId="19" borderId="17" xfId="37" applyNumberFormat="1" applyFont="1" applyFill="1" applyBorder="1" applyAlignment="1">
      <alignment horizontal="right"/>
    </xf>
    <xf numFmtId="5" fontId="81" fillId="18" borderId="0" xfId="37" applyNumberFormat="1" applyFont="1" applyFill="1" applyBorder="1" applyAlignment="1">
      <alignment horizontal="right"/>
    </xf>
    <xf numFmtId="5" fontId="81" fillId="18" borderId="0" xfId="37" applyNumberFormat="1" applyFont="1" applyFill="1" applyBorder="1" applyAlignment="1">
      <alignment horizontal="center"/>
    </xf>
    <xf numFmtId="5" fontId="23" fillId="19" borderId="17" xfId="37" applyNumberFormat="1" applyFont="1" applyFill="1" applyBorder="1" applyAlignment="1">
      <alignment horizontal="center"/>
    </xf>
    <xf numFmtId="5" fontId="23" fillId="19" borderId="0" xfId="37" applyNumberFormat="1" applyFont="1" applyFill="1" applyBorder="1" applyAlignment="1">
      <alignment horizontal="center"/>
    </xf>
    <xf numFmtId="164" fontId="23" fillId="18" borderId="0" xfId="63" applyNumberFormat="1" applyFont="1" applyFill="1" applyBorder="1" applyAlignment="1">
      <alignment horizontal="right"/>
    </xf>
    <xf numFmtId="164" fontId="23" fillId="19" borderId="17" xfId="63" applyNumberFormat="1" applyFont="1" applyFill="1" applyBorder="1" applyAlignment="1">
      <alignment horizontal="right"/>
    </xf>
    <xf numFmtId="164" fontId="81" fillId="19" borderId="0" xfId="63" applyNumberFormat="1" applyFont="1" applyFill="1" applyBorder="1" applyAlignment="1">
      <alignment horizontal="center"/>
    </xf>
    <xf numFmtId="164" fontId="86" fillId="18" borderId="11" xfId="63" applyNumberFormat="1" applyFont="1" applyFill="1" applyBorder="1"/>
    <xf numFmtId="164" fontId="23" fillId="18" borderId="11" xfId="63" applyNumberFormat="1" applyFont="1" applyFill="1" applyBorder="1" applyAlignment="1">
      <alignment horizontal="center"/>
    </xf>
    <xf numFmtId="164" fontId="81" fillId="18" borderId="11" xfId="63" applyNumberFormat="1" applyFont="1" applyFill="1" applyBorder="1" applyAlignment="1">
      <alignment horizontal="center"/>
    </xf>
    <xf numFmtId="164" fontId="81" fillId="19" borderId="11" xfId="63" applyNumberFormat="1" applyFont="1" applyFill="1" applyBorder="1" applyAlignment="1">
      <alignment horizontal="center"/>
    </xf>
    <xf numFmtId="0" fontId="24" fillId="18" borderId="15" xfId="0" applyFont="1" applyFill="1" applyBorder="1"/>
    <xf numFmtId="0" fontId="24" fillId="18" borderId="14" xfId="0" applyFont="1" applyFill="1" applyBorder="1"/>
    <xf numFmtId="5" fontId="24" fillId="18" borderId="14" xfId="37" applyNumberFormat="1" applyFont="1" applyFill="1" applyBorder="1" applyAlignment="1">
      <alignment horizontal="center"/>
    </xf>
    <xf numFmtId="5" fontId="24" fillId="19" borderId="16" xfId="37" applyNumberFormat="1" applyFont="1" applyFill="1" applyBorder="1" applyAlignment="1">
      <alignment horizontal="right"/>
    </xf>
    <xf numFmtId="5" fontId="24" fillId="19" borderId="16" xfId="37" applyNumberFormat="1" applyFont="1" applyFill="1" applyBorder="1" applyAlignment="1">
      <alignment horizontal="center"/>
    </xf>
    <xf numFmtId="5" fontId="24" fillId="19" borderId="14" xfId="37" applyNumberFormat="1" applyFont="1" applyFill="1" applyBorder="1" applyAlignment="1">
      <alignment horizontal="center"/>
    </xf>
    <xf numFmtId="5" fontId="24" fillId="18" borderId="0" xfId="37" applyNumberFormat="1" applyFont="1" applyFill="1" applyBorder="1" applyAlignment="1">
      <alignment horizontal="center"/>
    </xf>
    <xf numFmtId="5" fontId="24" fillId="18" borderId="0" xfId="37" applyNumberFormat="1" applyFont="1" applyFill="1" applyBorder="1" applyAlignment="1">
      <alignment horizontal="right"/>
    </xf>
    <xf numFmtId="164" fontId="23" fillId="18" borderId="0" xfId="0" applyNumberFormat="1" applyFont="1" applyFill="1" applyAlignment="1">
      <alignment horizontal="center"/>
    </xf>
    <xf numFmtId="175" fontId="23" fillId="18" borderId="0" xfId="0" applyNumberFormat="1" applyFont="1" applyFill="1" applyAlignment="1">
      <alignment horizontal="center"/>
    </xf>
    <xf numFmtId="37" fontId="23" fillId="18" borderId="0" xfId="0" applyNumberFormat="1" applyFont="1" applyFill="1" applyAlignment="1">
      <alignment horizontal="center"/>
    </xf>
    <xf numFmtId="178" fontId="23" fillId="0" borderId="0" xfId="37" applyNumberFormat="1" applyFont="1"/>
    <xf numFmtId="0" fontId="89" fillId="18" borderId="0" xfId="55" applyFont="1" applyFill="1" applyBorder="1" applyAlignment="1">
      <alignment horizontal="left" vertical="center"/>
    </xf>
    <xf numFmtId="0" fontId="23" fillId="18" borderId="0" xfId="55" applyFont="1" applyFill="1" applyBorder="1" applyAlignment="1">
      <alignment horizontal="left" vertical="center"/>
    </xf>
    <xf numFmtId="0" fontId="23" fillId="0" borderId="12" xfId="57" applyFont="1" applyBorder="1"/>
    <xf numFmtId="0" fontId="34" fillId="19" borderId="14" xfId="0" applyFont="1" applyFill="1" applyBorder="1"/>
    <xf numFmtId="0" fontId="52" fillId="19" borderId="14" xfId="0" applyFont="1" applyFill="1" applyBorder="1"/>
    <xf numFmtId="17" fontId="34" fillId="19" borderId="14" xfId="0" applyNumberFormat="1" applyFont="1" applyFill="1" applyBorder="1" applyAlignment="1">
      <alignment horizontal="center"/>
    </xf>
    <xf numFmtId="17" fontId="34" fillId="19" borderId="21" xfId="0" applyNumberFormat="1" applyFont="1" applyFill="1" applyBorder="1" applyAlignment="1">
      <alignment horizontal="center"/>
    </xf>
    <xf numFmtId="17" fontId="34" fillId="19" borderId="16" xfId="0" applyNumberFormat="1" applyFont="1" applyFill="1" applyBorder="1" applyAlignment="1">
      <alignment horizontal="center"/>
    </xf>
    <xf numFmtId="0" fontId="34" fillId="0" borderId="0" xfId="0" applyFont="1"/>
    <xf numFmtId="0" fontId="52" fillId="0" borderId="0" xfId="0" applyFont="1"/>
    <xf numFmtId="169" fontId="34" fillId="18" borderId="0" xfId="0" applyNumberFormat="1" applyFont="1" applyFill="1" applyAlignment="1">
      <alignment horizontal="center"/>
    </xf>
    <xf numFmtId="169" fontId="34" fillId="19" borderId="17" xfId="0" applyNumberFormat="1" applyFont="1" applyFill="1" applyBorder="1" applyAlignment="1">
      <alignment horizontal="center"/>
    </xf>
    <xf numFmtId="169" fontId="34" fillId="0" borderId="0" xfId="0" applyNumberFormat="1" applyFont="1" applyAlignment="1">
      <alignment horizontal="center"/>
    </xf>
    <xf numFmtId="0" fontId="52" fillId="18" borderId="0" xfId="0" applyFont="1" applyFill="1"/>
    <xf numFmtId="164" fontId="52" fillId="18" borderId="0" xfId="63" applyNumberFormat="1" applyFont="1" applyFill="1" applyAlignment="1">
      <alignment horizontal="center"/>
    </xf>
    <xf numFmtId="164" fontId="52" fillId="19" borderId="17" xfId="63" applyNumberFormat="1" applyFont="1" applyFill="1" applyBorder="1" applyAlignment="1">
      <alignment horizontal="center"/>
    </xf>
    <xf numFmtId="178" fontId="52" fillId="18" borderId="0" xfId="37" applyNumberFormat="1" applyFont="1" applyFill="1" applyAlignment="1">
      <alignment horizontal="center"/>
    </xf>
    <xf numFmtId="164" fontId="42" fillId="18" borderId="0" xfId="63" applyNumberFormat="1" applyFont="1" applyFill="1" applyAlignment="1">
      <alignment horizontal="center"/>
    </xf>
    <xf numFmtId="169" fontId="42" fillId="19" borderId="17" xfId="0" applyNumberFormat="1" applyFont="1" applyFill="1" applyBorder="1" applyAlignment="1">
      <alignment horizontal="center"/>
    </xf>
    <xf numFmtId="164" fontId="42" fillId="19" borderId="17" xfId="63" applyNumberFormat="1" applyFont="1" applyFill="1" applyBorder="1" applyAlignment="1">
      <alignment horizontal="center"/>
    </xf>
    <xf numFmtId="169" fontId="52" fillId="18" borderId="0" xfId="0" applyNumberFormat="1" applyFont="1" applyFill="1" applyAlignment="1">
      <alignment horizontal="center"/>
    </xf>
    <xf numFmtId="169" fontId="52" fillId="19" borderId="17" xfId="0" applyNumberFormat="1" applyFont="1" applyFill="1" applyBorder="1" applyAlignment="1">
      <alignment horizontal="center"/>
    </xf>
    <xf numFmtId="165" fontId="52" fillId="0" borderId="0" xfId="0" applyNumberFormat="1" applyFont="1" applyAlignment="1">
      <alignment horizontal="center"/>
    </xf>
    <xf numFmtId="165" fontId="79" fillId="19" borderId="17" xfId="56" applyNumberFormat="1" applyFont="1" applyFill="1" applyBorder="1" applyAlignment="1">
      <alignment horizontal="center"/>
    </xf>
    <xf numFmtId="165" fontId="52" fillId="18" borderId="0" xfId="0" applyNumberFormat="1" applyFont="1" applyFill="1" applyAlignment="1">
      <alignment horizontal="center"/>
    </xf>
    <xf numFmtId="169" fontId="52" fillId="0" borderId="0" xfId="0" applyNumberFormat="1" applyFont="1" applyAlignment="1">
      <alignment horizontal="center"/>
    </xf>
    <xf numFmtId="0" fontId="79" fillId="0" borderId="0" xfId="0" applyFont="1" applyFill="1"/>
    <xf numFmtId="164" fontId="52" fillId="0" borderId="0" xfId="63" applyNumberFormat="1" applyFont="1" applyAlignment="1">
      <alignment horizontal="center"/>
    </xf>
    <xf numFmtId="1" fontId="52" fillId="18" borderId="0" xfId="0" applyNumberFormat="1" applyFont="1" applyFill="1" applyAlignment="1">
      <alignment horizontal="center"/>
    </xf>
    <xf numFmtId="1" fontId="52" fillId="19" borderId="17" xfId="0" applyNumberFormat="1" applyFont="1" applyFill="1" applyBorder="1" applyAlignment="1">
      <alignment horizontal="center"/>
    </xf>
    <xf numFmtId="3" fontId="52" fillId="0" borderId="0" xfId="56" applyNumberFormat="1" applyFont="1" applyAlignment="1">
      <alignment horizontal="center"/>
    </xf>
    <xf numFmtId="3" fontId="52" fillId="18" borderId="0" xfId="56" applyNumberFormat="1" applyFont="1" applyFill="1" applyAlignment="1">
      <alignment horizontal="center"/>
    </xf>
    <xf numFmtId="0" fontId="90" fillId="0" borderId="0" xfId="0" applyFont="1" applyAlignment="1">
      <alignment horizontal="center"/>
    </xf>
    <xf numFmtId="0" fontId="90" fillId="19" borderId="17" xfId="0" applyFont="1" applyFill="1" applyBorder="1" applyAlignment="1">
      <alignment horizontal="center"/>
    </xf>
    <xf numFmtId="0" fontId="52" fillId="19" borderId="17" xfId="0" applyFont="1" applyFill="1" applyBorder="1"/>
    <xf numFmtId="0" fontId="52" fillId="18" borderId="0" xfId="0" applyFont="1" applyFill="1" applyBorder="1"/>
    <xf numFmtId="9" fontId="91" fillId="18" borderId="19" xfId="0" applyNumberFormat="1" applyFont="1" applyFill="1" applyBorder="1" applyAlignment="1">
      <alignment horizontal="center"/>
    </xf>
    <xf numFmtId="0" fontId="92" fillId="19" borderId="17" xfId="0" applyFont="1" applyFill="1" applyBorder="1"/>
    <xf numFmtId="9" fontId="91" fillId="18" borderId="0" xfId="0" applyNumberFormat="1" applyFont="1" applyFill="1" applyBorder="1" applyAlignment="1">
      <alignment horizontal="center"/>
    </xf>
    <xf numFmtId="169" fontId="92" fillId="18" borderId="0" xfId="0" applyNumberFormat="1" applyFont="1" applyFill="1" applyBorder="1" applyAlignment="1">
      <alignment horizontal="center"/>
    </xf>
    <xf numFmtId="169" fontId="92" fillId="18" borderId="0" xfId="0" applyNumberFormat="1" applyFont="1" applyFill="1" applyAlignment="1">
      <alignment horizontal="center"/>
    </xf>
    <xf numFmtId="169" fontId="92" fillId="19" borderId="17" xfId="0" applyNumberFormat="1" applyFont="1" applyFill="1" applyBorder="1" applyAlignment="1">
      <alignment horizontal="center"/>
    </xf>
    <xf numFmtId="9" fontId="42" fillId="18" borderId="0" xfId="63" applyFont="1" applyFill="1" applyAlignment="1">
      <alignment horizontal="center"/>
    </xf>
    <xf numFmtId="164" fontId="42" fillId="0" borderId="0" xfId="63" applyNumberFormat="1" applyFont="1" applyAlignment="1">
      <alignment horizontal="center"/>
    </xf>
    <xf numFmtId="3" fontId="52" fillId="0" borderId="0" xfId="0" applyNumberFormat="1" applyFont="1"/>
    <xf numFmtId="0" fontId="79" fillId="0" borderId="0" xfId="0" applyFont="1"/>
    <xf numFmtId="1" fontId="52" fillId="0" borderId="0" xfId="0" applyNumberFormat="1" applyFont="1" applyAlignment="1">
      <alignment horizontal="center"/>
    </xf>
    <xf numFmtId="164" fontId="52" fillId="18" borderId="0" xfId="63" applyNumberFormat="1" applyFont="1" applyFill="1"/>
    <xf numFmtId="164" fontId="52" fillId="19" borderId="17" xfId="63" applyNumberFormat="1" applyFont="1" applyFill="1" applyBorder="1"/>
    <xf numFmtId="164" fontId="50" fillId="18" borderId="0" xfId="63" applyNumberFormat="1" applyFont="1" applyFill="1"/>
    <xf numFmtId="1" fontId="52" fillId="18" borderId="0" xfId="0" applyNumberFormat="1" applyFont="1" applyFill="1"/>
    <xf numFmtId="164" fontId="42" fillId="18" borderId="0" xfId="0" applyNumberFormat="1" applyFont="1" applyFill="1" applyAlignment="1">
      <alignment horizontal="center"/>
    </xf>
    <xf numFmtId="10" fontId="42" fillId="0" borderId="0" xfId="0" applyNumberFormat="1" applyFont="1" applyAlignment="1">
      <alignment horizontal="center"/>
    </xf>
    <xf numFmtId="164" fontId="42" fillId="19" borderId="17" xfId="0" applyNumberFormat="1" applyFont="1" applyFill="1" applyBorder="1" applyAlignment="1">
      <alignment horizontal="center"/>
    </xf>
    <xf numFmtId="169" fontId="42" fillId="18" borderId="0" xfId="0" applyNumberFormat="1" applyFont="1" applyFill="1" applyAlignment="1">
      <alignment horizontal="center"/>
    </xf>
    <xf numFmtId="43" fontId="42" fillId="19" borderId="17" xfId="37" applyFont="1" applyFill="1" applyBorder="1" applyAlignment="1">
      <alignment horizontal="center"/>
    </xf>
    <xf numFmtId="166" fontId="42" fillId="19" borderId="17" xfId="63" applyNumberFormat="1" applyFont="1" applyFill="1" applyBorder="1" applyAlignment="1">
      <alignment horizontal="center"/>
    </xf>
    <xf numFmtId="0" fontId="34" fillId="18" borderId="0" xfId="0" applyFont="1" applyFill="1"/>
    <xf numFmtId="164" fontId="50" fillId="18" borderId="0" xfId="63" applyNumberFormat="1" applyFont="1" applyFill="1" applyAlignment="1">
      <alignment horizontal="center"/>
    </xf>
    <xf numFmtId="0" fontId="90" fillId="18" borderId="0" xfId="0" applyFont="1" applyFill="1" applyAlignment="1">
      <alignment horizontal="center"/>
    </xf>
    <xf numFmtId="1" fontId="92" fillId="19" borderId="17" xfId="0" applyNumberFormat="1" applyFont="1" applyFill="1" applyBorder="1" applyAlignment="1">
      <alignment horizontal="center"/>
    </xf>
    <xf numFmtId="170" fontId="42" fillId="0" borderId="0" xfId="0" applyNumberFormat="1" applyFont="1" applyAlignment="1">
      <alignment horizontal="center"/>
    </xf>
    <xf numFmtId="169" fontId="42" fillId="0" borderId="0" xfId="0" applyNumberFormat="1" applyFont="1" applyAlignment="1">
      <alignment horizontal="center"/>
    </xf>
    <xf numFmtId="166" fontId="42" fillId="19" borderId="17" xfId="0" applyNumberFormat="1" applyFont="1" applyFill="1" applyBorder="1" applyAlignment="1">
      <alignment horizontal="center"/>
    </xf>
    <xf numFmtId="164" fontId="93" fillId="19" borderId="17" xfId="63" applyNumberFormat="1" applyFont="1" applyFill="1" applyBorder="1" applyAlignment="1">
      <alignment horizontal="center"/>
    </xf>
    <xf numFmtId="0" fontId="79" fillId="18" borderId="0" xfId="0" applyFont="1" applyFill="1"/>
    <xf numFmtId="166" fontId="52" fillId="18" borderId="0" xfId="0" applyNumberFormat="1" applyFont="1" applyFill="1"/>
    <xf numFmtId="43" fontId="42" fillId="0" borderId="0" xfId="37" applyFont="1" applyAlignment="1">
      <alignment horizontal="center"/>
    </xf>
    <xf numFmtId="164" fontId="42" fillId="18" borderId="0" xfId="63" applyNumberFormat="1" applyFont="1" applyFill="1"/>
    <xf numFmtId="169" fontId="52" fillId="0" borderId="0" xfId="0" applyNumberFormat="1" applyFont="1"/>
    <xf numFmtId="170" fontId="42" fillId="19" borderId="17" xfId="37" applyNumberFormat="1" applyFont="1" applyFill="1" applyBorder="1"/>
    <xf numFmtId="43" fontId="52" fillId="0" borderId="0" xfId="0" applyNumberFormat="1" applyFont="1"/>
    <xf numFmtId="169" fontId="93" fillId="0" borderId="0" xfId="0" applyNumberFormat="1" applyFont="1"/>
    <xf numFmtId="164" fontId="52" fillId="0" borderId="0" xfId="63" applyNumberFormat="1" applyFont="1"/>
    <xf numFmtId="44" fontId="52" fillId="19" borderId="17" xfId="38" applyNumberFormat="1" applyFont="1" applyFill="1" applyBorder="1"/>
    <xf numFmtId="0" fontId="52" fillId="18" borderId="0" xfId="0" applyFont="1" applyFill="1" applyAlignment="1">
      <alignment horizontal="center"/>
    </xf>
    <xf numFmtId="0" fontId="52" fillId="19" borderId="17" xfId="0" applyFont="1" applyFill="1" applyBorder="1" applyAlignment="1">
      <alignment horizontal="center"/>
    </xf>
    <xf numFmtId="166" fontId="52" fillId="0" borderId="0" xfId="0" applyNumberFormat="1" applyFont="1" applyAlignment="1">
      <alignment horizontal="center"/>
    </xf>
    <xf numFmtId="166" fontId="52" fillId="18" borderId="0" xfId="0" applyNumberFormat="1" applyFont="1" applyFill="1" applyAlignment="1">
      <alignment horizontal="center"/>
    </xf>
    <xf numFmtId="0" fontId="95" fillId="0" borderId="0" xfId="0" applyFont="1" applyFill="1"/>
    <xf numFmtId="169" fontId="90" fillId="0" borderId="0" xfId="0" applyNumberFormat="1" applyFont="1" applyAlignment="1">
      <alignment horizontal="center"/>
    </xf>
    <xf numFmtId="169" fontId="90" fillId="19" borderId="17" xfId="0" applyNumberFormat="1" applyFont="1" applyFill="1" applyBorder="1" applyAlignment="1">
      <alignment horizontal="center"/>
    </xf>
    <xf numFmtId="166" fontId="52" fillId="19" borderId="17" xfId="0" applyNumberFormat="1" applyFont="1" applyFill="1" applyBorder="1" applyAlignment="1">
      <alignment horizontal="center"/>
    </xf>
    <xf numFmtId="165" fontId="52" fillId="19" borderId="17" xfId="0" applyNumberFormat="1" applyFont="1" applyFill="1" applyBorder="1" applyAlignment="1">
      <alignment horizontal="center"/>
    </xf>
    <xf numFmtId="166" fontId="93" fillId="18" borderId="0" xfId="0" applyNumberFormat="1" applyFont="1" applyFill="1" applyAlignment="1">
      <alignment horizontal="center"/>
    </xf>
    <xf numFmtId="0" fontId="96" fillId="18" borderId="0" xfId="0" applyFont="1" applyFill="1"/>
    <xf numFmtId="0" fontId="96" fillId="19" borderId="17" xfId="0" applyFont="1" applyFill="1" applyBorder="1"/>
    <xf numFmtId="170" fontId="96" fillId="0" borderId="0" xfId="37" applyNumberFormat="1" applyFont="1"/>
    <xf numFmtId="170" fontId="96" fillId="19" borderId="17" xfId="37" applyNumberFormat="1" applyFont="1" applyFill="1" applyBorder="1"/>
    <xf numFmtId="170" fontId="96" fillId="18" borderId="0" xfId="37" applyNumberFormat="1" applyFont="1" applyFill="1"/>
    <xf numFmtId="164" fontId="96" fillId="0" borderId="0" xfId="63" applyNumberFormat="1" applyFont="1"/>
    <xf numFmtId="164" fontId="42" fillId="19" borderId="17" xfId="63" applyNumberFormat="1" applyFont="1" applyFill="1" applyBorder="1"/>
    <xf numFmtId="164" fontId="52" fillId="0" borderId="0" xfId="63" applyNumberFormat="1" applyFont="1" applyFill="1"/>
    <xf numFmtId="196" fontId="42" fillId="0" borderId="0" xfId="63" applyNumberFormat="1" applyFont="1" applyFill="1"/>
    <xf numFmtId="164" fontId="42" fillId="0" borderId="0" xfId="63" applyNumberFormat="1" applyFont="1" applyFill="1"/>
    <xf numFmtId="166" fontId="42" fillId="0" borderId="0" xfId="0" applyNumberFormat="1" applyFont="1"/>
    <xf numFmtId="164" fontId="42" fillId="0" borderId="0" xfId="63" applyNumberFormat="1" applyFont="1"/>
    <xf numFmtId="164" fontId="90" fillId="19" borderId="17" xfId="63" applyNumberFormat="1" applyFont="1" applyFill="1" applyBorder="1" applyAlignment="1">
      <alignment horizontal="center"/>
    </xf>
    <xf numFmtId="164" fontId="90" fillId="18" borderId="0" xfId="0" applyNumberFormat="1" applyFont="1" applyFill="1" applyAlignment="1">
      <alignment horizontal="center"/>
    </xf>
    <xf numFmtId="166" fontId="90" fillId="0" borderId="0" xfId="0" applyNumberFormat="1" applyFont="1" applyAlignment="1">
      <alignment horizontal="center"/>
    </xf>
    <xf numFmtId="0" fontId="42" fillId="0" borderId="0" xfId="0" applyFont="1"/>
    <xf numFmtId="0" fontId="93" fillId="0" borderId="0" xfId="0" applyFont="1"/>
    <xf numFmtId="167" fontId="50" fillId="18" borderId="0" xfId="0" applyNumberFormat="1" applyFont="1" applyFill="1" applyAlignment="1">
      <alignment horizontal="center"/>
    </xf>
    <xf numFmtId="167" fontId="50" fillId="19" borderId="17" xfId="0" applyNumberFormat="1" applyFont="1" applyFill="1" applyBorder="1" applyAlignment="1">
      <alignment horizontal="center"/>
    </xf>
    <xf numFmtId="167" fontId="42" fillId="0" borderId="0" xfId="0" applyNumberFormat="1" applyFont="1" applyAlignment="1">
      <alignment horizontal="center"/>
    </xf>
    <xf numFmtId="167" fontId="42" fillId="19" borderId="17" xfId="0" applyNumberFormat="1" applyFont="1" applyFill="1" applyBorder="1" applyAlignment="1">
      <alignment horizontal="center"/>
    </xf>
    <xf numFmtId="167" fontId="50" fillId="0" borderId="0" xfId="0" applyNumberFormat="1" applyFont="1" applyAlignment="1">
      <alignment horizontal="center"/>
    </xf>
    <xf numFmtId="167" fontId="42" fillId="18" borderId="0" xfId="0" applyNumberFormat="1" applyFont="1" applyFill="1" applyAlignment="1">
      <alignment horizontal="center"/>
    </xf>
    <xf numFmtId="167" fontId="34" fillId="18" borderId="0" xfId="0" applyNumberFormat="1" applyFont="1" applyFill="1" applyAlignment="1">
      <alignment horizontal="center"/>
    </xf>
    <xf numFmtId="167" fontId="34" fillId="19" borderId="17" xfId="0" applyNumberFormat="1" applyFont="1" applyFill="1" applyBorder="1" applyAlignment="1">
      <alignment horizontal="center"/>
    </xf>
    <xf numFmtId="167" fontId="34" fillId="0" borderId="0" xfId="0" applyNumberFormat="1" applyFont="1" applyAlignment="1">
      <alignment horizontal="center"/>
    </xf>
    <xf numFmtId="9" fontId="79" fillId="0" borderId="0" xfId="63" applyFont="1"/>
    <xf numFmtId="0" fontId="42" fillId="18" borderId="0" xfId="0" applyFont="1" applyFill="1" applyAlignment="1">
      <alignment horizontal="center"/>
    </xf>
    <xf numFmtId="0" fontId="42" fillId="19" borderId="17" xfId="0" applyFont="1" applyFill="1" applyBorder="1" applyAlignment="1">
      <alignment horizontal="center"/>
    </xf>
    <xf numFmtId="0" fontId="42" fillId="0" borderId="0" xfId="0" applyFont="1" applyAlignment="1">
      <alignment horizontal="center"/>
    </xf>
    <xf numFmtId="0" fontId="90" fillId="0" borderId="0" xfId="0" applyFont="1"/>
    <xf numFmtId="0" fontId="90" fillId="18" borderId="0" xfId="0" applyFont="1" applyFill="1"/>
    <xf numFmtId="41" fontId="52" fillId="18" borderId="0" xfId="0" applyNumberFormat="1" applyFont="1" applyFill="1"/>
    <xf numFmtId="166" fontId="52" fillId="18" borderId="0" xfId="0" applyNumberFormat="1" applyFont="1" applyFill="1" applyBorder="1" applyAlignment="1">
      <alignment horizontal="center"/>
    </xf>
    <xf numFmtId="41" fontId="34" fillId="18" borderId="0" xfId="0" applyNumberFormat="1" applyFont="1" applyFill="1"/>
    <xf numFmtId="169" fontId="52" fillId="19" borderId="18" xfId="0" applyNumberFormat="1" applyFont="1" applyFill="1" applyBorder="1" applyAlignment="1">
      <alignment horizontal="center"/>
    </xf>
    <xf numFmtId="167" fontId="52" fillId="0" borderId="0" xfId="0" applyNumberFormat="1" applyFont="1"/>
    <xf numFmtId="167" fontId="42" fillId="19" borderId="17" xfId="38" applyNumberFormat="1" applyFont="1" applyFill="1" applyBorder="1" applyAlignment="1">
      <alignment horizontal="center"/>
    </xf>
    <xf numFmtId="170" fontId="23" fillId="0" borderId="0" xfId="37" applyNumberFormat="1" applyFont="1"/>
    <xf numFmtId="167" fontId="23" fillId="18" borderId="11" xfId="0" applyNumberFormat="1" applyFont="1" applyFill="1" applyBorder="1"/>
    <xf numFmtId="164" fontId="83" fillId="18" borderId="0" xfId="37" applyNumberFormat="1" applyFont="1" applyFill="1" applyBorder="1"/>
    <xf numFmtId="164" fontId="83" fillId="18" borderId="0" xfId="38" applyNumberFormat="1" applyFont="1" applyFill="1" applyBorder="1"/>
    <xf numFmtId="169" fontId="34" fillId="0" borderId="0" xfId="0" applyNumberFormat="1" applyFont="1" applyFill="1" applyAlignment="1">
      <alignment horizontal="center"/>
    </xf>
    <xf numFmtId="44" fontId="100" fillId="18" borderId="0" xfId="38" applyFont="1" applyFill="1" applyAlignment="1">
      <alignment horizontal="center"/>
    </xf>
    <xf numFmtId="44" fontId="100" fillId="19" borderId="17" xfId="38" applyFont="1" applyFill="1" applyBorder="1" applyAlignment="1">
      <alignment horizontal="center"/>
    </xf>
    <xf numFmtId="43" fontId="23" fillId="18" borderId="0" xfId="37" applyFont="1" applyFill="1"/>
    <xf numFmtId="169" fontId="52" fillId="0" borderId="0" xfId="0" applyNumberFormat="1" applyFont="1" applyFill="1" applyAlignment="1">
      <alignment horizontal="center"/>
    </xf>
    <xf numFmtId="1" fontId="52" fillId="0" borderId="0" xfId="0" applyNumberFormat="1" applyFont="1"/>
    <xf numFmtId="178" fontId="42" fillId="0" borderId="0" xfId="37" applyNumberFormat="1" applyFont="1" applyAlignment="1">
      <alignment horizontal="center"/>
    </xf>
    <xf numFmtId="164" fontId="27" fillId="21" borderId="0" xfId="63" applyNumberFormat="1" applyFont="1" applyFill="1" applyBorder="1" applyAlignment="1">
      <alignment horizontal="center"/>
    </xf>
    <xf numFmtId="165" fontId="90" fillId="18" borderId="0" xfId="0" applyNumberFormat="1" applyFont="1" applyFill="1" applyAlignment="1">
      <alignment horizontal="center"/>
    </xf>
    <xf numFmtId="199" fontId="83" fillId="18" borderId="0" xfId="37" applyNumberFormat="1" applyFont="1" applyFill="1" applyBorder="1"/>
    <xf numFmtId="0" fontId="5" fillId="17" borderId="0" xfId="59" applyFont="1" applyFill="1" applyBorder="1"/>
    <xf numFmtId="37" fontId="15" fillId="21" borderId="0" xfId="37" applyNumberFormat="1" applyFont="1" applyFill="1" applyBorder="1" applyAlignment="1">
      <alignment horizontal="center"/>
    </xf>
    <xf numFmtId="37" fontId="40" fillId="21" borderId="0" xfId="37" applyNumberFormat="1" applyFont="1" applyFill="1" applyBorder="1" applyAlignment="1">
      <alignment horizontal="center"/>
    </xf>
    <xf numFmtId="9" fontId="23" fillId="18" borderId="0" xfId="63" applyFont="1" applyFill="1" applyAlignment="1">
      <alignment horizontal="center"/>
    </xf>
    <xf numFmtId="9" fontId="52" fillId="19" borderId="17" xfId="63" applyFont="1" applyFill="1" applyBorder="1"/>
    <xf numFmtId="169" fontId="52" fillId="20" borderId="17" xfId="0" applyNumberFormat="1" applyFont="1" applyFill="1" applyBorder="1" applyAlignment="1">
      <alignment horizontal="center"/>
    </xf>
    <xf numFmtId="10" fontId="52" fillId="18" borderId="0" xfId="0" applyNumberFormat="1" applyFont="1" applyFill="1"/>
    <xf numFmtId="10" fontId="52" fillId="19" borderId="17" xfId="63" applyNumberFormat="1" applyFont="1" applyFill="1" applyBorder="1"/>
    <xf numFmtId="8" fontId="28" fillId="18" borderId="0" xfId="63" applyNumberFormat="1" applyFont="1" applyFill="1" applyBorder="1" applyAlignment="1">
      <alignment horizontal="center"/>
    </xf>
    <xf numFmtId="8" fontId="28" fillId="18" borderId="0" xfId="63" applyNumberFormat="1" applyFont="1" applyFill="1" applyBorder="1" applyAlignment="1"/>
    <xf numFmtId="8" fontId="28" fillId="19" borderId="17" xfId="63" applyNumberFormat="1" applyFont="1" applyFill="1" applyBorder="1" applyAlignment="1">
      <alignment horizontal="center"/>
    </xf>
    <xf numFmtId="207" fontId="90" fillId="0" borderId="0" xfId="63" applyNumberFormat="1" applyFont="1"/>
    <xf numFmtId="170" fontId="93" fillId="18" borderId="0" xfId="37" applyNumberFormat="1" applyFont="1" applyFill="1" applyBorder="1"/>
    <xf numFmtId="167" fontId="90" fillId="0" borderId="0" xfId="0" applyNumberFormat="1" applyFont="1" applyAlignment="1">
      <alignment horizontal="center"/>
    </xf>
    <xf numFmtId="167" fontId="52" fillId="19" borderId="17" xfId="0" applyNumberFormat="1" applyFont="1" applyFill="1" applyBorder="1" applyAlignment="1">
      <alignment horizontal="center"/>
    </xf>
    <xf numFmtId="168" fontId="52" fillId="19" borderId="18" xfId="0" applyNumberFormat="1" applyFont="1" applyFill="1" applyBorder="1" applyAlignment="1">
      <alignment horizontal="center"/>
    </xf>
    <xf numFmtId="168" fontId="52" fillId="18" borderId="0" xfId="0" applyNumberFormat="1" applyFont="1" applyFill="1" applyAlignment="1">
      <alignment horizontal="center"/>
    </xf>
    <xf numFmtId="168" fontId="52" fillId="18" borderId="0" xfId="0" applyNumberFormat="1" applyFont="1" applyFill="1" applyBorder="1" applyAlignment="1">
      <alignment horizontal="center"/>
    </xf>
    <xf numFmtId="167" fontId="52" fillId="19" borderId="21" xfId="0" applyNumberFormat="1" applyFont="1" applyFill="1" applyBorder="1" applyAlignment="1">
      <alignment horizontal="center"/>
    </xf>
    <xf numFmtId="168" fontId="52" fillId="19" borderId="17" xfId="0" applyNumberFormat="1" applyFont="1" applyFill="1" applyBorder="1" applyAlignment="1">
      <alignment horizontal="center"/>
    </xf>
    <xf numFmtId="168" fontId="34" fillId="18" borderId="0" xfId="0" applyNumberFormat="1" applyFont="1" applyFill="1" applyBorder="1" applyAlignment="1">
      <alignment horizontal="center"/>
    </xf>
    <xf numFmtId="168" fontId="34" fillId="19" borderId="18" xfId="0" applyNumberFormat="1" applyFont="1" applyFill="1" applyBorder="1" applyAlignment="1">
      <alignment horizontal="center"/>
    </xf>
    <xf numFmtId="164" fontId="52" fillId="19" borderId="17" xfId="0" applyNumberFormat="1" applyFont="1" applyFill="1" applyBorder="1" applyAlignment="1">
      <alignment horizontal="center"/>
    </xf>
    <xf numFmtId="164" fontId="52" fillId="0" borderId="0" xfId="0" applyNumberFormat="1" applyFont="1" applyAlignment="1">
      <alignment horizontal="center"/>
    </xf>
    <xf numFmtId="164" fontId="90" fillId="0" borderId="0" xfId="0" applyNumberFormat="1" applyFont="1" applyAlignment="1">
      <alignment horizontal="center"/>
    </xf>
    <xf numFmtId="164" fontId="90" fillId="0" borderId="0" xfId="63" applyNumberFormat="1" applyFont="1" applyAlignment="1">
      <alignment horizontal="center"/>
    </xf>
    <xf numFmtId="167" fontId="52" fillId="0" borderId="0" xfId="0" applyNumberFormat="1" applyFont="1" applyAlignment="1">
      <alignment horizontal="center"/>
    </xf>
    <xf numFmtId="178" fontId="42" fillId="19" borderId="17" xfId="37" applyNumberFormat="1" applyFont="1" applyFill="1" applyBorder="1"/>
    <xf numFmtId="169" fontId="52" fillId="19" borderId="17" xfId="0" applyNumberFormat="1" applyFont="1" applyFill="1" applyBorder="1"/>
    <xf numFmtId="165" fontId="34" fillId="19" borderId="17" xfId="0" applyNumberFormat="1" applyFont="1" applyFill="1" applyBorder="1" applyAlignment="1">
      <alignment horizontal="center"/>
    </xf>
    <xf numFmtId="165" fontId="34" fillId="0" borderId="0" xfId="0" applyNumberFormat="1" applyFont="1" applyAlignment="1">
      <alignment horizontal="center"/>
    </xf>
    <xf numFmtId="171" fontId="34" fillId="19" borderId="17" xfId="0" applyNumberFormat="1" applyFont="1" applyFill="1" applyBorder="1" applyAlignment="1">
      <alignment horizontal="center"/>
    </xf>
    <xf numFmtId="171" fontId="34" fillId="0" borderId="0" xfId="0" applyNumberFormat="1" applyFont="1" applyAlignment="1">
      <alignment horizontal="center"/>
    </xf>
    <xf numFmtId="200" fontId="52" fillId="19" borderId="17" xfId="0" applyNumberFormat="1" applyFont="1" applyFill="1" applyBorder="1"/>
    <xf numFmtId="165" fontId="34" fillId="19" borderId="18" xfId="0" applyNumberFormat="1" applyFont="1" applyFill="1" applyBorder="1" applyAlignment="1">
      <alignment horizontal="center"/>
    </xf>
    <xf numFmtId="164" fontId="52" fillId="19" borderId="18" xfId="63" applyNumberFormat="1" applyFont="1" applyFill="1" applyBorder="1" applyAlignment="1">
      <alignment horizontal="center"/>
    </xf>
    <xf numFmtId="164" fontId="79" fillId="0" borderId="0" xfId="0" applyNumberFormat="1" applyFont="1" applyAlignment="1">
      <alignment horizontal="center"/>
    </xf>
    <xf numFmtId="17" fontId="34" fillId="19" borderId="15" xfId="0" applyNumberFormat="1" applyFont="1" applyFill="1" applyBorder="1" applyAlignment="1">
      <alignment horizontal="center"/>
    </xf>
    <xf numFmtId="166" fontId="52" fillId="19" borderId="12" xfId="0" applyNumberFormat="1" applyFont="1" applyFill="1" applyBorder="1" applyAlignment="1">
      <alignment horizontal="center"/>
    </xf>
    <xf numFmtId="166" fontId="52" fillId="19" borderId="18" xfId="0" applyNumberFormat="1" applyFont="1" applyFill="1" applyBorder="1" applyAlignment="1">
      <alignment horizontal="center"/>
    </xf>
    <xf numFmtId="166" fontId="52" fillId="19" borderId="13" xfId="0" applyNumberFormat="1" applyFont="1" applyFill="1" applyBorder="1" applyAlignment="1">
      <alignment horizontal="center"/>
    </xf>
    <xf numFmtId="165" fontId="52" fillId="19" borderId="21" xfId="0" applyNumberFormat="1" applyFont="1" applyFill="1" applyBorder="1" applyAlignment="1">
      <alignment horizontal="center"/>
    </xf>
    <xf numFmtId="164" fontId="50" fillId="19" borderId="17" xfId="0" applyNumberFormat="1" applyFont="1" applyFill="1" applyBorder="1" applyAlignment="1">
      <alignment horizontal="center"/>
    </xf>
    <xf numFmtId="170" fontId="52" fillId="18" borderId="0" xfId="37" applyNumberFormat="1" applyFont="1" applyFill="1" applyBorder="1"/>
    <xf numFmtId="164" fontId="52" fillId="18" borderId="0" xfId="63" applyNumberFormat="1" applyFont="1" applyFill="1" applyBorder="1"/>
    <xf numFmtId="175" fontId="52" fillId="0" borderId="0" xfId="0" applyNumberFormat="1" applyFont="1"/>
    <xf numFmtId="175" fontId="52" fillId="19" borderId="17" xfId="0" applyNumberFormat="1" applyFont="1" applyFill="1" applyBorder="1"/>
    <xf numFmtId="175" fontId="52" fillId="18" borderId="0" xfId="0" applyNumberFormat="1" applyFont="1" applyFill="1"/>
    <xf numFmtId="175" fontId="90" fillId="18" borderId="0" xfId="0" applyNumberFormat="1" applyFont="1" applyFill="1"/>
    <xf numFmtId="175" fontId="52" fillId="19" borderId="18" xfId="0" applyNumberFormat="1" applyFont="1" applyFill="1" applyBorder="1"/>
    <xf numFmtId="175" fontId="52" fillId="0" borderId="13" xfId="0" applyNumberFormat="1" applyFont="1" applyBorder="1"/>
    <xf numFmtId="175" fontId="52" fillId="0" borderId="11" xfId="0" applyNumberFormat="1" applyFont="1" applyBorder="1"/>
    <xf numFmtId="175" fontId="52" fillId="0" borderId="20" xfId="0" applyNumberFormat="1" applyFont="1" applyBorder="1"/>
    <xf numFmtId="175" fontId="52" fillId="18" borderId="11" xfId="0" applyNumberFormat="1" applyFont="1" applyFill="1" applyBorder="1"/>
    <xf numFmtId="175" fontId="34" fillId="19" borderId="17" xfId="0" applyNumberFormat="1" applyFont="1" applyFill="1" applyBorder="1"/>
    <xf numFmtId="175" fontId="34" fillId="0" borderId="0" xfId="0" applyNumberFormat="1" applyFont="1"/>
    <xf numFmtId="175" fontId="34" fillId="18" borderId="0" xfId="0" applyNumberFormat="1" applyFont="1" applyFill="1"/>
    <xf numFmtId="166" fontId="52" fillId="0" borderId="0" xfId="0" applyNumberFormat="1" applyFont="1"/>
    <xf numFmtId="166" fontId="52" fillId="19" borderId="17" xfId="0" applyNumberFormat="1" applyFont="1" applyFill="1" applyBorder="1"/>
    <xf numFmtId="175" fontId="34" fillId="19" borderId="18" xfId="0" applyNumberFormat="1" applyFont="1" applyFill="1" applyBorder="1"/>
    <xf numFmtId="0" fontId="98" fillId="18" borderId="0" xfId="0" applyFont="1" applyFill="1" applyAlignment="1">
      <alignment horizontal="center"/>
    </xf>
    <xf numFmtId="169" fontId="52" fillId="19" borderId="21" xfId="0" applyNumberFormat="1" applyFont="1" applyFill="1" applyBorder="1" applyAlignment="1">
      <alignment horizontal="center"/>
    </xf>
    <xf numFmtId="175" fontId="52" fillId="0" borderId="0" xfId="0" applyNumberFormat="1" applyFont="1" applyFill="1" applyBorder="1"/>
    <xf numFmtId="175" fontId="52" fillId="18" borderId="0" xfId="0" applyNumberFormat="1" applyFont="1" applyFill="1" applyAlignment="1">
      <alignment horizontal="right"/>
    </xf>
    <xf numFmtId="175" fontId="34" fillId="19" borderId="21" xfId="0" applyNumberFormat="1" applyFont="1" applyFill="1" applyBorder="1" applyAlignment="1">
      <alignment horizontal="right"/>
    </xf>
    <xf numFmtId="175" fontId="34" fillId="0" borderId="0" xfId="0" applyNumberFormat="1" applyFont="1" applyBorder="1"/>
    <xf numFmtId="37" fontId="34" fillId="0" borderId="0" xfId="0" applyNumberFormat="1" applyFont="1" applyBorder="1"/>
    <xf numFmtId="37" fontId="34" fillId="19" borderId="21" xfId="0" applyNumberFormat="1" applyFont="1" applyFill="1" applyBorder="1" applyAlignment="1">
      <alignment horizontal="right"/>
    </xf>
    <xf numFmtId="37" fontId="34" fillId="18" borderId="0" xfId="0" applyNumberFormat="1" applyFont="1" applyFill="1" applyBorder="1" applyAlignment="1">
      <alignment horizontal="right"/>
    </xf>
    <xf numFmtId="175" fontId="34" fillId="18" borderId="0" xfId="0" applyNumberFormat="1" applyFont="1" applyFill="1" applyBorder="1" applyAlignment="1">
      <alignment horizontal="right"/>
    </xf>
    <xf numFmtId="37" fontId="52" fillId="18" borderId="0" xfId="0" applyNumberFormat="1" applyFont="1" applyFill="1" applyAlignment="1">
      <alignment horizontal="right"/>
    </xf>
    <xf numFmtId="37" fontId="52" fillId="19" borderId="17" xfId="0" applyNumberFormat="1" applyFont="1" applyFill="1" applyBorder="1"/>
    <xf numFmtId="37" fontId="52" fillId="0" borderId="0" xfId="0" applyNumberFormat="1" applyFont="1" applyFill="1" applyBorder="1"/>
    <xf numFmtId="37" fontId="52" fillId="18" borderId="0" xfId="0" applyNumberFormat="1" applyFont="1" applyFill="1" applyBorder="1" applyAlignment="1">
      <alignment horizontal="right"/>
    </xf>
    <xf numFmtId="37" fontId="52" fillId="0" borderId="0" xfId="0" applyNumberFormat="1" applyFont="1"/>
    <xf numFmtId="37" fontId="52" fillId="0" borderId="11" xfId="0" applyNumberFormat="1" applyFont="1" applyBorder="1"/>
    <xf numFmtId="37" fontId="52" fillId="19" borderId="18" xfId="0" applyNumberFormat="1" applyFont="1" applyFill="1" applyBorder="1"/>
    <xf numFmtId="37" fontId="52" fillId="18" borderId="11" xfId="0" applyNumberFormat="1" applyFont="1" applyFill="1" applyBorder="1" applyAlignment="1">
      <alignment horizontal="right"/>
    </xf>
    <xf numFmtId="0" fontId="52" fillId="18" borderId="0" xfId="0" applyFont="1" applyFill="1" applyAlignment="1">
      <alignment horizontal="right"/>
    </xf>
    <xf numFmtId="43" fontId="52" fillId="18" borderId="0" xfId="37" applyFont="1" applyFill="1" applyAlignment="1">
      <alignment horizontal="right"/>
    </xf>
    <xf numFmtId="37" fontId="52" fillId="18" borderId="0" xfId="0" applyNumberFormat="1" applyFont="1" applyFill="1"/>
    <xf numFmtId="37" fontId="34" fillId="0" borderId="0" xfId="0" applyNumberFormat="1" applyFont="1"/>
    <xf numFmtId="37" fontId="34" fillId="19" borderId="17" xfId="0" applyNumberFormat="1" applyFont="1" applyFill="1" applyBorder="1"/>
    <xf numFmtId="37" fontId="34" fillId="18" borderId="0" xfId="0" applyNumberFormat="1" applyFont="1" applyFill="1" applyAlignment="1">
      <alignment horizontal="right"/>
    </xf>
    <xf numFmtId="37" fontId="52" fillId="18" borderId="11" xfId="0" applyNumberFormat="1" applyFont="1" applyFill="1" applyBorder="1"/>
    <xf numFmtId="169" fontId="34" fillId="19" borderId="21" xfId="0" applyNumberFormat="1" applyFont="1" applyFill="1" applyBorder="1" applyAlignment="1">
      <alignment horizontal="center"/>
    </xf>
    <xf numFmtId="37" fontId="34" fillId="0" borderId="0" xfId="0" applyNumberFormat="1" applyFont="1" applyAlignment="1">
      <alignment horizontal="center"/>
    </xf>
    <xf numFmtId="37" fontId="34" fillId="19" borderId="21" xfId="0" applyNumberFormat="1" applyFont="1" applyFill="1" applyBorder="1" applyAlignment="1">
      <alignment horizontal="center"/>
    </xf>
    <xf numFmtId="37" fontId="34" fillId="18" borderId="0" xfId="0" applyNumberFormat="1" applyFont="1" applyFill="1" applyAlignment="1">
      <alignment horizontal="center"/>
    </xf>
    <xf numFmtId="37" fontId="34" fillId="18" borderId="0" xfId="0" applyNumberFormat="1" applyFont="1" applyFill="1"/>
    <xf numFmtId="37" fontId="34" fillId="19" borderId="18" xfId="0" applyNumberFormat="1" applyFont="1" applyFill="1" applyBorder="1"/>
    <xf numFmtId="9" fontId="40" fillId="18" borderId="0" xfId="58" applyNumberFormat="1" applyFont="1" applyFill="1" applyBorder="1" applyAlignment="1">
      <alignment horizontal="center"/>
    </xf>
    <xf numFmtId="164" fontId="52" fillId="19" borderId="17" xfId="0" applyNumberFormat="1" applyFont="1" applyFill="1" applyBorder="1"/>
    <xf numFmtId="209" fontId="52" fillId="0" borderId="0" xfId="0" applyNumberFormat="1" applyFont="1"/>
    <xf numFmtId="14" fontId="23" fillId="0" borderId="0" xfId="0" applyNumberFormat="1" applyFont="1"/>
    <xf numFmtId="8" fontId="23" fillId="0" borderId="0" xfId="0" applyNumberFormat="1" applyFont="1"/>
    <xf numFmtId="6" fontId="0" fillId="0" borderId="0" xfId="0" applyNumberFormat="1"/>
    <xf numFmtId="9" fontId="52" fillId="0" borderId="0" xfId="0" applyNumberFormat="1" applyFont="1"/>
    <xf numFmtId="0" fontId="99" fillId="17" borderId="0" xfId="68" applyFont="1" applyFill="1" applyAlignment="1"/>
    <xf numFmtId="165" fontId="46" fillId="19" borderId="17" xfId="63" applyNumberFormat="1" applyFont="1" applyFill="1" applyBorder="1" applyAlignment="1">
      <alignment horizontal="center"/>
    </xf>
    <xf numFmtId="3" fontId="46" fillId="19" borderId="17" xfId="63" applyNumberFormat="1" applyFont="1" applyFill="1" applyBorder="1" applyAlignment="1">
      <alignment horizontal="center"/>
    </xf>
    <xf numFmtId="3" fontId="46" fillId="18" borderId="0" xfId="0" applyNumberFormat="1" applyFont="1" applyFill="1" applyAlignment="1">
      <alignment horizontal="center"/>
    </xf>
    <xf numFmtId="3" fontId="40" fillId="18" borderId="0" xfId="58" applyNumberFormat="1" applyFont="1" applyFill="1" applyBorder="1" applyAlignment="1">
      <alignment horizontal="center"/>
    </xf>
    <xf numFmtId="3" fontId="27" fillId="19" borderId="17" xfId="63" applyNumberFormat="1" applyFont="1" applyFill="1" applyBorder="1" applyAlignment="1">
      <alignment horizontal="center"/>
    </xf>
    <xf numFmtId="3" fontId="101" fillId="18" borderId="0" xfId="63" applyNumberFormat="1" applyFont="1" applyFill="1" applyBorder="1" applyAlignment="1">
      <alignment horizontal="center"/>
    </xf>
    <xf numFmtId="3" fontId="101" fillId="19" borderId="17" xfId="63" applyNumberFormat="1" applyFont="1" applyFill="1" applyBorder="1" applyAlignment="1">
      <alignment horizontal="center"/>
    </xf>
    <xf numFmtId="3" fontId="15" fillId="18" borderId="0" xfId="58" applyNumberFormat="1" applyFont="1" applyFill="1" applyBorder="1" applyAlignment="1">
      <alignment horizontal="center"/>
    </xf>
    <xf numFmtId="44" fontId="52" fillId="0" borderId="0" xfId="38" applyFont="1"/>
    <xf numFmtId="4" fontId="90" fillId="0" borderId="0" xfId="0" applyNumberFormat="1" applyFont="1"/>
    <xf numFmtId="4" fontId="27" fillId="18" borderId="0" xfId="63" applyNumberFormat="1" applyFont="1" applyFill="1" applyBorder="1" applyAlignment="1">
      <alignment horizontal="center"/>
    </xf>
    <xf numFmtId="37" fontId="104" fillId="18" borderId="0" xfId="37" applyNumberFormat="1" applyFont="1" applyFill="1" applyBorder="1" applyAlignment="1">
      <alignment horizontal="center"/>
    </xf>
    <xf numFmtId="37" fontId="104" fillId="19" borderId="17" xfId="37" applyNumberFormat="1" applyFont="1" applyFill="1" applyBorder="1" applyAlignment="1">
      <alignment horizontal="center"/>
    </xf>
    <xf numFmtId="164" fontId="104" fillId="18" borderId="0" xfId="63" applyNumberFormat="1" applyFont="1" applyFill="1" applyBorder="1" applyAlignment="1">
      <alignment horizontal="center"/>
    </xf>
    <xf numFmtId="164" fontId="104" fillId="19" borderId="17" xfId="63" applyNumberFormat="1" applyFont="1" applyFill="1" applyBorder="1" applyAlignment="1">
      <alignment horizontal="center"/>
    </xf>
    <xf numFmtId="3" fontId="104" fillId="18" borderId="0" xfId="37" applyNumberFormat="1" applyFont="1" applyFill="1" applyBorder="1" applyAlignment="1">
      <alignment horizontal="center"/>
    </xf>
    <xf numFmtId="3" fontId="104" fillId="19" borderId="17" xfId="37" applyNumberFormat="1" applyFont="1" applyFill="1" applyBorder="1" applyAlignment="1">
      <alignment horizontal="center"/>
    </xf>
    <xf numFmtId="164" fontId="105" fillId="18" borderId="0" xfId="63" applyNumberFormat="1" applyFont="1" applyFill="1" applyBorder="1" applyAlignment="1">
      <alignment horizontal="center"/>
    </xf>
    <xf numFmtId="3" fontId="106" fillId="0" borderId="0" xfId="0" applyNumberFormat="1" applyFont="1" applyAlignment="1">
      <alignment horizontal="center"/>
    </xf>
    <xf numFmtId="3" fontId="106" fillId="19" borderId="17" xfId="0" applyNumberFormat="1" applyFont="1" applyFill="1" applyBorder="1" applyAlignment="1">
      <alignment horizontal="center"/>
    </xf>
    <xf numFmtId="3" fontId="106" fillId="18" borderId="0" xfId="63" applyNumberFormat="1" applyFont="1" applyFill="1" applyAlignment="1">
      <alignment horizontal="center"/>
    </xf>
    <xf numFmtId="3" fontId="106" fillId="19" borderId="17" xfId="63" applyNumberFormat="1" applyFont="1" applyFill="1" applyBorder="1" applyAlignment="1">
      <alignment horizontal="center"/>
    </xf>
    <xf numFmtId="5" fontId="0" fillId="0" borderId="0" xfId="0" applyNumberFormat="1"/>
    <xf numFmtId="9" fontId="103" fillId="18" borderId="0" xfId="0" applyNumberFormat="1" applyFont="1" applyFill="1"/>
    <xf numFmtId="37" fontId="103" fillId="0" borderId="0" xfId="0" applyNumberFormat="1" applyFont="1"/>
    <xf numFmtId="37" fontId="103" fillId="18" borderId="0" xfId="0" applyNumberFormat="1" applyFont="1" applyFill="1"/>
    <xf numFmtId="6" fontId="0" fillId="18" borderId="0" xfId="0" applyNumberFormat="1" applyFill="1"/>
    <xf numFmtId="164" fontId="4" fillId="18" borderId="0" xfId="63" applyNumberFormat="1" applyFont="1" applyFill="1" applyBorder="1" applyAlignment="1">
      <alignment horizontal="center"/>
    </xf>
    <xf numFmtId="164" fontId="52" fillId="0" borderId="0" xfId="0" applyNumberFormat="1" applyFont="1"/>
    <xf numFmtId="8" fontId="42" fillId="0" borderId="0" xfId="63" applyNumberFormat="1" applyFont="1" applyAlignment="1">
      <alignment horizontal="center"/>
    </xf>
    <xf numFmtId="0" fontId="15" fillId="20" borderId="21" xfId="58" applyFont="1" applyFill="1" applyBorder="1" applyAlignment="1">
      <alignment horizontal="center"/>
    </xf>
    <xf numFmtId="0" fontId="15" fillId="20" borderId="17" xfId="58" applyFont="1" applyFill="1" applyBorder="1" applyAlignment="1">
      <alignment horizontal="center"/>
    </xf>
    <xf numFmtId="164" fontId="15" fillId="20" borderId="17" xfId="58" applyNumberFormat="1" applyFont="1" applyFill="1" applyBorder="1" applyAlignment="1">
      <alignment horizontal="center"/>
    </xf>
    <xf numFmtId="0" fontId="15" fillId="20" borderId="16" xfId="58" applyFont="1" applyFill="1" applyBorder="1" applyAlignment="1">
      <alignment horizontal="center"/>
    </xf>
    <xf numFmtId="164" fontId="15" fillId="20" borderId="21" xfId="63" applyNumberFormat="1" applyFont="1" applyFill="1" applyBorder="1" applyAlignment="1">
      <alignment horizontal="center"/>
    </xf>
    <xf numFmtId="164" fontId="15" fillId="20" borderId="17" xfId="63" applyNumberFormat="1" applyFont="1" applyFill="1" applyBorder="1" applyAlignment="1">
      <alignment horizontal="center"/>
    </xf>
    <xf numFmtId="0" fontId="40" fillId="20" borderId="17" xfId="58" applyFont="1" applyFill="1" applyBorder="1" applyAlignment="1">
      <alignment horizontal="center"/>
    </xf>
    <xf numFmtId="0" fontId="27" fillId="20" borderId="17" xfId="0" applyFont="1" applyFill="1" applyBorder="1"/>
    <xf numFmtId="164" fontId="27" fillId="20" borderId="17" xfId="63" applyNumberFormat="1" applyFont="1" applyFill="1" applyBorder="1" applyAlignment="1">
      <alignment horizontal="center"/>
    </xf>
    <xf numFmtId="164" fontId="27" fillId="20" borderId="18" xfId="63" applyNumberFormat="1" applyFont="1" applyFill="1" applyBorder="1" applyAlignment="1">
      <alignment horizontal="center"/>
    </xf>
    <xf numFmtId="0" fontId="15" fillId="20" borderId="17" xfId="0" applyFont="1" applyFill="1" applyBorder="1"/>
    <xf numFmtId="0" fontId="0" fillId="20" borderId="17" xfId="0" applyFill="1" applyBorder="1"/>
    <xf numFmtId="9" fontId="15" fillId="20" borderId="17" xfId="0" applyNumberFormat="1" applyFont="1" applyFill="1" applyBorder="1"/>
    <xf numFmtId="37" fontId="15" fillId="20" borderId="17" xfId="0" applyNumberFormat="1" applyFont="1" applyFill="1" applyBorder="1"/>
    <xf numFmtId="164" fontId="15" fillId="20" borderId="17" xfId="0" applyNumberFormat="1" applyFont="1" applyFill="1" applyBorder="1"/>
    <xf numFmtId="9" fontId="0" fillId="20" borderId="17" xfId="0" applyNumberFormat="1" applyFill="1" applyBorder="1"/>
    <xf numFmtId="37" fontId="0" fillId="20" borderId="17" xfId="0" applyNumberFormat="1" applyFill="1" applyBorder="1"/>
    <xf numFmtId="6" fontId="0" fillId="20" borderId="17" xfId="0" applyNumberFormat="1" applyFill="1" applyBorder="1"/>
    <xf numFmtId="0" fontId="27" fillId="18" borderId="0" xfId="0" applyFont="1" applyFill="1" applyAlignment="1">
      <alignment horizontal="left"/>
    </xf>
    <xf numFmtId="0" fontId="27" fillId="0" borderId="0" xfId="0" applyFont="1" applyAlignment="1">
      <alignment horizontal="left"/>
    </xf>
    <xf numFmtId="0" fontId="0" fillId="0" borderId="0" xfId="0" applyAlignment="1">
      <alignment horizontal="left"/>
    </xf>
    <xf numFmtId="0" fontId="15" fillId="0" borderId="0" xfId="0" applyFont="1" applyAlignment="1">
      <alignment horizontal="left"/>
    </xf>
    <xf numFmtId="178" fontId="42" fillId="0" borderId="0" xfId="37" applyNumberFormat="1" applyFont="1" applyAlignment="1">
      <alignment horizontal="right"/>
    </xf>
    <xf numFmtId="3" fontId="107" fillId="18" borderId="11" xfId="0" applyNumberFormat="1" applyFont="1" applyFill="1" applyBorder="1" applyAlignment="1"/>
    <xf numFmtId="164" fontId="104" fillId="23" borderId="0" xfId="63" applyNumberFormat="1" applyFont="1" applyFill="1" applyBorder="1" applyAlignment="1">
      <alignment horizontal="center"/>
    </xf>
    <xf numFmtId="3" fontId="104" fillId="23" borderId="0" xfId="63" applyNumberFormat="1" applyFont="1" applyFill="1" applyBorder="1" applyAlignment="1">
      <alignment horizontal="center"/>
    </xf>
    <xf numFmtId="8" fontId="23" fillId="0" borderId="0" xfId="63" applyNumberFormat="1" applyFont="1" applyAlignment="1">
      <alignment horizontal="center"/>
    </xf>
    <xf numFmtId="164" fontId="106" fillId="18" borderId="0" xfId="63" applyNumberFormat="1" applyFont="1" applyFill="1" applyAlignment="1">
      <alignment horizontal="center"/>
    </xf>
    <xf numFmtId="164" fontId="106" fillId="19" borderId="17" xfId="63" applyNumberFormat="1" applyFont="1" applyFill="1" applyBorder="1" applyAlignment="1">
      <alignment horizontal="center"/>
    </xf>
    <xf numFmtId="3" fontId="52" fillId="18" borderId="0" xfId="0" applyNumberFormat="1" applyFont="1" applyFill="1" applyBorder="1" applyAlignment="1">
      <alignment horizontal="right"/>
    </xf>
    <xf numFmtId="3" fontId="52" fillId="19" borderId="17" xfId="0" applyNumberFormat="1" applyFont="1" applyFill="1" applyBorder="1"/>
    <xf numFmtId="3" fontId="90" fillId="18" borderId="0" xfId="0" applyNumberFormat="1" applyFont="1" applyFill="1" applyAlignment="1">
      <alignment horizontal="right"/>
    </xf>
    <xf numFmtId="3" fontId="52" fillId="18" borderId="0" xfId="0" applyNumberFormat="1" applyFont="1" applyFill="1" applyAlignment="1">
      <alignment horizontal="right"/>
    </xf>
    <xf numFmtId="3" fontId="52" fillId="18" borderId="11" xfId="0" applyNumberFormat="1" applyFont="1" applyFill="1" applyBorder="1" applyAlignment="1">
      <alignment horizontal="right"/>
    </xf>
    <xf numFmtId="3" fontId="52" fillId="19" borderId="18" xfId="0" applyNumberFormat="1" applyFont="1" applyFill="1" applyBorder="1"/>
    <xf numFmtId="3" fontId="34" fillId="18" borderId="0" xfId="0" applyNumberFormat="1" applyFont="1" applyFill="1" applyBorder="1" applyAlignment="1">
      <alignment horizontal="right"/>
    </xf>
    <xf numFmtId="3" fontId="34" fillId="19" borderId="21" xfId="0" applyNumberFormat="1" applyFont="1" applyFill="1" applyBorder="1" applyAlignment="1">
      <alignment horizontal="right"/>
    </xf>
    <xf numFmtId="3" fontId="90" fillId="18" borderId="11" xfId="0" applyNumberFormat="1" applyFont="1" applyFill="1" applyBorder="1" applyAlignment="1">
      <alignment horizontal="right"/>
    </xf>
    <xf numFmtId="3" fontId="34" fillId="18" borderId="0" xfId="0" applyNumberFormat="1" applyFont="1" applyFill="1" applyAlignment="1">
      <alignment horizontal="right"/>
    </xf>
    <xf numFmtId="3" fontId="34" fillId="19" borderId="17" xfId="0" applyNumberFormat="1" applyFont="1" applyFill="1" applyBorder="1"/>
    <xf numFmtId="3" fontId="52" fillId="18" borderId="0" xfId="0" applyNumberFormat="1" applyFont="1" applyFill="1"/>
    <xf numFmtId="3" fontId="52" fillId="18" borderId="11" xfId="0" applyNumberFormat="1" applyFont="1" applyFill="1" applyBorder="1"/>
    <xf numFmtId="3" fontId="34" fillId="18" borderId="0" xfId="0" applyNumberFormat="1" applyFont="1" applyFill="1" applyAlignment="1">
      <alignment horizontal="center"/>
    </xf>
    <xf numFmtId="3" fontId="34" fillId="19" borderId="21" xfId="0" applyNumberFormat="1" applyFont="1" applyFill="1" applyBorder="1" applyAlignment="1">
      <alignment horizontal="center"/>
    </xf>
    <xf numFmtId="3" fontId="90" fillId="18" borderId="0" xfId="0" applyNumberFormat="1" applyFont="1" applyFill="1"/>
    <xf numFmtId="3" fontId="90" fillId="18" borderId="11" xfId="0" applyNumberFormat="1" applyFont="1" applyFill="1" applyBorder="1"/>
    <xf numFmtId="3" fontId="34" fillId="18" borderId="0" xfId="0" applyNumberFormat="1" applyFont="1" applyFill="1"/>
    <xf numFmtId="3" fontId="34" fillId="0" borderId="0" xfId="0" applyNumberFormat="1" applyFont="1"/>
    <xf numFmtId="3" fontId="34" fillId="19" borderId="18" xfId="0" applyNumberFormat="1" applyFont="1" applyFill="1" applyBorder="1"/>
    <xf numFmtId="168" fontId="52" fillId="19" borderId="21" xfId="0" applyNumberFormat="1" applyFont="1" applyFill="1" applyBorder="1" applyAlignment="1">
      <alignment horizontal="center"/>
    </xf>
    <xf numFmtId="167" fontId="90" fillId="18" borderId="0" xfId="0" applyNumberFormat="1" applyFont="1" applyFill="1" applyAlignment="1">
      <alignment horizontal="center"/>
    </xf>
    <xf numFmtId="164" fontId="93" fillId="18" borderId="0" xfId="37" applyNumberFormat="1" applyFont="1" applyFill="1" applyBorder="1"/>
    <xf numFmtId="0" fontId="1" fillId="18" borderId="12" xfId="58" applyFont="1" applyFill="1" applyBorder="1" applyAlignment="1"/>
    <xf numFmtId="43" fontId="52" fillId="18" borderId="0" xfId="0" applyNumberFormat="1" applyFont="1" applyFill="1" applyBorder="1"/>
    <xf numFmtId="164" fontId="102" fillId="18" borderId="0" xfId="63" applyNumberFormat="1" applyFont="1" applyFill="1" applyBorder="1" applyAlignment="1">
      <alignment horizontal="center"/>
    </xf>
    <xf numFmtId="43" fontId="93" fillId="18" borderId="0" xfId="37" applyNumberFormat="1" applyFont="1" applyFill="1" applyBorder="1"/>
    <xf numFmtId="164" fontId="93" fillId="18" borderId="0" xfId="63" applyNumberFormat="1" applyFont="1" applyFill="1" applyBorder="1"/>
    <xf numFmtId="166" fontId="108" fillId="0" borderId="0" xfId="0" applyNumberFormat="1" applyFont="1" applyAlignment="1">
      <alignment horizontal="center"/>
    </xf>
    <xf numFmtId="167" fontId="108" fillId="0" borderId="0" xfId="0" applyNumberFormat="1" applyFont="1" applyAlignment="1">
      <alignment horizontal="center"/>
    </xf>
    <xf numFmtId="168" fontId="109" fillId="0" borderId="0" xfId="0" applyNumberFormat="1" applyFont="1" applyFill="1" applyAlignment="1">
      <alignment horizontal="center"/>
    </xf>
    <xf numFmtId="168" fontId="108" fillId="18" borderId="0" xfId="0" applyNumberFormat="1" applyFont="1" applyFill="1" applyAlignment="1">
      <alignment horizontal="center"/>
    </xf>
    <xf numFmtId="2" fontId="52" fillId="18" borderId="0" xfId="0" applyNumberFormat="1" applyFont="1" applyFill="1" applyBorder="1"/>
    <xf numFmtId="2" fontId="52" fillId="18" borderId="11" xfId="0" applyNumberFormat="1" applyFont="1" applyFill="1" applyBorder="1"/>
    <xf numFmtId="0" fontId="0" fillId="17" borderId="0" xfId="0" applyFill="1"/>
    <xf numFmtId="0" fontId="110" fillId="17" borderId="0" xfId="50" applyFont="1" applyFill="1" applyAlignment="1" applyProtection="1"/>
    <xf numFmtId="37" fontId="23" fillId="0" borderId="0" xfId="0" applyNumberFormat="1" applyFont="1"/>
    <xf numFmtId="165" fontId="23" fillId="0" borderId="0" xfId="0" applyNumberFormat="1" applyFont="1"/>
    <xf numFmtId="174" fontId="46" fillId="18" borderId="0" xfId="0" applyNumberFormat="1" applyFont="1" applyFill="1" applyBorder="1" applyAlignment="1">
      <alignment horizontal="left"/>
    </xf>
    <xf numFmtId="164" fontId="46" fillId="18" borderId="11" xfId="0" applyNumberFormat="1" applyFont="1" applyFill="1" applyBorder="1" applyAlignment="1">
      <alignment horizontal="center"/>
    </xf>
    <xf numFmtId="164" fontId="46" fillId="19" borderId="18" xfId="0" applyNumberFormat="1" applyFont="1" applyFill="1" applyBorder="1" applyAlignment="1">
      <alignment horizontal="center"/>
    </xf>
    <xf numFmtId="164" fontId="46" fillId="19" borderId="18" xfId="63" applyNumberFormat="1" applyFont="1" applyFill="1" applyBorder="1" applyAlignment="1">
      <alignment horizontal="center"/>
    </xf>
    <xf numFmtId="37" fontId="111" fillId="19" borderId="17" xfId="58" applyNumberFormat="1" applyFont="1" applyFill="1" applyBorder="1" applyAlignment="1">
      <alignment horizontal="center"/>
    </xf>
    <xf numFmtId="37" fontId="111" fillId="18" borderId="0" xfId="58" applyNumberFormat="1" applyFont="1" applyFill="1" applyBorder="1" applyAlignment="1">
      <alignment horizontal="center"/>
    </xf>
    <xf numFmtId="0" fontId="15" fillId="24" borderId="0" xfId="58" applyFont="1" applyFill="1" applyBorder="1" applyAlignment="1"/>
    <xf numFmtId="37" fontId="15" fillId="24" borderId="0" xfId="37" applyNumberFormat="1" applyFont="1" applyFill="1" applyBorder="1" applyAlignment="1">
      <alignment horizontal="center"/>
    </xf>
    <xf numFmtId="37" fontId="15" fillId="24" borderId="17" xfId="37" applyNumberFormat="1" applyFont="1" applyFill="1" applyBorder="1" applyAlignment="1">
      <alignment horizontal="center"/>
    </xf>
    <xf numFmtId="0" fontId="27" fillId="24" borderId="0" xfId="58" applyFont="1" applyFill="1" applyBorder="1" applyAlignment="1"/>
    <xf numFmtId="37" fontId="15" fillId="24" borderId="0" xfId="58" applyNumberFormat="1" applyFont="1" applyFill="1" applyBorder="1" applyAlignment="1">
      <alignment horizontal="center"/>
    </xf>
    <xf numFmtId="37" fontId="15" fillId="24" borderId="17" xfId="58" applyNumberFormat="1" applyFont="1" applyFill="1" applyBorder="1" applyAlignment="1">
      <alignment horizontal="center"/>
    </xf>
    <xf numFmtId="37" fontId="44" fillId="24" borderId="0" xfId="37" applyNumberFormat="1" applyFont="1" applyFill="1" applyBorder="1" applyAlignment="1">
      <alignment horizontal="center"/>
    </xf>
    <xf numFmtId="37" fontId="44" fillId="24" borderId="17" xfId="37" applyNumberFormat="1" applyFont="1" applyFill="1" applyBorder="1" applyAlignment="1">
      <alignment horizontal="center"/>
    </xf>
    <xf numFmtId="37" fontId="40" fillId="24" borderId="0" xfId="37" applyNumberFormat="1" applyFont="1" applyFill="1" applyBorder="1" applyAlignment="1">
      <alignment horizontal="center"/>
    </xf>
    <xf numFmtId="37" fontId="40" fillId="24" borderId="17" xfId="37" applyNumberFormat="1" applyFont="1" applyFill="1" applyBorder="1" applyAlignment="1">
      <alignment horizontal="center"/>
    </xf>
    <xf numFmtId="164" fontId="27" fillId="24" borderId="0" xfId="63" applyNumberFormat="1" applyFont="1" applyFill="1" applyBorder="1" applyAlignment="1">
      <alignment horizontal="center"/>
    </xf>
    <xf numFmtId="164" fontId="27" fillId="24" borderId="17" xfId="63" applyNumberFormat="1" applyFont="1" applyFill="1" applyBorder="1" applyAlignment="1">
      <alignment horizontal="center"/>
    </xf>
    <xf numFmtId="164" fontId="31" fillId="24" borderId="0" xfId="63" applyNumberFormat="1" applyFont="1" applyFill="1" applyBorder="1" applyAlignment="1">
      <alignment horizontal="center"/>
    </xf>
    <xf numFmtId="0" fontId="27" fillId="24" borderId="0" xfId="0" applyFont="1" applyFill="1"/>
    <xf numFmtId="164" fontId="31" fillId="24" borderId="17" xfId="63" applyNumberFormat="1" applyFont="1" applyFill="1" applyBorder="1" applyAlignment="1">
      <alignment horizontal="center"/>
    </xf>
    <xf numFmtId="164" fontId="102" fillId="24" borderId="0" xfId="63" applyNumberFormat="1" applyFont="1" applyFill="1" applyBorder="1" applyAlignment="1">
      <alignment horizontal="center"/>
    </xf>
    <xf numFmtId="164" fontId="72" fillId="24" borderId="0" xfId="63" applyNumberFormat="1" applyFont="1" applyFill="1" applyBorder="1" applyAlignment="1">
      <alignment horizontal="center"/>
    </xf>
    <xf numFmtId="164" fontId="72" fillId="24" borderId="17" xfId="63" applyNumberFormat="1" applyFont="1" applyFill="1" applyBorder="1" applyAlignment="1">
      <alignment horizontal="center"/>
    </xf>
    <xf numFmtId="164" fontId="4" fillId="24" borderId="0" xfId="63" applyNumberFormat="1" applyFont="1" applyFill="1" applyBorder="1" applyAlignment="1">
      <alignment horizontal="center"/>
    </xf>
    <xf numFmtId="164" fontId="4" fillId="24" borderId="17" xfId="63" applyNumberFormat="1" applyFont="1" applyFill="1" applyBorder="1" applyAlignment="1">
      <alignment horizontal="center"/>
    </xf>
    <xf numFmtId="164" fontId="105" fillId="24" borderId="0" xfId="63" applyNumberFormat="1" applyFont="1" applyFill="1" applyBorder="1" applyAlignment="1">
      <alignment horizontal="center"/>
    </xf>
    <xf numFmtId="0" fontId="27" fillId="24" borderId="0" xfId="0" applyFont="1" applyFill="1" applyBorder="1"/>
    <xf numFmtId="0" fontId="27" fillId="24" borderId="11" xfId="0" applyFont="1" applyFill="1" applyBorder="1"/>
    <xf numFmtId="37" fontId="15" fillId="24" borderId="11" xfId="58" applyNumberFormat="1" applyFont="1" applyFill="1" applyBorder="1" applyAlignment="1">
      <alignment horizontal="center"/>
    </xf>
    <xf numFmtId="37" fontId="15" fillId="24" borderId="18" xfId="58" applyNumberFormat="1" applyFont="1" applyFill="1" applyBorder="1" applyAlignment="1">
      <alignment horizontal="center"/>
    </xf>
    <xf numFmtId="164" fontId="27" fillId="24" borderId="11" xfId="63" applyNumberFormat="1" applyFont="1" applyFill="1" applyBorder="1" applyAlignment="1">
      <alignment horizontal="center"/>
    </xf>
    <xf numFmtId="164" fontId="27" fillId="24" borderId="18" xfId="63" applyNumberFormat="1" applyFont="1" applyFill="1" applyBorder="1" applyAlignment="1">
      <alignment horizontal="center"/>
    </xf>
    <xf numFmtId="164" fontId="72" fillId="24" borderId="11" xfId="63" applyNumberFormat="1" applyFont="1" applyFill="1" applyBorder="1" applyAlignment="1">
      <alignment horizontal="center"/>
    </xf>
    <xf numFmtId="164" fontId="72" fillId="24" borderId="18" xfId="63" applyNumberFormat="1" applyFont="1" applyFill="1" applyBorder="1" applyAlignment="1">
      <alignment horizontal="center"/>
    </xf>
    <xf numFmtId="0" fontId="15" fillId="24" borderId="0" xfId="0" applyFont="1" applyFill="1" applyBorder="1"/>
    <xf numFmtId="37" fontId="27" fillId="24" borderId="0" xfId="58" applyNumberFormat="1" applyFont="1" applyFill="1" applyBorder="1" applyAlignment="1">
      <alignment horizontal="center"/>
    </xf>
    <xf numFmtId="9" fontId="27" fillId="24" borderId="17" xfId="63" applyFont="1" applyFill="1" applyBorder="1" applyAlignment="1">
      <alignment horizontal="center"/>
    </xf>
    <xf numFmtId="9" fontId="27" fillId="24" borderId="0" xfId="63" applyFont="1" applyFill="1" applyBorder="1" applyAlignment="1">
      <alignment horizontal="center"/>
    </xf>
    <xf numFmtId="4" fontId="27" fillId="24" borderId="0" xfId="63" applyNumberFormat="1" applyFont="1" applyFill="1" applyBorder="1" applyAlignment="1">
      <alignment horizontal="center"/>
    </xf>
    <xf numFmtId="4" fontId="27" fillId="24" borderId="17" xfId="63" applyNumberFormat="1" applyFont="1" applyFill="1" applyBorder="1" applyAlignment="1">
      <alignment horizontal="center"/>
    </xf>
    <xf numFmtId="37" fontId="27" fillId="24" borderId="11" xfId="58" applyNumberFormat="1" applyFont="1" applyFill="1" applyBorder="1" applyAlignment="1">
      <alignment horizontal="center"/>
    </xf>
    <xf numFmtId="9" fontId="27" fillId="24" borderId="18" xfId="63" applyFont="1" applyFill="1" applyBorder="1" applyAlignment="1">
      <alignment horizontal="center"/>
    </xf>
    <xf numFmtId="164" fontId="46" fillId="24" borderId="0" xfId="63" applyNumberFormat="1" applyFont="1" applyFill="1" applyBorder="1" applyAlignment="1">
      <alignment horizontal="center"/>
    </xf>
    <xf numFmtId="164" fontId="46" fillId="24" borderId="17" xfId="63" applyNumberFormat="1" applyFont="1" applyFill="1" applyBorder="1" applyAlignment="1">
      <alignment horizontal="center"/>
    </xf>
    <xf numFmtId="164" fontId="46" fillId="24" borderId="0" xfId="0" applyNumberFormat="1" applyFont="1" applyFill="1" applyAlignment="1">
      <alignment horizontal="center"/>
    </xf>
    <xf numFmtId="3" fontId="101" fillId="24" borderId="0" xfId="63" applyNumberFormat="1" applyFont="1" applyFill="1" applyBorder="1" applyAlignment="1">
      <alignment horizontal="center"/>
    </xf>
    <xf numFmtId="3" fontId="101" fillId="24" borderId="17" xfId="63" applyNumberFormat="1" applyFont="1" applyFill="1" applyBorder="1" applyAlignment="1">
      <alignment horizontal="center"/>
    </xf>
    <xf numFmtId="0" fontId="15" fillId="24" borderId="12" xfId="58" applyFont="1" applyFill="1" applyBorder="1" applyAlignment="1"/>
    <xf numFmtId="164" fontId="27" fillId="24" borderId="20" xfId="63" applyNumberFormat="1" applyFont="1" applyFill="1" applyBorder="1" applyAlignment="1">
      <alignment horizontal="center"/>
    </xf>
    <xf numFmtId="178" fontId="44" fillId="19" borderId="17" xfId="37" applyNumberFormat="1" applyFont="1" applyFill="1" applyBorder="1" applyAlignment="1">
      <alignment horizontal="center"/>
    </xf>
    <xf numFmtId="178" fontId="40" fillId="18" borderId="0" xfId="37" applyNumberFormat="1" applyFont="1" applyFill="1" applyBorder="1" applyAlignment="1">
      <alignment horizontal="center"/>
    </xf>
    <xf numFmtId="9" fontId="1" fillId="19" borderId="17" xfId="63" applyFont="1" applyFill="1" applyBorder="1" applyAlignment="1">
      <alignment horizontal="center"/>
    </xf>
    <xf numFmtId="9" fontId="1" fillId="18" borderId="0" xfId="63" applyFont="1" applyFill="1" applyBorder="1" applyAlignment="1">
      <alignment horizontal="center"/>
    </xf>
    <xf numFmtId="164" fontId="1" fillId="18" borderId="0" xfId="63" applyNumberFormat="1" applyFont="1" applyFill="1" applyBorder="1" applyAlignment="1">
      <alignment horizontal="center"/>
    </xf>
    <xf numFmtId="37" fontId="15" fillId="0" borderId="0" xfId="37" applyNumberFormat="1" applyFont="1" applyFill="1" applyBorder="1" applyAlignment="1">
      <alignment horizontal="center"/>
    </xf>
    <xf numFmtId="37" fontId="40" fillId="0" borderId="0" xfId="37" applyNumberFormat="1" applyFont="1" applyFill="1" applyBorder="1" applyAlignment="1">
      <alignment horizontal="center"/>
    </xf>
    <xf numFmtId="164" fontId="31" fillId="0" borderId="0" xfId="63" applyNumberFormat="1" applyFont="1" applyFill="1" applyBorder="1" applyAlignment="1">
      <alignment horizontal="center"/>
    </xf>
    <xf numFmtId="164" fontId="1" fillId="19" borderId="18" xfId="63" applyNumberFormat="1" applyFont="1" applyFill="1" applyBorder="1" applyAlignment="1">
      <alignment horizontal="center"/>
    </xf>
    <xf numFmtId="178" fontId="46" fillId="18" borderId="0" xfId="37" applyNumberFormat="1" applyFont="1" applyFill="1" applyAlignment="1">
      <alignment horizontal="center"/>
    </xf>
    <xf numFmtId="3" fontId="108" fillId="18" borderId="0" xfId="0" applyNumberFormat="1" applyFont="1" applyFill="1" applyAlignment="1">
      <alignment horizontal="right"/>
    </xf>
    <xf numFmtId="3" fontId="108" fillId="18" borderId="11" xfId="0" applyNumberFormat="1" applyFont="1" applyFill="1" applyBorder="1" applyAlignment="1">
      <alignment horizontal="right"/>
    </xf>
    <xf numFmtId="3" fontId="112" fillId="18" borderId="0" xfId="0" applyNumberFormat="1" applyFont="1" applyFill="1" applyBorder="1" applyAlignment="1">
      <alignment horizontal="right"/>
    </xf>
    <xf numFmtId="3" fontId="108" fillId="18" borderId="0" xfId="0" applyNumberFormat="1" applyFont="1" applyFill="1" applyBorder="1" applyAlignment="1">
      <alignment horizontal="right"/>
    </xf>
    <xf numFmtId="3" fontId="112" fillId="18" borderId="0" xfId="0" applyNumberFormat="1" applyFont="1" applyFill="1" applyAlignment="1">
      <alignment horizontal="right"/>
    </xf>
    <xf numFmtId="3" fontId="108" fillId="18" borderId="0" xfId="0" applyNumberFormat="1" applyFont="1" applyFill="1"/>
    <xf numFmtId="3" fontId="108" fillId="18" borderId="11" xfId="0" applyNumberFormat="1" applyFont="1" applyFill="1" applyBorder="1"/>
    <xf numFmtId="3" fontId="112" fillId="18" borderId="0" xfId="0" applyNumberFormat="1" applyFont="1" applyFill="1"/>
    <xf numFmtId="0" fontId="109" fillId="18" borderId="0" xfId="0" applyFont="1" applyFill="1"/>
    <xf numFmtId="166" fontId="113" fillId="18" borderId="0" xfId="0" applyNumberFormat="1" applyFont="1" applyFill="1" applyAlignment="1">
      <alignment horizontal="center"/>
    </xf>
    <xf numFmtId="175" fontId="108" fillId="18" borderId="0" xfId="0" applyNumberFormat="1" applyFont="1" applyFill="1"/>
    <xf numFmtId="175" fontId="108" fillId="18" borderId="11" xfId="0" applyNumberFormat="1" applyFont="1" applyFill="1" applyBorder="1"/>
    <xf numFmtId="175" fontId="112" fillId="18" borderId="0" xfId="0" applyNumberFormat="1" applyFont="1" applyFill="1"/>
    <xf numFmtId="166" fontId="108" fillId="18" borderId="0" xfId="0" applyNumberFormat="1" applyFont="1" applyFill="1" applyAlignment="1">
      <alignment horizontal="center"/>
    </xf>
    <xf numFmtId="0" fontId="108" fillId="18" borderId="0" xfId="0" applyFont="1" applyFill="1"/>
    <xf numFmtId="175" fontId="112" fillId="0" borderId="0" xfId="0" applyNumberFormat="1" applyFont="1"/>
    <xf numFmtId="169" fontId="112" fillId="0" borderId="0" xfId="0" applyNumberFormat="1" applyFont="1" applyAlignment="1">
      <alignment horizontal="center"/>
    </xf>
    <xf numFmtId="175" fontId="108" fillId="0" borderId="0" xfId="0" applyNumberFormat="1" applyFont="1"/>
    <xf numFmtId="43" fontId="23" fillId="18" borderId="0" xfId="0" applyNumberFormat="1" applyFont="1" applyFill="1" applyBorder="1"/>
    <xf numFmtId="0" fontId="0" fillId="0" borderId="0" xfId="0"/>
    <xf numFmtId="2" fontId="23" fillId="18" borderId="11" xfId="0" applyNumberFormat="1" applyFont="1" applyFill="1" applyBorder="1"/>
    <xf numFmtId="2" fontId="23" fillId="18" borderId="0" xfId="0" applyNumberFormat="1" applyFont="1" applyFill="1" applyBorder="1"/>
    <xf numFmtId="3" fontId="103" fillId="18" borderId="0" xfId="37" applyNumberFormat="1" applyFont="1" applyFill="1" applyBorder="1" applyAlignment="1">
      <alignment horizontal="center"/>
    </xf>
    <xf numFmtId="3" fontId="114" fillId="18" borderId="0" xfId="37" applyNumberFormat="1" applyFont="1" applyFill="1" applyBorder="1" applyAlignment="1">
      <alignment horizontal="center"/>
    </xf>
    <xf numFmtId="44" fontId="23" fillId="0" borderId="0" xfId="38" applyFont="1" applyAlignment="1">
      <alignment horizontal="center"/>
    </xf>
    <xf numFmtId="0" fontId="1" fillId="0" borderId="0" xfId="0" applyFont="1"/>
    <xf numFmtId="0" fontId="40" fillId="0" borderId="0" xfId="0" applyFont="1" applyAlignment="1">
      <alignment horizontal="right"/>
    </xf>
    <xf numFmtId="9" fontId="52" fillId="19" borderId="17" xfId="63" applyNumberFormat="1" applyFont="1" applyFill="1" applyBorder="1" applyAlignment="1">
      <alignment horizontal="center"/>
    </xf>
    <xf numFmtId="9" fontId="52" fillId="18" borderId="0" xfId="63" applyNumberFormat="1" applyFont="1" applyFill="1" applyAlignment="1">
      <alignment horizontal="center"/>
    </xf>
    <xf numFmtId="37" fontId="27" fillId="22" borderId="0" xfId="37" applyNumberFormat="1" applyFont="1" applyFill="1" applyBorder="1" applyAlignment="1">
      <alignment horizontal="center"/>
    </xf>
    <xf numFmtId="37" fontId="104" fillId="22" borderId="0" xfId="37" applyNumberFormat="1" applyFont="1" applyFill="1" applyBorder="1" applyAlignment="1">
      <alignment horizontal="center"/>
    </xf>
    <xf numFmtId="167" fontId="115" fillId="18" borderId="11" xfId="0" applyNumberFormat="1" applyFont="1" applyFill="1" applyBorder="1"/>
    <xf numFmtId="165" fontId="52" fillId="19" borderId="17" xfId="0" applyNumberFormat="1" applyFont="1" applyFill="1" applyBorder="1"/>
    <xf numFmtId="9" fontId="52" fillId="0" borderId="0" xfId="63" applyNumberFormat="1" applyFont="1" applyAlignment="1">
      <alignment horizontal="center"/>
    </xf>
    <xf numFmtId="164" fontId="101" fillId="0" borderId="0" xfId="63" applyNumberFormat="1" applyFont="1"/>
    <xf numFmtId="164" fontId="52" fillId="21" borderId="0" xfId="63" applyNumberFormat="1" applyFont="1" applyFill="1" applyAlignment="1">
      <alignment horizontal="center"/>
    </xf>
    <xf numFmtId="169" fontId="52" fillId="21" borderId="0" xfId="0" applyNumberFormat="1" applyFont="1" applyFill="1" applyAlignment="1">
      <alignment horizontal="center"/>
    </xf>
    <xf numFmtId="44" fontId="93" fillId="18" borderId="0" xfId="38" applyFont="1" applyFill="1" applyBorder="1"/>
    <xf numFmtId="0" fontId="1" fillId="0" borderId="0" xfId="74"/>
    <xf numFmtId="164" fontId="1" fillId="21" borderId="0" xfId="63" applyNumberFormat="1" applyFont="1" applyFill="1" applyBorder="1" applyAlignment="1">
      <alignment horizontal="center"/>
    </xf>
    <xf numFmtId="44" fontId="52" fillId="0" borderId="0" xfId="0" applyNumberFormat="1" applyFont="1"/>
    <xf numFmtId="164" fontId="115" fillId="0" borderId="0" xfId="63" applyNumberFormat="1" applyFont="1"/>
    <xf numFmtId="6" fontId="107" fillId="0" borderId="0" xfId="63" applyNumberFormat="1" applyFont="1" applyAlignment="1">
      <alignment horizontal="center"/>
    </xf>
    <xf numFmtId="44" fontId="23" fillId="0" borderId="0" xfId="38" applyFont="1"/>
    <xf numFmtId="169" fontId="34" fillId="21" borderId="0" xfId="0" applyNumberFormat="1" applyFont="1" applyFill="1" applyAlignment="1">
      <alignment horizontal="center"/>
    </xf>
    <xf numFmtId="1" fontId="52" fillId="21" borderId="0" xfId="0" applyNumberFormat="1" applyFont="1" applyFill="1" applyAlignment="1">
      <alignment horizontal="center"/>
    </xf>
    <xf numFmtId="165" fontId="52" fillId="21" borderId="0" xfId="0" applyNumberFormat="1" applyFont="1" applyFill="1" applyAlignment="1">
      <alignment horizontal="center"/>
    </xf>
    <xf numFmtId="164" fontId="27" fillId="21" borderId="11" xfId="63" applyNumberFormat="1" applyFont="1" applyFill="1" applyBorder="1" applyAlignment="1">
      <alignment horizontal="center"/>
    </xf>
    <xf numFmtId="0" fontId="1" fillId="25" borderId="0" xfId="76" applyFont="1" applyFill="1" applyAlignment="1">
      <alignment vertical="top"/>
    </xf>
    <xf numFmtId="0" fontId="1" fillId="25" borderId="0" xfId="74" applyFill="1" applyAlignment="1">
      <alignment vertical="top"/>
    </xf>
    <xf numFmtId="0" fontId="1" fillId="25" borderId="0" xfId="74" applyFill="1"/>
    <xf numFmtId="0" fontId="23" fillId="25" borderId="0" xfId="76" applyFont="1" applyFill="1" applyAlignment="1">
      <alignment horizontal="left" vertical="top"/>
    </xf>
    <xf numFmtId="0" fontId="1" fillId="25" borderId="0" xfId="74" applyFont="1" applyFill="1" applyAlignment="1">
      <alignment vertical="top"/>
    </xf>
    <xf numFmtId="0" fontId="39" fillId="25" borderId="0" xfId="76" applyFont="1" applyFill="1" applyAlignment="1">
      <alignment vertical="top"/>
    </xf>
    <xf numFmtId="0" fontId="0" fillId="25" borderId="0" xfId="0" applyFill="1" applyAlignment="1">
      <alignment vertical="top"/>
    </xf>
    <xf numFmtId="0" fontId="117" fillId="25" borderId="0" xfId="0" applyFont="1" applyFill="1" applyAlignment="1">
      <alignment vertical="top"/>
    </xf>
    <xf numFmtId="0" fontId="118" fillId="25" borderId="0" xfId="0" applyFont="1" applyFill="1" applyAlignment="1">
      <alignment vertical="top"/>
    </xf>
    <xf numFmtId="0" fontId="118" fillId="25" borderId="0" xfId="0" applyFont="1" applyFill="1" applyAlignment="1">
      <alignment vertical="top"/>
    </xf>
    <xf numFmtId="0" fontId="117" fillId="25" borderId="0" xfId="0" applyFont="1" applyFill="1" applyAlignment="1">
      <alignment vertical="top"/>
    </xf>
    <xf numFmtId="0" fontId="0" fillId="25" borderId="0" xfId="0" applyFill="1" applyAlignment="1">
      <alignment vertical="top"/>
    </xf>
    <xf numFmtId="0" fontId="0" fillId="25" borderId="26" xfId="0" applyFill="1" applyBorder="1" applyAlignment="1">
      <alignment vertical="top"/>
    </xf>
    <xf numFmtId="0" fontId="117" fillId="25" borderId="22" xfId="0" applyFont="1" applyFill="1" applyBorder="1" applyAlignment="1">
      <alignment vertical="top"/>
    </xf>
    <xf numFmtId="0" fontId="117" fillId="25" borderId="23" xfId="0" applyFont="1" applyFill="1" applyBorder="1" applyAlignment="1">
      <alignment vertical="top"/>
    </xf>
    <xf numFmtId="0" fontId="117" fillId="25" borderId="24" xfId="0" applyFont="1" applyFill="1" applyBorder="1" applyAlignment="1">
      <alignment vertical="top"/>
    </xf>
    <xf numFmtId="0" fontId="117" fillId="25" borderId="25" xfId="0" applyFont="1" applyFill="1" applyBorder="1" applyAlignment="1">
      <alignment vertical="top"/>
    </xf>
    <xf numFmtId="9" fontId="117" fillId="25" borderId="22" xfId="0" applyNumberFormat="1" applyFont="1" applyFill="1" applyBorder="1" applyAlignment="1">
      <alignment vertical="top"/>
    </xf>
    <xf numFmtId="3" fontId="117" fillId="25" borderId="22" xfId="0" applyNumberFormat="1" applyFont="1" applyFill="1" applyBorder="1" applyAlignment="1">
      <alignment vertical="top"/>
    </xf>
    <xf numFmtId="0" fontId="0" fillId="25" borderId="27" xfId="0" applyFill="1" applyBorder="1" applyAlignment="1">
      <alignment vertical="top"/>
    </xf>
    <xf numFmtId="2" fontId="1" fillId="0" borderId="0" xfId="74" applyNumberFormat="1" applyAlignment="1">
      <alignment horizontal="left"/>
    </xf>
    <xf numFmtId="0" fontId="1" fillId="0" borderId="0" xfId="74" applyNumberFormat="1" applyAlignment="1">
      <alignment horizontal="left"/>
    </xf>
    <xf numFmtId="1" fontId="1" fillId="0" borderId="0" xfId="74" applyNumberFormat="1" applyAlignment="1">
      <alignment horizontal="left"/>
    </xf>
    <xf numFmtId="0" fontId="1" fillId="0" borderId="0" xfId="74" applyFont="1"/>
    <xf numFmtId="216" fontId="1" fillId="0" borderId="0" xfId="74" applyNumberFormat="1" applyAlignment="1">
      <alignment horizontal="left"/>
    </xf>
    <xf numFmtId="49" fontId="1" fillId="0" borderId="0" xfId="74" applyNumberFormat="1"/>
    <xf numFmtId="0" fontId="119" fillId="0" borderId="0" xfId="74" applyFont="1" applyAlignment="1">
      <alignment wrapText="1"/>
    </xf>
    <xf numFmtId="0" fontId="119" fillId="0" borderId="0" xfId="74" applyFont="1" applyAlignment="1">
      <alignment horizontal="left" wrapText="1" indent="3"/>
    </xf>
    <xf numFmtId="0" fontId="119" fillId="0" borderId="0" xfId="74" applyFont="1" applyAlignment="1">
      <alignment horizontal="left" wrapText="1" indent="1"/>
    </xf>
    <xf numFmtId="0" fontId="121" fillId="0" borderId="0" xfId="74" applyFont="1" applyAlignment="1">
      <alignment wrapText="1"/>
    </xf>
  </cellXfs>
  <cellStyles count="77">
    <cellStyle name="%" xfId="1"/>
    <cellStyle name="******************************************" xfId="2"/>
    <cellStyle name="_RRS1" xfId="3"/>
    <cellStyle name="_RRS4" xfId="4"/>
    <cellStyle name="_SUMMARY " xfId="5"/>
    <cellStyle name="=C:\WINNT35\SYSTEM32\COMMAND.COM" xfId="6"/>
    <cellStyle name="0_Capex &amp; Depreciation " xfId="7"/>
    <cellStyle name="0_Valuing BP " xfId="8"/>
    <cellStyle name="20% - Accent1" xfId="9" builtinId="30" customBuiltin="1"/>
    <cellStyle name="20% - Accent2" xfId="10" builtinId="34" customBuiltin="1"/>
    <cellStyle name="20% - Accent3" xfId="11" builtinId="38" customBuiltin="1"/>
    <cellStyle name="20% - Accent4" xfId="12" builtinId="42" customBuiltin="1"/>
    <cellStyle name="20% - Accent5" xfId="13" builtinId="46" customBuiltin="1"/>
    <cellStyle name="20% - Accent6" xfId="14" builtinId="50" customBuiltin="1"/>
    <cellStyle name="40% - Accent1" xfId="15" builtinId="31" customBuiltin="1"/>
    <cellStyle name="40% - Accent2" xfId="16" builtinId="35" customBuiltin="1"/>
    <cellStyle name="40% - Accent3" xfId="17" builtinId="39" customBuiltin="1"/>
    <cellStyle name="40% - Accent4" xfId="18" builtinId="43" customBuiltin="1"/>
    <cellStyle name="40% - Accent5" xfId="19" builtinId="47" customBuiltin="1"/>
    <cellStyle name="40% - Accent6" xfId="20" builtinId="51" customBuiltin="1"/>
    <cellStyle name="60% - Accent1" xfId="21" builtinId="32" customBuiltin="1"/>
    <cellStyle name="60% - Accent2" xfId="22" builtinId="36" customBuiltin="1"/>
    <cellStyle name="60% - Accent3" xfId="23" builtinId="40" customBuiltin="1"/>
    <cellStyle name="60% - Accent4" xfId="24" builtinId="44" customBuiltin="1"/>
    <cellStyle name="60% - Accent5" xfId="25" builtinId="48" customBuiltin="1"/>
    <cellStyle name="60% - Accent6" xfId="26" builtinId="52" customBuiltin="1"/>
    <cellStyle name="Accent1" xfId="27" builtinId="29" customBuiltin="1"/>
    <cellStyle name="Accent2" xfId="28" builtinId="33" customBuiltin="1"/>
    <cellStyle name="Accent3" xfId="29" builtinId="37" customBuiltin="1"/>
    <cellStyle name="Accent4" xfId="30" builtinId="41" customBuiltin="1"/>
    <cellStyle name="Accent5" xfId="31" builtinId="45" customBuiltin="1"/>
    <cellStyle name="Accent6" xfId="32" builtinId="49" customBuiltin="1"/>
    <cellStyle name="Bad" xfId="33" builtinId="27" customBuiltin="1"/>
    <cellStyle name="c_HardInc " xfId="34"/>
    <cellStyle name="Calculation" xfId="35" builtinId="22" customBuiltin="1"/>
    <cellStyle name="Check Cell" xfId="36" builtinId="23" customBuiltin="1"/>
    <cellStyle name="Comma" xfId="37" builtinId="3"/>
    <cellStyle name="Comma 2" xfId="73"/>
    <cellStyle name="Currency" xfId="38" builtinId="4"/>
    <cellStyle name="Currency 2" xfId="39"/>
    <cellStyle name="Currency 3" xfId="40"/>
    <cellStyle name="Currency 4" xfId="41"/>
    <cellStyle name="Euro" xfId="42"/>
    <cellStyle name="Explanatory Text" xfId="43" builtinId="53" customBuiltin="1"/>
    <cellStyle name="Formula" xfId="44"/>
    <cellStyle name="Good" xfId="45" builtinId="26" customBuiltin="1"/>
    <cellStyle name="Heading 1" xfId="46" builtinId="16" customBuiltin="1"/>
    <cellStyle name="Heading 2" xfId="47" builtinId="17" customBuiltin="1"/>
    <cellStyle name="Heading 3" xfId="48" builtinId="18" customBuiltin="1"/>
    <cellStyle name="Heading 4" xfId="49" builtinId="19" customBuiltin="1"/>
    <cellStyle name="Hyperlink" xfId="50" builtinId="8"/>
    <cellStyle name="Input" xfId="51" builtinId="20" customBuiltin="1"/>
    <cellStyle name="Linked Cell" xfId="52" builtinId="24" customBuiltin="1"/>
    <cellStyle name="Neutral" xfId="53" builtinId="28" customBuiltin="1"/>
    <cellStyle name="Normal" xfId="0" builtinId="0"/>
    <cellStyle name="Normal 2" xfId="54"/>
    <cellStyle name="Normal 3" xfId="74"/>
    <cellStyle name="Normal_DisclaimerSheet Samples" xfId="76"/>
    <cellStyle name="Normal_DPS" xfId="55"/>
    <cellStyle name="Normal_Energizer_Model_BASE" xfId="56"/>
    <cellStyle name="Normal_ETM LBO Model" xfId="57"/>
    <cellStyle name="Normal_koregionalpostops2" xfId="58"/>
    <cellStyle name="Normal_Morgan Stanley_Global Wireless Comps" xfId="59"/>
    <cellStyle name="Note" xfId="60" builtinId="10" customBuiltin="1"/>
    <cellStyle name="Output" xfId="61" builtinId="21" customBuiltin="1"/>
    <cellStyle name="p " xfId="62"/>
    <cellStyle name="Percent" xfId="63" builtinId="5"/>
    <cellStyle name="RRSInstruction" xfId="64"/>
    <cellStyle name="RRSInstruction 2" xfId="75"/>
    <cellStyle name="s_HardInc " xfId="65"/>
    <cellStyle name="s_Valuation " xfId="66"/>
    <cellStyle name="ssp " xfId="67"/>
    <cellStyle name="Style 1" xfId="68"/>
    <cellStyle name="Style 2" xfId="69"/>
    <cellStyle name="Title" xfId="70" builtinId="15" customBuiltin="1"/>
    <cellStyle name="Total" xfId="71" builtinId="25" customBuiltin="1"/>
    <cellStyle name="Warning Text" xfId="72" builtinId="11"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externalLinks/externalLink1.xml" Type="http://schemas.openxmlformats.org/officeDocument/2006/relationships/externalLink"/>
<Relationship Id="rId13" Target="externalLinks/externalLink2.xml" Type="http://schemas.openxmlformats.org/officeDocument/2006/relationships/externalLink"/>
<Relationship Id="rId14" Target="externalLinks/externalLink3.xml" Type="http://schemas.openxmlformats.org/officeDocument/2006/relationships/externalLink"/>
<Relationship Id="rId15" Target="externalLinks/externalLink4.xml" Type="http://schemas.openxmlformats.org/officeDocument/2006/relationships/externalLink"/>
<Relationship Id="rId16" Target="externalLinks/externalLink5.xml" Type="http://schemas.openxmlformats.org/officeDocument/2006/relationships/externalLink"/>
<Relationship Id="rId17" Target="externalLinks/externalLink6.xml" Type="http://schemas.openxmlformats.org/officeDocument/2006/relationships/externalLink"/>
<Relationship Id="rId18" Target="externalLinks/externalLink7.xml" Type="http://schemas.openxmlformats.org/officeDocument/2006/relationships/externalLink"/>
<Relationship Id="rId19" Target="externalLinks/externalLink8.xml" Type="http://schemas.openxmlformats.org/officeDocument/2006/relationships/externalLink"/>
<Relationship Id="rId2" Target="worksheets/sheet2.xml" Type="http://schemas.openxmlformats.org/officeDocument/2006/relationships/worksheet"/>
<Relationship Id="rId20" Target="externalLinks/externalLink9.xml" Type="http://schemas.openxmlformats.org/officeDocument/2006/relationships/externalLink"/>
<Relationship Id="rId21" Target="externalLinks/externalLink10.xml" Type="http://schemas.openxmlformats.org/officeDocument/2006/relationships/externalLink"/>
<Relationship Id="rId22" Target="externalLinks/externalLink11.xml" Type="http://schemas.openxmlformats.org/officeDocument/2006/relationships/externalLink"/>
<Relationship Id="rId23" Target="externalLinks/externalLink12.xml" Type="http://schemas.openxmlformats.org/officeDocument/2006/relationships/externalLink"/>
<Relationship Id="rId24" Target="externalLinks/externalLink13.xml" Type="http://schemas.openxmlformats.org/officeDocument/2006/relationships/externalLink"/>
<Relationship Id="rId25" Target="externalLinks/externalLink14.xml" Type="http://schemas.openxmlformats.org/officeDocument/2006/relationships/externalLink"/>
<Relationship Id="rId26" Target="externalLinks/externalLink15.xml" Type="http://schemas.openxmlformats.org/officeDocument/2006/relationships/externalLink"/>
<Relationship Id="rId27" Target="externalLinks/externalLink16.xml" Type="http://schemas.openxmlformats.org/officeDocument/2006/relationships/externalLink"/>
<Relationship Id="rId28" Target="externalLinks/externalLink17.xml" Type="http://schemas.openxmlformats.org/officeDocument/2006/relationships/externalLink"/>
<Relationship Id="rId29" Target="externalLinks/externalLink18.xml" Type="http://schemas.openxmlformats.org/officeDocument/2006/relationships/externalLink"/>
<Relationship Id="rId3" Target="worksheets/sheet3.xml" Type="http://schemas.openxmlformats.org/officeDocument/2006/relationships/worksheet"/>
<Relationship Id="rId30" Target="externalLinks/externalLink19.xml" Type="http://schemas.openxmlformats.org/officeDocument/2006/relationships/externalLink"/>
<Relationship Id="rId31" Target="externalLinks/externalLink20.xml" Type="http://schemas.openxmlformats.org/officeDocument/2006/relationships/externalLink"/>
<Relationship Id="rId32" Target="externalLinks/externalLink21.xml" Type="http://schemas.openxmlformats.org/officeDocument/2006/relationships/externalLink"/>
<Relationship Id="rId33" Target="externalLinks/externalLink22.xml" Type="http://schemas.openxmlformats.org/officeDocument/2006/relationships/externalLink"/>
<Relationship Id="rId34" Target="externalLinks/externalLink23.xml" Type="http://schemas.openxmlformats.org/officeDocument/2006/relationships/externalLink"/>
<Relationship Id="rId35" Target="externalLinks/externalLink24.xml" Type="http://schemas.openxmlformats.org/officeDocument/2006/relationships/externalLink"/>
<Relationship Id="rId36" Target="externalLinks/externalLink25.xml" Type="http://schemas.openxmlformats.org/officeDocument/2006/relationships/externalLink"/>
<Relationship Id="rId37" Target="externalLinks/externalLink26.xml" Type="http://schemas.openxmlformats.org/officeDocument/2006/relationships/externalLink"/>
<Relationship Id="rId38" Target="externalLinks/externalLink27.xml" Type="http://schemas.openxmlformats.org/officeDocument/2006/relationships/externalLink"/>
<Relationship Id="rId39" Target="externalLinks/externalLink28.xml" Type="http://schemas.openxmlformats.org/officeDocument/2006/relationships/externalLink"/>
<Relationship Id="rId4" Target="worksheets/sheet4.xml" Type="http://schemas.openxmlformats.org/officeDocument/2006/relationships/worksheet"/>
<Relationship Id="rId40" Target="externalLinks/externalLink29.xml" Type="http://schemas.openxmlformats.org/officeDocument/2006/relationships/externalLink"/>
<Relationship Id="rId41" Target="externalLinks/externalLink30.xml" Type="http://schemas.openxmlformats.org/officeDocument/2006/relationships/externalLink"/>
<Relationship Id="rId42" Target="externalLinks/externalLink31.xml" Type="http://schemas.openxmlformats.org/officeDocument/2006/relationships/externalLink"/>
<Relationship Id="rId43" Target="externalLinks/externalLink32.xml" Type="http://schemas.openxmlformats.org/officeDocument/2006/relationships/externalLink"/>
<Relationship Id="rId44" Target="externalLinks/externalLink33.xml" Type="http://schemas.openxmlformats.org/officeDocument/2006/relationships/externalLink"/>
<Relationship Id="rId45" Target="externalLinks/externalLink34.xml" Type="http://schemas.openxmlformats.org/officeDocument/2006/relationships/externalLink"/>
<Relationship Id="rId46" Target="externalLinks/externalLink35.xml" Type="http://schemas.openxmlformats.org/officeDocument/2006/relationships/externalLink"/>
<Relationship Id="rId47" Target="externalLinks/externalLink36.xml" Type="http://schemas.openxmlformats.org/officeDocument/2006/relationships/externalLink"/>
<Relationship Id="rId48" Target="externalLinks/externalLink37.xml" Type="http://schemas.openxmlformats.org/officeDocument/2006/relationships/externalLink"/>
<Relationship Id="rId49" Target="externalLinks/externalLink38.xml" Type="http://schemas.openxmlformats.org/officeDocument/2006/relationships/externalLink"/>
<Relationship Id="rId5" Target="worksheets/sheet5.xml" Type="http://schemas.openxmlformats.org/officeDocument/2006/relationships/worksheet"/>
<Relationship Id="rId50" Target="externalLinks/externalLink39.xml" Type="http://schemas.openxmlformats.org/officeDocument/2006/relationships/externalLink"/>
<Relationship Id="rId51" Target="externalLinks/externalLink40.xml" Type="http://schemas.openxmlformats.org/officeDocument/2006/relationships/externalLink"/>
<Relationship Id="rId52" Target="externalLinks/externalLink41.xml" Type="http://schemas.openxmlformats.org/officeDocument/2006/relationships/externalLink"/>
<Relationship Id="rId53" Target="externalLinks/externalLink42.xml" Type="http://schemas.openxmlformats.org/officeDocument/2006/relationships/externalLink"/>
<Relationship Id="rId54" Target="externalLinks/externalLink43.xml" Type="http://schemas.openxmlformats.org/officeDocument/2006/relationships/externalLink"/>
<Relationship Id="rId55" Target="externalLinks/externalLink44.xml" Type="http://schemas.openxmlformats.org/officeDocument/2006/relationships/externalLink"/>
<Relationship Id="rId56" Target="externalLinks/externalLink45.xml" Type="http://schemas.openxmlformats.org/officeDocument/2006/relationships/externalLink"/>
<Relationship Id="rId57" Target="externalLinks/externalLink46.xml" Type="http://schemas.openxmlformats.org/officeDocument/2006/relationships/externalLink"/>
<Relationship Id="rId58" Target="externalLinks/externalLink47.xml" Type="http://schemas.openxmlformats.org/officeDocument/2006/relationships/externalLink"/>
<Relationship Id="rId59" Target="externalLinks/externalLink48.xml" Type="http://schemas.openxmlformats.org/officeDocument/2006/relationships/externalLink"/>
<Relationship Id="rId6" Target="worksheets/sheet6.xml" Type="http://schemas.openxmlformats.org/officeDocument/2006/relationships/worksheet"/>
<Relationship Id="rId60" Target="externalLinks/externalLink49.xml" Type="http://schemas.openxmlformats.org/officeDocument/2006/relationships/externalLink"/>
<Relationship Id="rId61" Target="externalLinks/externalLink50.xml" Type="http://schemas.openxmlformats.org/officeDocument/2006/relationships/externalLink"/>
<Relationship Id="rId62" Target="externalLinks/externalLink51.xml" Type="http://schemas.openxmlformats.org/officeDocument/2006/relationships/externalLink"/>
<Relationship Id="rId63" Target="externalLinks/externalLink52.xml" Type="http://schemas.openxmlformats.org/officeDocument/2006/relationships/externalLink"/>
<Relationship Id="rId64" Target="externalLinks/externalLink53.xml" Type="http://schemas.openxmlformats.org/officeDocument/2006/relationships/externalLink"/>
<Relationship Id="rId65" Target="externalLinks/externalLink54.xml" Type="http://schemas.openxmlformats.org/officeDocument/2006/relationships/externalLink"/>
<Relationship Id="rId66" Target="externalLinks/externalLink55.xml" Type="http://schemas.openxmlformats.org/officeDocument/2006/relationships/externalLink"/>
<Relationship Id="rId67" Target="externalLinks/externalLink56.xml" Type="http://schemas.openxmlformats.org/officeDocument/2006/relationships/externalLink"/>
<Relationship Id="rId68" Target="externalLinks/externalLink57.xml" Type="http://schemas.openxmlformats.org/officeDocument/2006/relationships/externalLink"/>
<Relationship Id="rId69" Target="externalLinks/externalLink58.xml" Type="http://schemas.openxmlformats.org/officeDocument/2006/relationships/externalLink"/>
<Relationship Id="rId7" Target="worksheets/sheet7.xml" Type="http://schemas.openxmlformats.org/officeDocument/2006/relationships/worksheet"/>
<Relationship Id="rId70" Target="externalLinks/externalLink59.xml" Type="http://schemas.openxmlformats.org/officeDocument/2006/relationships/externalLink"/>
<Relationship Id="rId71" Target="externalLinks/externalLink60.xml" Type="http://schemas.openxmlformats.org/officeDocument/2006/relationships/externalLink"/>
<Relationship Id="rId72" Target="theme/theme1.xml" Type="http://schemas.openxmlformats.org/officeDocument/2006/relationships/theme"/>
<Relationship Id="rId73" Target="styles.xml" Type="http://schemas.openxmlformats.org/officeDocument/2006/relationships/styles"/>
<Relationship Id="rId74" Target="sharedStrings.xml" Type="http://schemas.openxmlformats.org/officeDocument/2006/relationships/sharedStrings"/>
<Relationship Id="rId75" Target="calcChain.xml" Type="http://schemas.openxmlformats.org/officeDocument/2006/relationships/calcChain"/>
<Relationship Id="rId76" Target="../customXml/item1.xml" Type="http://schemas.openxmlformats.org/officeDocument/2006/relationships/customXml"/>
<Relationship Id="rId77" Target="../customXml/item2.xml" Type="http://schemas.openxmlformats.org/officeDocument/2006/relationships/customXml"/>
<Relationship Id="rId78" Target="vbaProject.bin" Type="http://schemas.microsoft.com/office/2006/relationships/vbaProjec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3735553" name="Picture 1" descr="C:\Users\filipf\AppData\Local\Temp\MercuryPriceRatingHistoryChart\KO.N_2018_04_23_18_42_2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3736577" name="Button 1" hidden="1">
              <a:extLst>
                <a:ext uri="{63B3BB69-23CF-44E3-9099-C40C66FF867C}">
                  <a14:compatExt spid="_x0000_s3736577"/>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3736578" name="Button 2" hidden="1">
              <a:extLst>
                <a:ext uri="{63B3BB69-23CF-44E3-9099-C40C66FF867C}">
                  <a14:compatExt spid="_x0000_s3736578"/>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381000</xdr:colOff>
      <xdr:row>1</xdr:row>
      <xdr:rowOff>66675</xdr:rowOff>
    </xdr:from>
    <xdr:to>
      <xdr:col>4</xdr:col>
      <xdr:colOff>333375</xdr:colOff>
      <xdr:row>10</xdr:row>
      <xdr:rowOff>66675</xdr:rowOff>
    </xdr:to>
    <xdr:pic>
      <xdr:nvPicPr>
        <xdr:cNvPr id="3834202" name="Picture 1" descr="banner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209550"/>
          <a:ext cx="2228850"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381000</xdr:colOff>
      <xdr:row>1</xdr:row>
      <xdr:rowOff>66675</xdr:rowOff>
    </xdr:from>
    <xdr:to>
      <xdr:col>4</xdr:col>
      <xdr:colOff>333375</xdr:colOff>
      <xdr:row>10</xdr:row>
      <xdr:rowOff>66675</xdr:rowOff>
    </xdr:to>
    <xdr:pic>
      <xdr:nvPicPr>
        <xdr:cNvPr id="3834203" name="Picture 2" descr="banner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209550"/>
          <a:ext cx="2228850"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56</xdr:col>
      <xdr:colOff>0</xdr:colOff>
      <xdr:row>54</xdr:row>
      <xdr:rowOff>0</xdr:rowOff>
    </xdr:from>
    <xdr:to>
      <xdr:col>66</xdr:col>
      <xdr:colOff>85725</xdr:colOff>
      <xdr:row>54</xdr:row>
      <xdr:rowOff>200025</xdr:rowOff>
    </xdr:to>
    <xdr:sp macro="" textlink="">
      <xdr:nvSpPr>
        <xdr:cNvPr id="4018190" name="Text Box 62414"/>
        <xdr:cNvSpPr txBox="1">
          <a:spLocks noChangeArrowheads="1"/>
        </xdr:cNvSpPr>
      </xdr:nvSpPr>
      <xdr:spPr bwMode="auto">
        <a:xfrm>
          <a:off x="3381375" y="4343400"/>
          <a:ext cx="85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56</xdr:col>
      <xdr:colOff>0</xdr:colOff>
      <xdr:row>54</xdr:row>
      <xdr:rowOff>0</xdr:rowOff>
    </xdr:from>
    <xdr:to>
      <xdr:col>66</xdr:col>
      <xdr:colOff>85725</xdr:colOff>
      <xdr:row>54</xdr:row>
      <xdr:rowOff>200025</xdr:rowOff>
    </xdr:to>
    <xdr:sp macro="" textlink="">
      <xdr:nvSpPr>
        <xdr:cNvPr id="4018191" name="Text Box 62415"/>
        <xdr:cNvSpPr txBox="1">
          <a:spLocks noChangeArrowheads="1"/>
        </xdr:cNvSpPr>
      </xdr:nvSpPr>
      <xdr:spPr bwMode="auto">
        <a:xfrm>
          <a:off x="3381375" y="4343400"/>
          <a:ext cx="85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56</xdr:col>
      <xdr:colOff>0</xdr:colOff>
      <xdr:row>54</xdr:row>
      <xdr:rowOff>0</xdr:rowOff>
    </xdr:from>
    <xdr:to>
      <xdr:col>66</xdr:col>
      <xdr:colOff>85725</xdr:colOff>
      <xdr:row>54</xdr:row>
      <xdr:rowOff>200025</xdr:rowOff>
    </xdr:to>
    <xdr:sp macro="" textlink="">
      <xdr:nvSpPr>
        <xdr:cNvPr id="4018192" name="Text Box 62416"/>
        <xdr:cNvSpPr txBox="1">
          <a:spLocks noChangeArrowheads="1"/>
        </xdr:cNvSpPr>
      </xdr:nvSpPr>
      <xdr:spPr bwMode="auto">
        <a:xfrm>
          <a:off x="3381375" y="4343400"/>
          <a:ext cx="85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56</xdr:col>
      <xdr:colOff>0</xdr:colOff>
      <xdr:row>54</xdr:row>
      <xdr:rowOff>0</xdr:rowOff>
    </xdr:from>
    <xdr:to>
      <xdr:col>66</xdr:col>
      <xdr:colOff>85725</xdr:colOff>
      <xdr:row>54</xdr:row>
      <xdr:rowOff>200025</xdr:rowOff>
    </xdr:to>
    <xdr:sp macro="" textlink="">
      <xdr:nvSpPr>
        <xdr:cNvPr id="4018193" name="Text Box 62417"/>
        <xdr:cNvSpPr txBox="1">
          <a:spLocks noChangeArrowheads="1"/>
        </xdr:cNvSpPr>
      </xdr:nvSpPr>
      <xdr:spPr bwMode="auto">
        <a:xfrm>
          <a:off x="3381375" y="4343400"/>
          <a:ext cx="85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56</xdr:col>
      <xdr:colOff>0</xdr:colOff>
      <xdr:row>54</xdr:row>
      <xdr:rowOff>0</xdr:rowOff>
    </xdr:from>
    <xdr:to>
      <xdr:col>66</xdr:col>
      <xdr:colOff>85725</xdr:colOff>
      <xdr:row>54</xdr:row>
      <xdr:rowOff>200025</xdr:rowOff>
    </xdr:to>
    <xdr:sp macro="" textlink="">
      <xdr:nvSpPr>
        <xdr:cNvPr id="4018194" name="Text Box 62418"/>
        <xdr:cNvSpPr txBox="1">
          <a:spLocks noChangeArrowheads="1"/>
        </xdr:cNvSpPr>
      </xdr:nvSpPr>
      <xdr:spPr bwMode="auto">
        <a:xfrm>
          <a:off x="3381375" y="4343400"/>
          <a:ext cx="85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52</xdr:col>
      <xdr:colOff>400050</xdr:colOff>
      <xdr:row>28</xdr:row>
      <xdr:rowOff>76200</xdr:rowOff>
    </xdr:from>
    <xdr:to>
      <xdr:col>55</xdr:col>
      <xdr:colOff>171450</xdr:colOff>
      <xdr:row>33</xdr:row>
      <xdr:rowOff>133350</xdr:rowOff>
    </xdr:to>
    <xdr:sp macro="" textlink="">
      <xdr:nvSpPr>
        <xdr:cNvPr id="144347" name="Text Box 62427"/>
        <xdr:cNvSpPr txBox="1">
          <a:spLocks noChangeArrowheads="1"/>
        </xdr:cNvSpPr>
      </xdr:nvSpPr>
      <xdr:spPr bwMode="auto">
        <a:xfrm>
          <a:off x="2324100" y="3514725"/>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0000"/>
              </a:solidFill>
              <a:latin typeface="Arial"/>
              <a:cs typeface="Arial"/>
            </a:rPr>
            <a:t>KO changed its line item reporting convention of the components of SG&amp;A in its 2010 10-K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21</xdr:col>
      <xdr:colOff>390525</xdr:colOff>
      <xdr:row>264</xdr:row>
      <xdr:rowOff>114300</xdr:rowOff>
    </xdr:from>
    <xdr:to>
      <xdr:col>24</xdr:col>
      <xdr:colOff>323850</xdr:colOff>
      <xdr:row>272</xdr:row>
      <xdr:rowOff>19050</xdr:rowOff>
    </xdr:to>
    <xdr:sp macro="" textlink="">
      <xdr:nvSpPr>
        <xdr:cNvPr id="81680" name="Text Box 784"/>
        <xdr:cNvSpPr txBox="1">
          <a:spLocks noChangeArrowheads="1"/>
        </xdr:cNvSpPr>
      </xdr:nvSpPr>
      <xdr:spPr bwMode="auto">
        <a:xfrm>
          <a:off x="5143500" y="29089350"/>
          <a:ext cx="0" cy="12001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Based on Q4 break out (of 9% total still growth, flat NA, and 14% intl), we can est. still split is roughly 35/65 split NA/Intl (pre-CCE-NA deal)</a:t>
          </a:r>
        </a:p>
      </xdr:txBody>
    </xdr:sp>
    <xdr:clientData/>
  </xdr:twoCellAnchor>
</xdr:wsDr>
</file>

<file path=xl/externalLinks/_rels/externalLink1.xml.rels><?xml version="1.0" encoding="UTF-8" standalone="yes"?>
<Relationships xmlns="http://schemas.openxmlformats.org/package/2006/relationships">
<Relationship Id="rId1" Target="AERO/Wood/Models/GD.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mberler/SPREADS/COS/WYbackup.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CONSUMER/Cosmetics-Household%20goods/Models/Old%20Scorecards.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NA/NY/LIB/ER/CONSUMER/STAPLES/ACV/Charts/ACV_Charts_Workbook.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http://office-na.ms.com/research/BestContent/SmartCharts1/SmartChart_B1070.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CONSUMER/STAPLES/TUP/SmartCharts/TUP_Charts_Workbook2.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BEVERAGE/SD_Companies/CokeEnt/CCE_MSDW_183.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CONSUMER/STAPLES/Industry/Presentations/Consumer_Cross-Div_Meeting_Beverages.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NA/NY/LIB/ER/CONSUMER/STAPLES/Valuation/SMID_HPC_Pro-Forma_PE_Levered.xls" TargetMode="External" Type="http://schemas.microsoft.com/office/2006/relationships/xlExternalLinkPath/xlAlternateStartup"/>
</Relationships>

</file>

<file path=xl/externalLinks/_rels/externalLink10.xml.rels><?xml version="1.0" encoding="UTF-8" standalone="yes"?>
<Relationships xmlns="http://schemas.openxmlformats.org/package/2006/relationships">
<Relationship Id="rId1" Target="CONSUMER/Cosmetics-Household%20goods/Models/KMB/model%20template.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CONSUMER/Cosmetics-Household%20goods/Models/PG/model%20template.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CONSUMER/Cosmetics-Household%20goods/Companies/2-CL/200708-CL%20savings_track.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DOCUME~1/grunke/LOCALS~1/Temp/Temporary%20Directory%202%20for%20Files.zip/konew4.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CONSUMER/Cosmetics-Household%20goods/Companies/1-AVP/070501-Scenario%20analysis%20spend+savings.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CONSUMER/Cosmetics-Household%20goods/Published%20Models/RI/PG_RI_2.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Eva's%20Things/Excel/HPC/Models/L'OREAL.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Eva's%20Things/Excel/HPC/Models/BDORF.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consumer/Cosmetic/EXCEL/Models/Newell%20Rubbermaid/NWL_model7.xls" TargetMode="External" Type="http://schemas.microsoft.com/office/2006/relationships/xlExternalLinkPath/xlStartup"/>
</Relationships>

</file>

<file path=xl/externalLinks/_rels/externalLink19.xml.rels><?xml version="1.0" encoding="UTF-8" standalone="yes"?>
<Relationships xmlns="http://schemas.openxmlformats.org/package/2006/relationships">
<Relationship Id="rId1" Target="food/XLDATA/Global/Modelware/Consumer%20Valuation%20Compsheets/New_Global_Comps_2006.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food/XLDATA/SM/VALTAB/VALFEURO.XLS"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RecoveredExternalLink1" TargetMode="External" Type="http://schemas.microsoft.com/office/2006/relationships/xlExternalLinkPath/xlPathMissing"/>
</Relationships>

</file>

<file path=xl/externalLinks/_rels/externalLink22.xml.rels><?xml version="1.0" encoding="UTF-8" standalone="yes"?>
<Relationships xmlns="http://schemas.openxmlformats.org/package/2006/relationships">
<Relationship Id="rId1" Target="food/XLDATA/Global/Modelware/Consumer%20Valuation%20Compsheets/ConsumerValuationCompsheet_07_with%20changes%20made%20to%20Perf_MW.xls" TargetMode="External" Type="http://schemas.microsoft.com/office/2006/relationships/xlExternalLinkPath/xlStartup"/>
</Relationships>

</file>

<file path=xl/externalLinks/_rels/externalLink23.xml.rels><?xml version="1.0" encoding="UTF-8" standalone="yes"?>
<Relationships xmlns="http://schemas.openxmlformats.org/package/2006/relationships">
<Relationship Id="rId1" Target="CONSUMER/STAPLES/IRI/Alcohol/Other/IRI_CSDs_Beer_Demand_Elasticity.xls" TargetMode="External" Type="http://schemas.microsoft.com/office/2006/relationships/xlExternalLinkPath/xlStartup"/>
</Relationships>

</file>

<file path=xl/externalLinks/_rels/externalLink24.xml.rels><?xml version="1.0" encoding="UTF-8" standalone="yes"?>
<Relationships xmlns="http://schemas.openxmlformats.org/package/2006/relationships">
<Relationship Id="rId1" Target="Documents%20and%20Settings/wileyk/Desktop/BOWnew1.xls" TargetMode="External" Type="http://schemas.microsoft.com/office/2006/relationships/xlExternalLinkPath/xlStartup"/>
</Relationships>

</file>

<file path=xl/externalLinks/_rels/externalLink25.xml.rels><?xml version="1.0" encoding="UTF-8" standalone="yes"?>
<Relationships xmlns="http://schemas.openxmlformats.org/package/2006/relationships">
<Relationship Id="rId1" Target="BEVERAGE/Constellation%20brands/Price%20Class%20Exhibit.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mberler/SPREADS/COS/TINNew.XLS" TargetMode="External" Type="http://schemas.microsoft.com/office/2006/relationships/xlExternalLinkPath/xlStartup"/>
</Relationships>

</file>

<file path=xl/externalLinks/_rels/externalLink27.xml.rels><?xml version="1.0" encoding="UTF-8" standalone="yes"?>
<Relationships xmlns="http://schemas.openxmlformats.org/package/2006/relationships">
<Relationship Id="rId1" Target="FOOD/XLDATA/SM/NESTLE/NESTLE_pre%20loreal_4_7.XLS" TargetMode="External" Type="http://schemas.microsoft.com/office/2006/relationships/xlExternalLinkPath/xlStartup"/>
</Relationships>

</file>

<file path=xl/externalLinks/_rels/externalLink28.xml.rels><?xml version="1.0" encoding="UTF-8" standalone="yes"?>
<Relationships xmlns="http://schemas.openxmlformats.org/package/2006/relationships">
<Relationship Id="rId1" Target="USBEVRGS/Old%20models/RKYnew4.xls" TargetMode="External" Type="http://schemas.microsoft.com/office/2006/relationships/xlExternalLinkPath/xlStartup"/>
</Relationships>

</file>

<file path=xl/externalLinks/_rels/externalLink29.xml.rels><?xml version="1.0" encoding="UTF-8" standalone="yes"?>
<Relationships xmlns="http://schemas.openxmlformats.org/package/2006/relationships">
<Relationship Id="rId1" Target="http://ny46wa01.ms.com:8181/webapp/eqr/rlink/Research?action=streamFile&amp;docId=194993&amp;headline=SON.N+Model:+Major+Earnings+Change&amp;lastParam=/son.n.xls&amp;docFileType=8&amp;lastParam=/son.n.xls" TargetMode="External" Type="http://schemas.openxmlformats.org/officeDocument/2006/relationships/externalLinkPath"/>
</Relationships>

</file>

<file path=xl/externalLinks/_rels/externalLink30.xml.rels><?xml version="1.0" encoding="UTF-8" standalone="yes"?>
<Relationships xmlns="http://schemas.openxmlformats.org/package/2006/relationships">
<Relationship Id="rId1" Target="DOCUME~1/grunke/LOCALS~1/Temp/Temporary%20Directory%201%20for%20Files.zip/colgate_model.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food/XLDATA/SM/DANONE/Danone.xls" TargetMode="External" Type="http://schemas.microsoft.com/office/2006/relationships/xlExternalLinkPath/xlStartup"/>
</Relationships>

</file>

<file path=xl/externalLinks/_rels/externalLink32.xml.rels><?xml version="1.0" encoding="UTF-8" standalone="yes"?>
<Relationships xmlns="http://schemas.openxmlformats.org/package/2006/relationships">
<Relationship Id="rId1" Target="internet/Food%20Companies/Danone/Model/Danone.xls" TargetMode="External" Type="http://schemas.microsoft.com/office/2006/relationships/xlExternalLinkPath/xlStartup"/>
</Relationships>

</file>

<file path=xl/externalLinks/_rels/externalLink33.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34.xml.rels><?xml version="1.0" encoding="UTF-8" standalone="yes"?>
<Relationships xmlns="http://schemas.openxmlformats.org/package/2006/relationships">
<Relationship Id="rId1" Target="CONSUMER/CHD/Model/Church&amp;Dwight_Model_BASE.xls" TargetMode="External" Type="http://schemas.microsoft.com/office/2006/relationships/xlExternalLinkPath/xlStartup"/>
</Relationships>

</file>

<file path=xl/externalLinks/_rels/externalLink35.xml.rels><?xml version="1.0" encoding="UTF-8" standalone="yes"?>
<Relationships xmlns="http://schemas.openxmlformats.org/package/2006/relationships">
<Relationship Id="rId1" Target="internet/Food%20Companies/Cadbury/Model/Cadbury%20before%20Adams.xls" TargetMode="External" Type="http://schemas.microsoft.com/office/2006/relationships/xlExternalLinkPath/xlStartup"/>
</Relationships>

</file>

<file path=xl/externalLinks/_rels/externalLink36.xml.rels><?xml version="1.0" encoding="UTF-8" standalone="yes"?>
<Relationships xmlns="http://schemas.openxmlformats.org/package/2006/relationships">
<Relationship Id="rId1" Target="AERO/Wood/Models/DRS.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Eva's%20Things/Excel/HPC/Models/Henkel.xls" TargetMode="External" Type="http://schemas.microsoft.com/office/2006/relationships/xlExternalLinkPath/xlStartup"/>
</Relationships>

</file>

<file path=xl/externalLinks/_rels/externalLink38.xml.rels><?xml version="1.0" encoding="UTF-8" standalone="yes"?>
<Relationships xmlns="http://schemas.openxmlformats.org/package/2006/relationships">
<Relationship Id="rId1" Target="mberler/SPREADS/COS/WYnew.xls" TargetMode="External" Type="http://schemas.microsoft.com/office/2006/relationships/xlExternalLinkPath/xlStartup"/>
</Relationships>

</file>

<file path=xl/externalLinks/_rels/externalLink39.xml.rels><?xml version="1.0" encoding="UTF-8" standalone="yes"?>
<Relationships xmlns="http://schemas.openxmlformats.org/package/2006/relationships">
<Relationship Id="rId1" Target="food/Food%20Companies/Danone/Model/Danone%20Model%20Work%20in%20Progress.xls" TargetMode="External" Type="http://schemas.microsoft.com/office/2006/relationships/xlExternalLinkPath/xlStartup"/>
</Relationships>

</file>

<file path=xl/externalLinks/_rels/externalLink40.xml.rels><?xml version="1.0" encoding="UTF-8" standalone="yes"?>
<Relationships xmlns="http://schemas.openxmlformats.org/package/2006/relationships">
<Relationship Id="rId1" Target="food/XLDATA/SM/UNILEVER/UNILEVER.xls" TargetMode="External" Type="http://schemas.microsoft.com/office/2006/relationships/xlExternalLinkPath/xlStartup"/>
</Relationships>

</file>

<file path=xl/externalLinks/_rels/externalLink41.xml.rels><?xml version="1.0" encoding="UTF-8" standalone="yes"?>
<Relationships xmlns="http://schemas.openxmlformats.org/package/2006/relationships">
<Relationship Id="rId1" Target="consumer/Cosmetic/EXCEL/Models/Procter&amp;%20Gamble/pg_model4.xls" TargetMode="External" Type="http://schemas.microsoft.com/office/2006/relationships/xlExternalLinkPath/xlStartup"/>
</Relationships>

</file>

<file path=xl/externalLinks/_rels/externalLink42.xml.rels><?xml version="1.0" encoding="UTF-8" standalone="yes"?>
<Relationships xmlns="http://schemas.openxmlformats.org/package/2006/relationships">
<Relationship Id="rId1" Target="consumer/Cosmetic/EXCEL/Models/IFF/IFF_model.XLS" TargetMode="External" Type="http://schemas.microsoft.com/office/2006/relationships/xlExternalLinkPath/xlStartup"/>
</Relationships>

</file>

<file path=xl/externalLinks/_rels/externalLink43.xml.rels><?xml version="1.0" encoding="UTF-8" standalone="yes"?>
<Relationships xmlns="http://schemas.openxmlformats.org/package/2006/relationships">
<Relationship Id="rId1" Target="L" TargetMode="External" Type="http://schemas.microsoft.com/office/2006/relationships/xlExternalLinkPath/xlPathMissing"/>
</Relationships>

</file>

<file path=xl/externalLinks/_rels/externalLink44.xml.rels><?xml version="1.0" encoding="UTF-8" standalone="yes"?>
<Relationships xmlns="http://schemas.openxmlformats.org/package/2006/relationships">
<Relationship Id="rId1" Target="food/XLDATA/Global/Modelware/Consumer%20Valuation%20Compsheets/ConsumerValuationCompsheet_08_IndustryHardcoded.xls" TargetMode="External" Type="http://schemas.microsoft.com/office/2006/relationships/xlExternalLinkPath/xlStartup"/>
</Relationships>

</file>

<file path=xl/externalLinks/_rels/externalLink45.xml.rels><?xml version="1.0" encoding="UTF-8" standalone="yes"?>
<Relationships xmlns="http://schemas.openxmlformats.org/package/2006/relationships">
<Relationship Id="rId1" Target="FOOD/XLDATA/SM/HENKEL/COVERAGE.XLS" TargetMode="External" Type="http://schemas.microsoft.com/office/2006/relationships/xlExternalLinkPath/xlStartup"/>
</Relationships>

</file>

<file path=xl/externalLinks/_rels/externalLink46.xml.rels><?xml version="1.0" encoding="UTF-8" standalone="yes"?>
<Relationships xmlns="http://schemas.openxmlformats.org/package/2006/relationships">
<Relationship Id="rId1" Target="internet/Food%20Companies/Nestle/Model/Nestle.xls" TargetMode="External" Type="http://schemas.microsoft.com/office/2006/relationships/xlExternalLinkPath/xlStartup"/>
</Relationships>

</file>

<file path=xl/externalLinks/_rels/externalLink47.xml.rels><?xml version="1.0" encoding="UTF-8" standalone="yes"?>
<Relationships xmlns="http://schemas.openxmlformats.org/package/2006/relationships">
<Relationship Id="rId1" Target="HSHOLD/ispeed/ISpeed97.xls" TargetMode="External" Type="http://schemas.microsoft.com/office/2006/relationships/xlExternalLinkPath/xlStartup"/>
</Relationships>

</file>

<file path=xl/externalLinks/_rels/externalLink48.xml.rels><?xml version="1.0" encoding="UTF-8" standalone="yes"?>
<Relationships xmlns="http://schemas.openxmlformats.org/package/2006/relationships">
<Relationship Id="rId1" Target="internet/Food%20Companies/Nestle/Model/Nestle%20Model.xls" TargetMode="External" Type="http://schemas.microsoft.com/office/2006/relationships/xlExternalLinkPath/xlStartup"/>
</Relationships>

</file>

<file path=xl/externalLinks/_rels/externalLink49.xml.rels><?xml version="1.0" encoding="UTF-8" standalone="yes"?>
<Relationships xmlns="http://schemas.openxmlformats.org/package/2006/relationships">
<Relationship Id="rId1" Target="Documents%20and%20Settings/catheloh/Local%20Settings/Temporary%20Internet%20Files/OLK30/Deferred%20tax%20analysis4.xls" TargetMode="External" Type="http://schemas.microsoft.com/office/2006/relationships/xlExternalLinkPath/xlStartup"/>
</Relationships>

</file>

<file path=xl/externalLinks/_rels/externalLink50.xml.rels><?xml version="1.0" encoding="UTF-8" standalone="yes"?>
<Relationships xmlns="http://schemas.openxmlformats.org/package/2006/relationships">
<Relationship Id="rId1" Target="Documents%20and%20Settings/wilsandr/Desktop/MultipleSecurities" TargetMode="External" Type="http://schemas.microsoft.com/office/2006/relationships/xlExternalLinkPath/xlStartup"/>
</Relationships>

</file>

<file path=xl/externalLinks/_rels/externalLink51.xml.rels><?xml version="1.0" encoding="UTF-8" standalone="yes"?>
<Relationships xmlns="http://schemas.openxmlformats.org/package/2006/relationships">
<Relationship Id="rId1" Target="internet/Food%20Companies/Danone/Danone%20Highlights.xls" TargetMode="External" Type="http://schemas.microsoft.com/office/2006/relationships/xlExternalLinkPath/xlStartup"/>
</Relationships>

</file>

<file path=xl/externalLinks/_rels/externalLink52.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53.xml.rels><?xml version="1.0" encoding="UTF-8" standalone="yes"?>
<Relationships xmlns="http://schemas.openxmlformats.org/package/2006/relationships">
<Relationship Id="rId1" Target="G_model.xls" TargetMode="External" Type="http://schemas.microsoft.com/office/2006/relationships/xlExternalLinkPath/xlStartup"/>
</Relationships>

</file>

<file path=xl/externalLinks/_rels/externalLink54.xml.rels><?xml version="1.0" encoding="UTF-8" standalone="yes"?>
<Relationships xmlns="http://schemas.openxmlformats.org/package/2006/relationships">
<Relationship Id="rId1" Target="HSHOLD/PG/Model/pg_modelnewbreakout.xls" TargetMode="External" Type="http://schemas.microsoft.com/office/2006/relationships/xlExternalLinkPath/xlStartup"/>
</Relationships>

</file>

<file path=xl/externalLinks/_rels/externalLink55.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_rels/externalLink56.xml.rels><?xml version="1.0" encoding="UTF-8" standalone="yes"?>
<Relationships xmlns="http://schemas.openxmlformats.org/package/2006/relationships">
<Relationship Id="rId1" Target="LAPTOP/XLDATA/SM/SM/DANONE/DANONE/J" TargetMode="External" Type="http://schemas.microsoft.com/office/2006/relationships/xlExternalLinkPath/xlStartup"/>
</Relationships>

</file>

<file path=xl/externalLinks/_rels/externalLink57.xml.rels><?xml version="1.0" encoding="UTF-8" standalone="yes"?>
<Relationships xmlns="http://schemas.openxmlformats.org/package/2006/relationships">
<Relationship Id="rId1" Target="food/XLDATA/SM/NESTLE/Nestle.xls" TargetMode="External" Type="http://schemas.microsoft.com/office/2006/relationships/xlExternalLinkPath/xlStartup"/>
</Relationships>

</file>

<file path=xl/externalLinks/_rels/externalLink58.xml.rels><?xml version="1.0" encoding="UTF-8" standalone="yes"?>
<Relationships xmlns="http://schemas.openxmlformats.org/package/2006/relationships">
<Relationship Id="rId1" Target="internet/Food%20Companies/Danone/Model/Danone%20Model.xls" TargetMode="External" Type="http://schemas.microsoft.com/office/2006/relationships/xlExternalLinkPath/xlStartup"/>
</Relationships>

</file>

<file path=xl/externalLinks/_rels/externalLink59.xml.rels><?xml version="1.0" encoding="UTF-8" standalone="yes"?>
<Relationships xmlns="http://schemas.openxmlformats.org/package/2006/relationships">
<Relationship Id="rId1" Target="Documents%20and%20Settings/pscavo/Local%20Settings/Temporary%20Internet%20Files/OLK33/OIT%20Screening.xls" TargetMode="External" Type="http://schemas.microsoft.com/office/2006/relationships/xlExternalLinkPath/xlAlternateStartup"/>
</Relationships>

</file>

<file path=xl/externalLinks/_rels/externalLink60.xml.rels><?xml version="1.0" encoding="UTF-8" standalone="yes"?>
<Relationships xmlns="http://schemas.openxmlformats.org/package/2006/relationships">
<Relationship Id="rId1" Target="Documents%20and%20Settings/U041569/Desktop/clx1105.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ain"/>
      <sheetName val="Historical"/>
      <sheetName val="Quarterly"/>
      <sheetName val="ValuationParts"/>
      <sheetName val="ValuationDCF"/>
      <sheetName val="Tables"/>
      <sheetName val="Aerospacemodel"/>
      <sheetName val="Aerospace"/>
      <sheetName val="Pension"/>
      <sheetName val="OPEB"/>
      <sheetName val="Acquisitions"/>
      <sheetName val="Model_Template"/>
      <sheetName val="Marine"/>
      <sheetName val="Combatmodel"/>
      <sheetName val="Combat Sys"/>
      <sheetName val="ISTmodel"/>
      <sheetName val="Resources"/>
      <sheetName val="Gulf Backlog"/>
      <sheetName val="Gulf Del By Cust"/>
      <sheetName val="DCF Old"/>
      <sheetName val="Gulf AC In Oper"/>
      <sheetName val="mwareDates"/>
      <sheetName val="mwareSettings"/>
      <sheetName val="MainCode"/>
      <sheetName val="Variance Analysis"/>
      <sheetName val="Sum of Parts"/>
      <sheetName val="DCF"/>
      <sheetName val="Scenario Analysis Assumptions"/>
      <sheetName val="MWA RR"/>
      <sheetName val="MW-Cache"/>
      <sheetName val="MWA Pension"/>
      <sheetName val="MWA OPEB"/>
      <sheetName val="Pension (old)"/>
      <sheetName val="OPEB (old)"/>
      <sheetName val="Valuation"/>
      <sheetName val="PensionOld"/>
      <sheetName val="OPEBOld"/>
      <sheetName val="ImportantDisclosures"/>
      <sheetName val="Menu"/>
      <sheetName val="DCF New"/>
      <sheetName val="mwareTaxoPres"/>
      <sheetName val="mwareValPrintout"/>
      <sheetName val="NY UPLOAD"/>
      <sheetName val="NY UPLOAD shadow"/>
      <sheetName val="Parts"/>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Y"/>
      <sheetName val="Ratios"/>
      <sheetName val="Segment EBITDA"/>
      <sheetName val="MISC"/>
      <sheetName val="EPS Lev"/>
      <sheetName val="ReplacementValue"/>
      <sheetName val="ROIC"/>
      <sheetName val="EBIT Graphs"/>
      <sheetName val="New WY-WLL Mid-Peak "/>
      <sheetName val="Pricepaid"/>
      <sheetName val="Midcycle"/>
      <sheetName val="NAV"/>
      <sheetName val="Peakcycle"/>
      <sheetName val="WLL"/>
      <sheetName val="Valuation"/>
      <sheetName val="__FDSCACHE__"/>
      <sheetName val="WY_WLL"/>
      <sheetName val="Summary"/>
      <sheetName val="WYVAL"/>
      <sheetName val="Downtime"/>
      <sheetName val="One Page Summary"/>
      <sheetName val="FCF"/>
      <sheetName val="Contact Log"/>
      <sheetName val="Share Repo"/>
      <sheetName val="Old WY-WLL Mid-Peak"/>
      <sheetName val="COC"/>
      <sheetName val="Old1"/>
      <sheetName val="Old2"/>
      <sheetName val="Old3"/>
      <sheetName val="Old4"/>
      <sheetName val="Sheet2"/>
      <sheetName val="Old5"/>
      <sheetName val="Old6"/>
      <sheetName val="Old7"/>
      <sheetName val="Old8"/>
      <sheetName val="Old9"/>
      <sheetName val="OLD"/>
      <sheetName val="MainCode"/>
      <sheetName val="NY UPLOAD"/>
      <sheetName val="NY UPLOAD shadow"/>
      <sheetName val="MEA Model"/>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P"/>
      <sheetName val="HLF"/>
      <sheetName val="PG"/>
      <sheetName val="KMB"/>
      <sheetName val="CL"/>
      <sheetName val="LINKS"/>
      <sheetName val="#REF"/>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ipped SGA"/>
      <sheetName val="YoY Comps"/>
      <sheetName val="2 Yr forecast"/>
      <sheetName val="UK Top HC Brands"/>
      <sheetName val="US Top HC Brands"/>
      <sheetName val="2 Year Avg Sales "/>
      <sheetName val="Two-Year Avg Org Growth"/>
      <sheetName val="Share Repo Commentary "/>
      <sheetName val="HPC Deal Multiples"/>
      <sheetName val="5 YrRevGrowth ex-NexxusTres"/>
      <sheetName val="Share Repurchases"/>
      <sheetName val="Share Repurchase Table"/>
      <sheetName val="EPS Accretion % Pro-Forma Deal"/>
      <sheetName val="Noxzema Sensitivity"/>
      <sheetName val="SHAMPOO LEAD SCHEDULE"/>
      <sheetName val="IRI_Shampoo_Price_Points"/>
      <sheetName val="Organic Sales Growth_Geo"/>
      <sheetName val="Hair Care Dollar Share"/>
      <sheetName val="Top_HC_and_SC_Brands"/>
      <sheetName val="Shampoo_ Price Points"/>
      <sheetName val="Private_Label"/>
      <sheetName val="C1400-new"/>
      <sheetName val="Operating_Margin_Walk"/>
      <sheetName val="Top Global HairCare markets "/>
      <sheetName val="Hair_Care_Scanner_Data"/>
      <sheetName val="ACV_Geographic_Mix"/>
      <sheetName val="ACV_Brand_Mix"/>
      <sheetName val="C1400"/>
      <sheetName val="B1400"/>
      <sheetName val="C3400v1"/>
      <sheetName val="Global_HPC_Select_Cats"/>
      <sheetName val="ACV_vs_Hair_Care_Cat_Growth"/>
      <sheetName val="US_Hair_Care_Share_Change"/>
      <sheetName val="US_Hair_Care_Mkt_Share"/>
      <sheetName val="O1200"/>
      <sheetName val="Leverage_Analysis"/>
      <sheetName val="CoreSG&amp;A"/>
      <sheetName val="HPC_SG&amp;A_%_Revenues"/>
      <sheetName val="FX_Impact"/>
      <sheetName val="HPC_Net_Debt_EBITDA"/>
      <sheetName val="Nexxus_Rev_CAGR"/>
      <sheetName val="Share_Repurchases"/>
      <sheetName val="ACV_New_Product_Growth"/>
      <sheetName val="IRI_New_Product_Contribution"/>
      <sheetName val="Tresemme_VO5_Intl_Growth"/>
      <sheetName val="New_Product_Contribution"/>
      <sheetName val="New Product % total Org Growth"/>
      <sheetName val="Nexxus_Tracked_Channel"/>
      <sheetName val="MS_vs_Consensus"/>
      <sheetName val="BrandMix"/>
      <sheetName val="5 Year CAGR Comp"/>
      <sheetName val="ACV Topline Org Growth Bar"/>
      <sheetName val="GM Forecast"/>
      <sheetName val="L4Q_N4Q Comp"/>
      <sheetName val="N3Q_Comp_Industry"/>
      <sheetName val="Data"/>
      <sheetName val="EV-EBITDA_HPC"/>
      <sheetName val="__FDSCACHE__"/>
      <sheetName val="BullBaseBear"/>
      <sheetName val="Org Sales Growth"/>
      <sheetName val="A&amp;P"/>
      <sheetName val="A&amp;P (2)"/>
      <sheetName val="A&amp;P (3)"/>
      <sheetName val="DG_Performance"/>
      <sheetName val="DG_Performance (2)"/>
      <sheetName val="Simple_EPS_OpLev"/>
      <sheetName val="ShampooVsLaundry"/>
      <sheetName val="#REF"/>
      <sheetName val="EV_EBITDA_HPC"/>
      <sheetName val="mware"/>
      <sheetName val="settings"/>
      <sheetName val="master"/>
      <sheetName val="BarChart"/>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1070"/>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DA"/>
      <sheetName val="SD&amp;A"/>
      <sheetName val="Resin"/>
      <sheetName val="EM-DM Growth"/>
      <sheetName val="Topline Sensitivity"/>
      <sheetName val="SLDS Cat Mix_Bar"/>
      <sheetName val="SLDSRegionSales_Bar"/>
      <sheetName val="SLDS Category Mix"/>
      <sheetName val="SLDS Region Sales Mix"/>
      <sheetName val="EM Organic Growth Sensitivity"/>
      <sheetName val="TUP_EBIT_Mix"/>
      <sheetName val="TUP_Revenue_Mix"/>
      <sheetName val="TUP_Rev_Mix"/>
      <sheetName val="SMID HPC 5 Year Org Growth"/>
      <sheetName val="EM vs S&amp;P"/>
      <sheetName val="EM Growth"/>
      <sheetName val="NAmerica-GermanyDrag"/>
      <sheetName val="EMToplineBuild"/>
      <sheetName val="NAmer_Germ_Drag"/>
      <sheetName val="NA Old Trends"/>
      <sheetName val="TUPNA_Old_Trends"/>
      <sheetName val="TUPNA_New_Trends"/>
      <sheetName val="GermOrgSales_Euro Margins"/>
      <sheetName val="European_Sales_Op_Margins"/>
      <sheetName val="L1071"/>
      <sheetName val="TUP Org Sales Growth"/>
      <sheetName val="2 Year StackedOrg Sales"/>
      <sheetName val="MarketvsMSOpIncome"/>
      <sheetName val="MarketvsMSOpIncome (2)"/>
      <sheetName val="LTM vs NTM Comps"/>
      <sheetName val="Traling 2 Year Org vs MS F-Cast"/>
      <sheetName val="AVP Org Growth"/>
      <sheetName val="HPC_Net_Debt_EBITDA"/>
      <sheetName val="2 Year Organic Sales %"/>
      <sheetName val="EPS vs. Street_and_Company"/>
      <sheetName val="Active-Org Sales Gap"/>
      <sheetName val="ActivevOrgRegres-1Qtr"/>
      <sheetName val="ActivevOrgRegres-2Qtr"/>
      <sheetName val="TotalOrgRegres-1Qtr "/>
      <sheetName val="TotalOrgRegres-2Qtr "/>
      <sheetName val="2000-2005EPS_OMChange"/>
      <sheetName val="EM as % of Mix"/>
      <sheetName val="Org Sales Growth"/>
      <sheetName val="Est Above Consensus"/>
      <sheetName val="OPMSvsConsensus"/>
      <sheetName val="RevMSvsConsensus"/>
      <sheetName val="Est Above Consensus (2)"/>
      <sheetName val="ROIC_ROIC-WACC"/>
      <sheetName val="R3020"/>
      <sheetName val="Adj PE "/>
      <sheetName val="Data"/>
      <sheetName val="EV-EBITDA"/>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ed Base"/>
      <sheetName val="NY UPLOAD"/>
      <sheetName val="Model_Template"/>
      <sheetName val="CCE"/>
      <sheetName val="CCE Channels"/>
      <sheetName val="BS_CF"/>
      <sheetName val="mwareTaxoPres"/>
      <sheetName val="CCE Pension Template"/>
      <sheetName val="VALUATION '05"/>
      <sheetName val="mwarePreview"/>
      <sheetName val="2006 Template"/>
      <sheetName val="VALUATION '05 sensitivity_a"/>
      <sheetName val="Margin Link"/>
      <sheetName val="Summary Template"/>
      <sheetName val="mwareValPrintout"/>
      <sheetName val="VALUATION '04"/>
      <sheetName val="VALUATION '03"/>
      <sheetName val="VALUATION"/>
      <sheetName val="VALUATION '03 Sensitivity"/>
      <sheetName val="CCE Topline"/>
      <sheetName val="CCE Pension"/>
      <sheetName val="EVA CALCULATIONS"/>
      <sheetName val="DISCLOSED FUNDING"/>
      <sheetName val="ONGOING"/>
      <sheetName val="TOPLINE"/>
      <sheetName val="1Q03"/>
      <sheetName val="From CCE Model Extra"/>
      <sheetName val="Q2 "/>
      <sheetName val="Commments"/>
      <sheetName val="MARKETING SUPPORT"/>
      <sheetName val="Sheet4"/>
      <sheetName val="Sensitivity"/>
      <sheetName val="GUIDANCE"/>
      <sheetName val="02"/>
      <sheetName val="EXHIBITS"/>
      <sheetName val="ACCOUNTING CHANGE"/>
      <sheetName val="Sheet5"/>
      <sheetName val="Sheet3"/>
      <sheetName val="EUROPE 20% premium"/>
      <sheetName val="OUTLOOK"/>
      <sheetName val="TOP VOL PRICING"/>
      <sheetName val="EUROPE"/>
      <sheetName val="CCE DCF"/>
      <sheetName val="CCE MARGINAL RETURNS"/>
      <sheetName val="CRISIS"/>
      <sheetName val="Sheet1"/>
      <sheetName val="DCF"/>
      <sheetName val="Sheet2"/>
      <sheetName val="Coke Canada"/>
      <sheetName val="NPV"/>
      <sheetName val="mwareDates_38446_3792434"/>
      <sheetName val="mwareDates"/>
      <sheetName val="mwareSettings"/>
      <sheetName val="NY UPLOAD shadow"/>
      <sheetName val="mStartup"/>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s Data"/>
      <sheetName val="Leverage_Retrieve"/>
      <sheetName val="Leverage_Bevs Chart"/>
      <sheetName val="__FDSCACHE__"/>
      <sheetName val="Leverage_HPC Chart"/>
      <sheetName val="Beer_Import_Share_US_Consumptio"/>
      <sheetName val="Levarage_Summaries"/>
      <sheetName val="Leverage_Non-Alcohol"/>
      <sheetName val="Leverage_Alcohol"/>
      <sheetName val="Sheet1"/>
      <sheetName val="Staples_Comp_Sheet"/>
      <sheetName val="EM vs S&amp;P"/>
      <sheetName val="EM Index"/>
      <sheetName val="CSD_BEER_Demand_Elasticity"/>
      <sheetName val="Vanilla Coke"/>
      <sheetName val="LRB Consumption - 2007"/>
      <sheetName val="LRB Consumption - 2000"/>
      <sheetName val="LRB Mix"/>
      <sheetName val="EM as % of Mix"/>
      <sheetName val="Resin"/>
      <sheetName val="TotalOrgRegres-1Qtr "/>
      <sheetName val="TUP Org Sales Growth"/>
      <sheetName val="AVP Org Growth"/>
      <sheetName val="SLDSRegionSales_Bar"/>
      <sheetName val="LTM vs NTM Comps"/>
      <sheetName val="2 Year Organic Sales %"/>
      <sheetName val="TUPNA_New_Trends"/>
      <sheetName val="EM-DM Growth"/>
      <sheetName val="SLDS Region Sales Mix"/>
      <sheetName val="SLDS Cat Mix_Bar"/>
      <sheetName val="2 Year StackedOrg Sales"/>
      <sheetName val="2000-2005EPS_OMChange"/>
      <sheetName val="EMToplineBuild"/>
      <sheetName val="HPC_Net_Debt_EBITDA"/>
      <sheetName val="TotalOrgRegres-2Qtr "/>
      <sheetName val="EPS vs. Street_and_Company"/>
      <sheetName val="European_Sales_Op_Margins"/>
      <sheetName val="SMID HPC 5 Year Org Growth"/>
      <sheetName val="ActivevOrgRegres-2Qtr"/>
      <sheetName val="SD&amp;A"/>
      <sheetName val="Est Above Consensus"/>
      <sheetName val="Est Above Consensus (2)"/>
      <sheetName val="MarketvsMSOpIncome"/>
      <sheetName val="TUP_Rev_Mix"/>
      <sheetName val="OPMSvsConsensus"/>
      <sheetName val="TUP_EBIT_Mix"/>
      <sheetName val="ActivevOrgRegres-1Qtr"/>
      <sheetName val="Traling 2 Year Org vs MS F-Cast"/>
      <sheetName val="Org Sales Growth"/>
      <sheetName val="TUPNA_Old_Trends"/>
      <sheetName val="SLDS Category Mix"/>
      <sheetName val="NAmer_Germ_Drag"/>
      <sheetName val="RevMSvsConsensus"/>
      <sheetName val="GermOrgSales_Euro Margins"/>
      <sheetName val="EM Growth"/>
      <sheetName val="Active-Org Sales Gap"/>
      <sheetName val="L1071"/>
      <sheetName val="SDA"/>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Data"/>
      <sheetName val="Unadj. PE"/>
      <sheetName val="Unadj. PE (2)"/>
      <sheetName val="Adj PE "/>
      <sheetName val="EV-EBITDA"/>
      <sheetName val="EV-EBITDA (2)"/>
      <sheetName val="Data 2_Adj D&amp;A and Tax"/>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_Template"/>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_Template"/>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1"/>
      <sheetName val="Restructuring + FTG "/>
      <sheetName val="Savings Exhibit"/>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Sheet"/>
      <sheetName val="FINANCIAL STATEMENTS"/>
      <sheetName val="QTRLY - REGIONAL"/>
      <sheetName val="GPS - Coca-Cola Co."/>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7 EPS Scenario"/>
      <sheetName val="#REF"/>
      <sheetName val="CCE"/>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UMMARY"/>
      <sheetName val="EUROPE TEMPLATE"/>
      <sheetName val="LOB_Qs"/>
      <sheetName val="RI"/>
      <sheetName val="VALUATION"/>
      <sheetName val="PG Earn"/>
      <sheetName val="WELLA_IMPACT"/>
      <sheetName val="VAL_SENSITIVITY"/>
      <sheetName val="EVA CALCULATIONS"/>
      <sheetName val="TOPLINE"/>
      <sheetName val="xbrlPreview"/>
      <sheetName val="Pipeline"/>
      <sheetName val="Guidance"/>
      <sheetName val="QUESTIONS"/>
      <sheetName val="PROFORMA"/>
      <sheetName val="ASSUMPTIONS"/>
      <sheetName val="Algo"/>
      <sheetName val="PORTFOLIO"/>
      <sheetName val="NY UPLOAD"/>
      <sheetName val="PROFORMA_ROIC"/>
      <sheetName val="Options"/>
      <sheetName val="Status-TO DO"/>
      <sheetName val="Organization 2005"/>
      <sheetName val="WELLA Qs"/>
      <sheetName val="WELLA TRANSACTION"/>
      <sheetName val="CORE GROWTH"/>
      <sheetName val="WELLA_Q"/>
      <sheetName val="FAS142"/>
      <sheetName val="GEO"/>
      <sheetName val="Top brands"/>
      <sheetName val="__FDSCACHE__"/>
      <sheetName val="ORGANIC"/>
      <sheetName val="HQ_RESTRUCTURING"/>
      <sheetName val="ANALYST MEETING 02"/>
      <sheetName val="Restructuring summary"/>
      <sheetName val="Calendarization"/>
      <sheetName val="SNACKS &amp; BEVERAGES"/>
      <sheetName val="CLAIROL"/>
      <sheetName val="WELLA_YEAR"/>
      <sheetName val="COGs"/>
      <sheetName val="xbrldates"/>
      <sheetName val="LINKS"/>
      <sheetName val="xbrlSettings"/>
      <sheetName val="NY UPLOAD shadow"/>
      <sheetName val="Inc-Yr Summary"/>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RI "/>
      <sheetName val="__FDSCACHE__"/>
      <sheetName val="A"/>
      <sheetName val="P&amp;L"/>
      <sheetName val="Breakdown"/>
      <sheetName val="Categories"/>
      <sheetName val="Q_Breakdown"/>
      <sheetName val="Q_P&amp;L"/>
      <sheetName val="BS"/>
      <sheetName val="CF"/>
      <sheetName val="Ratios"/>
      <sheetName val="Brands"/>
      <sheetName val="ADJUST"/>
      <sheetName val="SUMMARY"/>
      <sheetName val="OREP.PA"/>
      <sheetName val="GE3"/>
      <sheetName val="Total_Assets"/>
      <sheetName val="GE Upload"/>
      <sheetName val="Valuation"/>
      <sheetName val="SASY.L GE"/>
      <sheetName val="GELink Disclosures All"/>
      <sheetName val="Sheet1"/>
      <sheetName val="Triggers"/>
      <sheetName val="GELink Disclosures SASY.L GE"/>
      <sheetName val="B"/>
      <sheetName val="D"/>
      <sheetName val="Inc-Yr Summary"/>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ntents"/>
      <sheetName val="RI"/>
      <sheetName val="SOP"/>
      <sheetName val="A"/>
      <sheetName val="P&amp;L"/>
      <sheetName val="Breakdown"/>
      <sheetName val="Q_Breakdown"/>
      <sheetName val="Q_P&amp;L"/>
      <sheetName val="BS"/>
      <sheetName val="CF"/>
      <sheetName val="CF DM"/>
      <sheetName val="Sheet1"/>
      <sheetName val="DB DMm"/>
      <sheetName val="P&amp;L DM"/>
      <sheetName val="BS DMm"/>
      <sheetName val="Currency Impact"/>
      <sheetName val="GE3"/>
      <sheetName val="Ratios"/>
      <sheetName val="Sheet3"/>
      <sheetName val="GE Upload"/>
      <sheetName val="BEIG.F"/>
      <sheetName val="Split"/>
      <sheetName val="Summary"/>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Valuation"/>
      <sheetName val="All-Valuations"/>
      <sheetName val="Revenue Breakdown"/>
      <sheetName val="Income Statement"/>
      <sheetName val="Margin Check"/>
      <sheetName val="Financial Statistics"/>
      <sheetName val="ROIC-EVA"/>
      <sheetName val="FX"/>
      <sheetName val="Balance Sheet"/>
      <sheetName val="Cash Flow"/>
      <sheetName val="NY UPLOAD"/>
      <sheetName val="DCF-EVA "/>
      <sheetName val="Raw Materials"/>
      <sheetName val="Interest Calculation"/>
      <sheetName val="RONA"/>
      <sheetName val="Main Cover"/>
      <sheetName val="__FDSCACHE__"/>
      <sheetName val="Cover"/>
      <sheetName val="Sum-of-parts"/>
      <sheetName val="Variance"/>
      <sheetName val="Guidance-Notes"/>
      <sheetName val="Restructuring"/>
      <sheetName val="capex"/>
      <sheetName val="Segment Data"/>
      <sheetName val="Cost-Structure"/>
      <sheetName val="Historic"/>
      <sheetName val="old-rubbermaid"/>
      <sheetName val="Old - Newell -IS"/>
      <sheetName val="Chart"/>
      <sheetName val="Depreciation Schedule"/>
      <sheetName val="NY UPLOAD shadow"/>
      <sheetName val="mStartup"/>
      <sheetName val="MainCode"/>
      <sheetName val="Module1"/>
      <sheetName val="map-chart"/>
      <sheetName val="Profitibility Map Data"/>
      <sheetName val="Qtr. Variance"/>
      <sheetName val="Model_Template"/>
      <sheetName val="Inc-Yr Summary"/>
    </sheetNames>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__FDSCACHE__"/>
      <sheetName val="Home"/>
      <sheetName val="Global Valuations"/>
      <sheetName val="Performance"/>
      <sheetName val="BarChart"/>
      <sheetName val="Skeleton"/>
      <sheetName val="master"/>
      <sheetName val="settings"/>
      <sheetName val="MetricRanges"/>
      <sheetName val="mware"/>
      <sheetName val="calc"/>
      <sheetName val="factset"/>
      <sheetName val="Food_Val"/>
      <sheetName val="HPC_Val"/>
      <sheetName val="Tob_Val"/>
    </sheetNames>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dt"/>
      <sheetName val="Input"/>
      <sheetName val="B"/>
      <sheetName val="A"/>
      <sheetName val="__FDSCACHE__"/>
      <sheetName val="Globeuro"/>
      <sheetName val="D"/>
      <sheetName val="Implied"/>
      <sheetName val="Sheet1"/>
      <sheetName val="VAL TAB"/>
      <sheetName val="Comps"/>
      <sheetName val="Chart3"/>
      <sheetName val="Chart_Data"/>
      <sheetName val="VALFEURO"/>
      <sheetName val="MidCaps"/>
      <sheetName val="C1"/>
      <sheetName val="C3"/>
      <sheetName val="C5"/>
      <sheetName val="Chart1"/>
      <sheetName val="Chart2"/>
      <sheetName val="EVEBITDA ROCE"/>
      <sheetName val="Sector"/>
      <sheetName val="P-Es"/>
      <sheetName val="P-CEs"/>
      <sheetName val="Ev-Ebitdas"/>
      <sheetName val="C7"/>
      <sheetName val="C8"/>
      <sheetName val="C9"/>
    </sheetNames>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Financial Statements"/>
      <sheetName val="Regis"/>
      <sheetName val="Segment-Divisionwise"/>
      <sheetName val="NewACV_Financial Statements"/>
      <sheetName val="Consumer-Segment"/>
      <sheetName val="ConsumerP&amp;L"/>
      <sheetName val="Sally_Financial Statements"/>
      <sheetName val="Sally-Segment"/>
      <sheetName val="Sheet2"/>
      <sheetName val="Consumer Brands"/>
      <sheetName val="Value"/>
      <sheetName val="Misc"/>
      <sheetName val="Industry_NetDebt_EBITDA"/>
      <sheetName val="Valuation-DCF"/>
      <sheetName val="Sally - Stores"/>
      <sheetName val="Sally (Data required in red)"/>
      <sheetName val="CosmoProf"/>
      <sheetName val="Print"/>
      <sheetName val="Front"/>
      <sheetName val="Overview"/>
      <sheetName val="Assumptions"/>
      <sheetName val="Industry,Company Overview"/>
      <sheetName val="Income statement"/>
      <sheetName val="Balance sheet"/>
      <sheetName val="Cashflows"/>
      <sheetName val="Valuation"/>
      <sheetName val="Outputs"/>
      <sheetName val="Company specific"/>
      <sheetName val="Segment Information"/>
      <sheetName val="Report"/>
      <sheetName val="Chart1"/>
      <sheetName val="Chart2"/>
      <sheetName val="Sheet1 (2)"/>
      <sheetName val="Questions"/>
      <sheetName val="RatingsRatios"/>
      <sheetName val="Quarter"/>
      <sheetName val="annual"/>
      <sheetName val="EPS Growth Composition"/>
      <sheetName val="Quarter Print"/>
      <sheetName val="Sheet1"/>
      <sheetName val="Sheet3"/>
      <sheetName val="Sheet4"/>
      <sheetName val="0_ Contents"/>
      <sheetName val="WPTT"/>
      <sheetName val="WPGH "/>
      <sheetName val="Macros"/>
      <sheetName val="Summary"/>
      <sheetName val="Variance"/>
      <sheetName val="Actuals-Forecast by Cost Driver"/>
      <sheetName val="Headcount"/>
      <sheetName val="BVAR - Detailed"/>
      <sheetName val="BVAR - Prior Year Detailed"/>
      <sheetName val="Prior Forecast"/>
      <sheetName val="NHSI Stations - model 2001"/>
      <sheetName val="NHSI Stations - 2002"/>
      <sheetName val="station renewals"/>
      <sheetName val="contracted revenue"/>
      <sheetName val="total M+"/>
      <sheetName val="summary by dept"/>
      <sheetName val="202457"/>
      <sheetName val="202557"/>
      <sheetName val="202657"/>
      <sheetName val="203557"/>
      <sheetName val="203757"/>
      <sheetName val="203857"/>
      <sheetName val="206557"/>
      <sheetName val="208057"/>
      <sheetName val="new hires"/>
      <sheetName val="205202"/>
      <sheetName val="B1070"/>
    </sheetNames>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Disclosures All"/>
      <sheetName val="Inputs"/>
      <sheetName val="Index"/>
      <sheetName val="RankingBarCharts"/>
      <sheetName val="ScatterCharts"/>
      <sheetName val="Val_MW"/>
      <sheetName val="CoreMetrics_MW"/>
      <sheetName val="Perf_MW"/>
      <sheetName val="Valuation"/>
      <sheetName val="Performance"/>
      <sheetName val="CoreMetrics"/>
      <sheetName val="__FDSCACHE__"/>
      <sheetName val="IBES"/>
      <sheetName val="Team"/>
      <sheetName val="Nitro"/>
      <sheetName val="Analysis"/>
      <sheetName val="Euromonitor_Australia"/>
      <sheetName val="Rev_Profit_Mix"/>
      <sheetName val="GeoRev"/>
      <sheetName val="GeoProfit"/>
      <sheetName val="ProdMix"/>
      <sheetName val="ChannelMix"/>
      <sheetName val="GrowthRates"/>
      <sheetName val="Brands"/>
      <sheetName val="BubChart"/>
      <sheetName val="Raw Data"/>
      <sheetName val="Europe - LC Sales Growth"/>
      <sheetName val="Euro Model"/>
    </sheetNames>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nilla Coke Lead"/>
      <sheetName val="Lead"/>
      <sheetName val="Raw Data"/>
      <sheetName val="Sheet3"/>
      <sheetName val="Leverage_Alcohol"/>
      <sheetName val="LRB Consumption - 2000"/>
      <sheetName val="Leverage_Non-Alcohol"/>
      <sheetName val="LRB Consumption - 2007"/>
      <sheetName val="Vanilla Coke"/>
      <sheetName val="Beer_Import_Share_US_Consumptio"/>
      <sheetName val="CSD_BEER_Demand_Elasticity"/>
      <sheetName val="Leverage_HPC Chart"/>
    </sheetNames>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HistoryAndDistribution"/>
      <sheetName val="Disclaimer"/>
      <sheetName val="Summary"/>
      <sheetName val="BOW Model"/>
      <sheetName val="Powerpoint"/>
      <sheetName val="Valuation"/>
      <sheetName val="DCF"/>
      <sheetName val="ResidualInc"/>
      <sheetName val="NAV"/>
      <sheetName val="Mid-PeakEPS"/>
      <sheetName val="PriceVsProfit"/>
      <sheetName val="Trading"/>
      <sheetName val="Segment EBITDA"/>
      <sheetName val="EPS Leverage"/>
      <sheetName val="Capacity"/>
      <sheetName val="2001 Mills"/>
      <sheetName val="Downtime"/>
      <sheetName val="ProFormaHistoricals"/>
      <sheetName val="MergerSummary"/>
      <sheetName val="AllianceSummary"/>
      <sheetName val="Timberland"/>
      <sheetName val="Asset Sales"/>
      <sheetName val="Conversions"/>
      <sheetName val="Newsprint South"/>
      <sheetName val="AVR Terms"/>
      <sheetName val="NY UPLOAD shadow"/>
      <sheetName val="NY UPLOAD"/>
      <sheetName val="MainCode"/>
      <sheetName val="Stats"/>
      <sheetName val="EVA"/>
      <sheetName val="Annual Inc.St."/>
      <sheetName val="EV_EBITDA"/>
      <sheetName val="Segments"/>
      <sheetName val="Integration"/>
      <sheetName val="Qtrly Inc.St."/>
      <sheetName val="Bal Sheet"/>
      <sheetName val="Cash Flow"/>
    </sheetNames>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P&amp;L"/>
    </sheetNames>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Summary"/>
      <sheetName val="TIN Model"/>
      <sheetName val="Powerpoint"/>
      <sheetName val="DCF"/>
      <sheetName val="Valuation"/>
      <sheetName val="ResidualInc"/>
      <sheetName val="NewMidPeak"/>
      <sheetName val="NAV"/>
      <sheetName val="NAV2"/>
      <sheetName val="NAV3"/>
      <sheetName val="Segment EBITDA"/>
      <sheetName val="EPSLev"/>
      <sheetName val="Mills"/>
      <sheetName val="Timberlands"/>
      <sheetName val="Downtime"/>
      <sheetName val="MainCode"/>
      <sheetName val="Acquisitions"/>
      <sheetName val="NY UPLOAD"/>
      <sheetName val="NY UPLOAD shadow"/>
      <sheetName val="BOW Model"/>
    </sheetNames>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with L'Oreal"/>
      <sheetName val="A"/>
      <sheetName val="B"/>
      <sheetName val="C"/>
      <sheetName val="D"/>
      <sheetName val="EBIT"/>
      <sheetName val="E"/>
      <sheetName val="G"/>
      <sheetName val="Summary"/>
      <sheetName val="OLD"/>
      <sheetName val="Ratios"/>
      <sheetName val="GE Upload"/>
      <sheetName val="GE 2"/>
      <sheetName val="NESZn.S"/>
      <sheetName val="GE3"/>
      <sheetName val="Module1"/>
    </sheetNames>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arter"/>
      <sheetName val="annual"/>
      <sheetName val="EPS Growth Composition"/>
      <sheetName val="Quarter Print"/>
      <sheetName val="Sheet1"/>
      <sheetName val="Sheet2"/>
      <sheetName val="Sheet3"/>
      <sheetName val="Sheet4"/>
    </sheetNames>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atingsHistoryAndDistribution"/>
      <sheetName val="Stats"/>
      <sheetName val="Qtrly Inc.St."/>
      <sheetName val="Annual Inc.St."/>
      <sheetName val="Bal Sheet"/>
      <sheetName val="Cash Flow"/>
      <sheetName val="__FDSCACHE__"/>
      <sheetName val="DCF"/>
      <sheetName val="EVA"/>
      <sheetName val="EV_EBITDA"/>
      <sheetName val="Segments"/>
      <sheetName val="GEO"/>
      <sheetName val="Integration"/>
      <sheetName val="Acct"/>
      <sheetName val="Recent News"/>
      <sheetName val="Summary"/>
      <sheetName val="MainCode"/>
      <sheetName val="EPS Variance"/>
      <sheetName val="EBS Cover"/>
      <sheetName val="IndexInformation"/>
      <sheetName val="ImportantDisclosures"/>
      <sheetName val="OtherDisclosures"/>
      <sheetName val="GrowthAnalysis"/>
      <sheetName val="TradingRange2"/>
      <sheetName val="Powerpoint"/>
      <sheetName val="Variance-Downgrade"/>
      <sheetName val="Balance"/>
    </sheetNames>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Sheet"/>
      <sheetName val="FINANCIAL STATEMENTS"/>
      <sheetName val="QTRLY - REGIONAL"/>
      <sheetName val="RESTRUCTURING CHARGES"/>
      <sheetName val="08 raw mats"/>
      <sheetName val="GPS - Colgate-Palmolive"/>
      <sheetName val="Accr_Dil"/>
      <sheetName val="HPC Project"/>
    </sheetNames>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amp; profit growth"/>
      <sheetName val="A"/>
      <sheetName val="B"/>
      <sheetName val="C -Euro"/>
      <sheetName val="E"/>
      <sheetName val="Quarterly"/>
      <sheetName val="F"/>
      <sheetName val="G"/>
      <sheetName val="H"/>
      <sheetName val="Sheet3"/>
      <sheetName val="GE Upload"/>
      <sheetName val="Summary"/>
      <sheetName val="Ratios"/>
      <sheetName val="DCF"/>
      <sheetName val="ROCE2"/>
      <sheetName val="Old P&amp;L"/>
      <sheetName val="DANO.PA"/>
      <sheetName val="Net_Operating"/>
      <sheetName val="C"/>
      <sheetName val="old break"/>
      <sheetName val="Business Description"/>
      <sheetName val="ROCE"/>
      <sheetName val="GE 2"/>
      <sheetName val="GE3"/>
      <sheetName val="Sheet1"/>
      <sheetName val="Div Break chart"/>
      <sheetName val="Geo sales break chart"/>
      <sheetName val="Danone"/>
      <sheetName val="Columns"/>
      <sheetName val="Res Inc"/>
      <sheetName val="Res Inc Euro"/>
      <sheetName val="Euro"/>
      <sheetName val="Break99"/>
      <sheetName val="Break98"/>
      <sheetName val="Roce 3"/>
      <sheetName val="sales"/>
      <sheetName val="geo"/>
      <sheetName val="A-Euro"/>
      <sheetName val="Break97"/>
      <sheetName val="Sheet2"/>
      <sheetName val="GE Old"/>
      <sheetName val="Chart1"/>
      <sheetName val="GE Euro"/>
      <sheetName val="Chart2"/>
      <sheetName val="12mths target-RI Profit Growth"/>
      <sheetName val="Fair Value-RI Profit Growth"/>
      <sheetName val="cogs"/>
      <sheetName val="Sheet4"/>
      <sheetName val="D"/>
      <sheetName val="Scenario"/>
      <sheetName val="PV Graph Data"/>
      <sheetName val="_1058__FDSAUDITLINK__"/>
    </sheetNames>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amp; profit growth"/>
      <sheetName val="A"/>
      <sheetName val="B"/>
      <sheetName val="C -Euro"/>
      <sheetName val="E"/>
      <sheetName val="Quarterly"/>
      <sheetName val="F"/>
      <sheetName val="G"/>
      <sheetName val="H"/>
      <sheetName val="Sheet3"/>
      <sheetName val="GE Upload"/>
      <sheetName val="Summary"/>
      <sheetName val="Ratios"/>
      <sheetName val="DCF"/>
      <sheetName val="ROCE2"/>
      <sheetName val="Old P&amp;L"/>
      <sheetName val="DANO.PA"/>
      <sheetName val="Net_Operating"/>
      <sheetName val="C"/>
      <sheetName val="old break"/>
      <sheetName val="Business Description"/>
      <sheetName val="ROCE"/>
      <sheetName val="GE 2"/>
      <sheetName val="GE3"/>
      <sheetName val="Sheet1"/>
      <sheetName val="Div Break chart"/>
      <sheetName val="Geo sales break chart"/>
      <sheetName val="BS"/>
      <sheetName val="P&amp;L"/>
      <sheetName val="Balance sheet"/>
      <sheetName val="Profit &amp; Loss"/>
      <sheetName val="J"/>
      <sheetName val="SQLSheet"/>
      <sheetName val="Model"/>
      <sheetName val="GAP Model"/>
    </sheetNames>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ImportantDisclosures"/>
      <sheetName val="IndexInformation"/>
      <sheetName val="Income"/>
      <sheetName val="Sheet1"/>
      <sheetName val="Scenario"/>
      <sheetName val="MS_IRI_Methodology"/>
      <sheetName val="MARKET_SHARE ($)_RAW_DATA"/>
      <sheetName val="NEXXUS_RAW_DATA"/>
      <sheetName val="HAIR_CARE_MARKET SHARE ROLL-UP"/>
      <sheetName val="TOTAL_ACV_DOLLAR_SALES"/>
      <sheetName val="Euro vs. PM"/>
      <sheetName val="Ruble"/>
      <sheetName val="GWP"/>
      <sheetName val="Income Statement"/>
      <sheetName val="Margins"/>
      <sheetName val="SSB Nielsen Sales"/>
      <sheetName val="Comps"/>
      <sheetName val="Switches"/>
      <sheetName val="EBITDA"/>
      <sheetName val="TimeSeries"/>
      <sheetName val="Valuation Analyzer"/>
      <sheetName val="GWP-WLine"/>
      <sheetName val="TS_Stnd_Dev_Band"/>
      <sheetName val="Print "/>
      <sheetName val="Lookup"/>
      <sheetName val="Input"/>
      <sheetName val="99 cons YTD"/>
      <sheetName val="KPN"/>
      <sheetName val="B"/>
      <sheetName val="Ratios"/>
      <sheetName val="C"/>
      <sheetName val="summary"/>
      <sheetName val="rev change analysis"/>
      <sheetName val="Realizations vs Average"/>
      <sheetName val="O1000"/>
      <sheetName val="Oil Consumption – barrels"/>
    </sheetNames>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s"/>
      <sheetName val="SegmentBreakdown"/>
      <sheetName val="OldSegmentBreakdown"/>
      <sheetName val="SpinBrush&amp;OrangeGlo"/>
      <sheetName val="Orajel_Assumptions"/>
      <sheetName val="2009_AnalystDay"/>
      <sheetName val="c1"/>
    </sheetNames>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sheetName val="A"/>
      <sheetName val="P&amp;L"/>
      <sheetName val="Split"/>
      <sheetName val="Bevs"/>
      <sheetName val="Conf"/>
      <sheetName val="H_P&amp;L"/>
      <sheetName val="H_Split"/>
      <sheetName val="Sum_of_Parts"/>
      <sheetName val="Q_DPSU"/>
      <sheetName val="BS"/>
      <sheetName val="CF"/>
      <sheetName val="Associates"/>
      <sheetName val="Acquisition"/>
      <sheetName val="Ratios"/>
      <sheetName val="CBRY.L"/>
      <sheetName val="Temp"/>
      <sheetName val="Sheet2"/>
      <sheetName val="GE Upload"/>
      <sheetName val="Geog"/>
      <sheetName val="UK_Gaap"/>
      <sheetName val="Currency_Breakdown"/>
      <sheetName val="Sales_95-99"/>
      <sheetName val="Split_95-99"/>
      <sheetName val="H_Split_96-99"/>
      <sheetName val="GE 2"/>
      <sheetName val="GE3"/>
      <sheetName val="Financials"/>
      <sheetName val="J"/>
      <sheetName val="B"/>
      <sheetName val="C"/>
      <sheetName val="detail9'96_oh"/>
    </sheetNames>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mwareValPrintout"/>
      <sheetName val="Main"/>
      <sheetName val="Tables"/>
      <sheetName val="Quarterly"/>
      <sheetName val="Scenario Assumptions"/>
      <sheetName val="Scenario Output"/>
      <sheetName val="Scenario DCF"/>
      <sheetName val="DCF07"/>
      <sheetName val="DCF08"/>
      <sheetName val="__FDSCACHE__"/>
      <sheetName val="C4I"/>
      <sheetName val="RSTA"/>
      <sheetName val="SS"/>
      <sheetName val="TS"/>
      <sheetName val="Valuation Metrics"/>
      <sheetName val="Valuation"/>
      <sheetName val="SumOfParts"/>
      <sheetName val="Model_Template"/>
      <sheetName val="Historical"/>
      <sheetName val="Acquisitions"/>
      <sheetName val="Rev Breakdown"/>
      <sheetName val="Segments"/>
      <sheetName val="Facilities"/>
      <sheetName val="Contracts"/>
      <sheetName val="Comp Table"/>
      <sheetName val="Stk Price"/>
      <sheetName val="Rel P_E"/>
      <sheetName val="Rel_Pr_Bk"/>
      <sheetName val="Pr_Bk"/>
      <sheetName val="IDE"/>
      <sheetName val="NY UPLOAD"/>
      <sheetName val="mwareDates"/>
      <sheetName val="mwareSettings"/>
      <sheetName val="NY UPLOAD shadow"/>
      <sheetName val="SR"/>
      <sheetName val="Menu"/>
      <sheetName val="DCF"/>
      <sheetName val="P&amp;L"/>
    </sheetNames>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RI"/>
      <sheetName val="__FDSCACHE__"/>
      <sheetName val="SOP"/>
      <sheetName val="A"/>
      <sheetName val="P&amp;L"/>
      <sheetName val="Sales_Region"/>
      <sheetName val="Breakdown"/>
      <sheetName val="Geog Split"/>
      <sheetName val="Q_Breakdown"/>
      <sheetName val="Q_P&amp;L"/>
      <sheetName val="BS"/>
      <sheetName val="CF"/>
      <sheetName val="GE3"/>
      <sheetName val="Ratios"/>
      <sheetName val="HNKG_p.DE"/>
      <sheetName val="Sheet1"/>
      <sheetName val="Restatement"/>
      <sheetName val="Sheet3"/>
      <sheetName val="Sheet5"/>
      <sheetName val="Sheet4"/>
      <sheetName val="GE Upload"/>
      <sheetName val="Total_Assets"/>
      <sheetName val="Main"/>
      <sheetName val="Quarterly"/>
    </sheetNames>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HistoryAndDistribution"/>
      <sheetName val="Disclaimer"/>
      <sheetName val="One Page Summary"/>
      <sheetName val="Summary"/>
      <sheetName val="WY"/>
      <sheetName val="WY-WLLMid-PeakEPS"/>
      <sheetName val="NAV"/>
      <sheetName val="EPS Lev"/>
      <sheetName val="DCF"/>
      <sheetName val="ResidualInc"/>
      <sheetName val="Timberlands"/>
      <sheetName val="Valuation"/>
      <sheetName val="__FDSCACHE__"/>
      <sheetName val="WLLValue"/>
      <sheetName val="Trading"/>
      <sheetName val="Debt"/>
      <sheetName val="Downtime"/>
      <sheetName val="Segment EBITDA"/>
      <sheetName val="Sheet2"/>
      <sheetName val="MainCode"/>
      <sheetName val="ROIC"/>
      <sheetName val="FCF"/>
      <sheetName val="Ratios"/>
      <sheetName val="NY UPLOAD"/>
      <sheetName val="NY UPLOAD shadow"/>
    </sheetNames>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Modelware Items"/>
      <sheetName val="xbrlPreview"/>
      <sheetName val="Content"/>
      <sheetName val="Valuation"/>
      <sheetName val="Ratios"/>
      <sheetName val="CFS"/>
      <sheetName val="P&amp;L"/>
      <sheetName val="Half-Year P&amp;L"/>
      <sheetName val="By Quarter"/>
      <sheetName val="Organic growth"/>
      <sheetName val="Margins"/>
      <sheetName val="Chart-Data"/>
      <sheetName val="BS"/>
      <sheetName val="FX-Impact"/>
      <sheetName val="Acq.-Disp."/>
      <sheetName val="Countries"/>
      <sheetName val="Product &amp; Geographic Segments"/>
      <sheetName val="Revenue Breakdown-Chart"/>
      <sheetName val="EBIT Breakdown Chart"/>
      <sheetName val="Dairy Sales Chart"/>
      <sheetName val="Financial Overview"/>
      <sheetName val="Organic Rev Growth Chart"/>
      <sheetName val="Themis Chart"/>
      <sheetName val="Biscuit EBIT-Margin Chart"/>
      <sheetName val="EBIT-Evolution Chart"/>
      <sheetName val="Chart9"/>
      <sheetName val="Chart10"/>
      <sheetName val="GE Upload1"/>
      <sheetName val="2nd Page Sheet"/>
      <sheetName val="Output Sheets"/>
      <sheetName val="xbrldates"/>
      <sheetName val="xbrlSettings"/>
      <sheetName val="GE3"/>
      <sheetName val="Margin Assumptions"/>
      <sheetName val="FX"/>
      <sheetName val="Short BS &amp; CFS"/>
      <sheetName val="mwareTaxoPres"/>
      <sheetName val="mwareValPrintout"/>
      <sheetName val="mwarePreview"/>
      <sheetName val="mwareDates"/>
      <sheetName val="mwareSettings"/>
      <sheetName val="D"/>
      <sheetName val="G-Euro"/>
      <sheetName val="MODEL"/>
      <sheetName val="B"/>
      <sheetName val="CF"/>
      <sheetName val="Summary"/>
      <sheetName val="Ratios, Margins &amp; Multiples"/>
    </sheetNames>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sheetName val="A"/>
      <sheetName val="B"/>
      <sheetName val="GE3"/>
      <sheetName val="G-Euro"/>
      <sheetName val="Margin Exp"/>
      <sheetName val="Disposals 2002"/>
      <sheetName val="D"/>
      <sheetName val="F (Euro)"/>
      <sheetName val="F"/>
      <sheetName val="Ratios (2)"/>
      <sheetName val="J"/>
      <sheetName val="K"/>
      <sheetName val="P"/>
      <sheetName val="Ratios"/>
      <sheetName val="ULVR.L"/>
      <sheetName val="UN.N"/>
      <sheetName val="Total_Assets"/>
      <sheetName val="RI &amp; profit growth (2)"/>
      <sheetName val="Breakdown"/>
      <sheetName val="pro-forma (Euro)"/>
      <sheetName val="pro-forma (£)"/>
      <sheetName val="Bfds Qs 00_01"/>
      <sheetName val="Bfds_Annual"/>
      <sheetName val="GE Upload2"/>
      <sheetName val="GE Upload"/>
      <sheetName val="UNILEVER"/>
      <sheetName val="RI &amp; profit growth"/>
      <sheetName val="1999"/>
      <sheetName val="G"/>
      <sheetName val="H"/>
      <sheetName val="Acquisition"/>
      <sheetName val="O"/>
      <sheetName val="N"/>
      <sheetName val="Chart1"/>
      <sheetName val="Summary"/>
      <sheetName val="Columns"/>
      <sheetName val="GE 2"/>
      <sheetName val="1998"/>
      <sheetName val="Bfds Dilution"/>
      <sheetName val="2000"/>
      <sheetName val="RI Price Target"/>
      <sheetName val="Sheet1"/>
      <sheetName val="Res Inc"/>
      <sheetName val="DCF "/>
      <sheetName val="Chart2"/>
      <sheetName val="E"/>
      <sheetName val="Half"/>
      <sheetName val="C"/>
      <sheetName val="K-Euro"/>
      <sheetName val="P&amp;L DM"/>
      <sheetName val="P&amp;L"/>
      <sheetName val="CF DM"/>
      <sheetName val="Val_MW"/>
    </sheetNames>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Yr Summary"/>
      <sheetName val="Balance"/>
      <sheetName val="Valuation"/>
      <sheetName val="Main Cover"/>
      <sheetName val="Cover"/>
      <sheetName val="__FDSCACHE__"/>
      <sheetName val="Revenue Breakdown-new"/>
      <sheetName val="Ratios"/>
      <sheetName val="Cash Flow"/>
      <sheetName val="Cost-Structure"/>
      <sheetName val="DCF-EVA "/>
      <sheetName val="Revenue Breakdown-old"/>
      <sheetName val="Cap Allocation"/>
      <sheetName val="Inc.-Qtr Var Analysis"/>
      <sheetName val="margins"/>
      <sheetName val="Depreciation Schedule"/>
      <sheetName val="mStartup"/>
      <sheetName val="NY UPLOAD"/>
      <sheetName val="NY UPLOAD Shadow"/>
      <sheetName val="MainCode"/>
      <sheetName val="Module1"/>
      <sheetName val="D"/>
      <sheetName val="G-Euro"/>
    </sheetNames>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Yr Summary"/>
      <sheetName val="Revenue- Assumptions"/>
      <sheetName val="Charts"/>
      <sheetName val="Main Cover"/>
      <sheetName val="Cover"/>
      <sheetName val="FAS 131"/>
      <sheetName val="Inc.-Qtr Var Analysis"/>
      <sheetName val="Balance"/>
      <sheetName val="Cash Flow"/>
      <sheetName val="DCF - EVA"/>
      <sheetName val="Free Cash Flow"/>
      <sheetName val="Depreciation Schedule"/>
      <sheetName val="__FDSCACHE__"/>
      <sheetName val="Geographic "/>
      <sheetName val="Inc. - Yr."/>
      <sheetName val="Flavor Market"/>
      <sheetName val="Fragrance Market"/>
      <sheetName val="MainCode"/>
      <sheetName val="Income-Segment"/>
      <sheetName val="Income-Summary"/>
    </sheetNames>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
      <sheetName val="TOC"/>
      <sheetName val="__FDSCACHE__"/>
      <sheetName val="P&amp;L"/>
      <sheetName val="Bal Sheet"/>
      <sheetName val="Cash Flow"/>
      <sheetName val="Industry Model"/>
      <sheetName val="Revenue per Procedure"/>
      <sheetName val="P&amp;L Variance"/>
      <sheetName val="Model Changes Chart"/>
      <sheetName val="Operations Charts"/>
      <sheetName val="Guidance Chart"/>
      <sheetName val="Desk Preview"/>
      <sheetName val="Procedure Penetration"/>
      <sheetName val="DCF Summary"/>
      <sheetName val="Sum of Parts &amp; DCF"/>
      <sheetName val="Buyback Analysis"/>
      <sheetName val="Da Vinci Profitability"/>
      <sheetName val="Guidance"/>
      <sheetName val="MW Valuation"/>
      <sheetName val="MW-Cache"/>
      <sheetName val="mwareValPrintout"/>
      <sheetName val="mwareTaxoPres"/>
      <sheetName val="MWA RR"/>
      <sheetName val="mwareDates"/>
      <sheetName val="mwareSettings"/>
      <sheetName val="NY UPLOAD shadow"/>
      <sheetName val="__APW_ACTIVE_FIELD_RESTORE__"/>
    </sheetNames>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Disclosures All"/>
      <sheetName val="Index"/>
      <sheetName val="Inputs"/>
      <sheetName val="RankingBarCharts"/>
      <sheetName val="ScatterCharts"/>
      <sheetName val="MWare_Cached"/>
      <sheetName val="__FDSCACHE__"/>
      <sheetName val="Valuation"/>
      <sheetName val="CoreMetrics"/>
      <sheetName val="Performance"/>
      <sheetName val="Val_MW"/>
      <sheetName val="Perf_MW"/>
      <sheetName val="CoreMetrics_MW"/>
      <sheetName val="L"/>
    </sheetNames>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
      <sheetName val="A"/>
      <sheetName val="B"/>
      <sheetName val="C"/>
      <sheetName val="Sales"/>
      <sheetName val="Profit"/>
      <sheetName val="E"/>
      <sheetName val="GE Upload"/>
      <sheetName val="SUMMARY"/>
      <sheetName val="Commodities"/>
      <sheetName val="RATIOS"/>
      <sheetName val="DCF"/>
      <sheetName val="1997 Sales Breakdown"/>
      <sheetName val="1997 Op. Profit"/>
      <sheetName val="Sheet1"/>
      <sheetName val="Sheet3"/>
      <sheetName val="GE 2"/>
      <sheetName val="GE 3"/>
      <sheetName val="GE3"/>
      <sheetName val="COVERAGE"/>
      <sheetName val="Food_Val"/>
      <sheetName val="HPC_Val"/>
      <sheetName val="Tob_Val"/>
    </sheetNames>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 -with L'Oreal"/>
      <sheetName val="A"/>
      <sheetName val="P&amp;L"/>
      <sheetName val="Half"/>
      <sheetName val="Sales"/>
      <sheetName val="Ralston P&amp;L"/>
      <sheetName val="CF"/>
      <sheetName val="EBIT"/>
      <sheetName val="BS"/>
      <sheetName val="Summary"/>
      <sheetName val="OLD"/>
      <sheetName val="Ratios"/>
      <sheetName val="Sheet2"/>
      <sheetName val="GE Upload"/>
      <sheetName val="NESZn.S"/>
      <sheetName val="Ral Impact"/>
      <sheetName val="Net_Operating"/>
      <sheetName val="GE3"/>
      <sheetName val="Module1"/>
      <sheetName val="B"/>
      <sheetName val="Model"/>
      <sheetName val="D"/>
      <sheetName val="Nestle"/>
      <sheetName val="SQLSheet"/>
    </sheetNames>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ROIC"/>
      <sheetName val="Cash Flow Analysis"/>
      <sheetName val="Acquisitions"/>
      <sheetName val="Pro-Forma"/>
      <sheetName val="Currency"/>
      <sheetName val="Sales Model"/>
      <sheetName val="Quarterly Model"/>
      <sheetName val="Shares Outstanding"/>
      <sheetName val="Input"/>
      <sheetName val="ISBS"/>
      <sheetName val="CFNWI"/>
      <sheetName val="IncStatement"/>
      <sheetName val="BalanceSheet"/>
      <sheetName val="NWI"/>
      <sheetName val="CashFlow"/>
      <sheetName val="OperatingRatios"/>
      <sheetName val="CreditRatios"/>
      <sheetName val="SumSheet"/>
      <sheetName val="SingaporeCRStats"/>
      <sheetName val="TokyoOfficeRatios"/>
      <sheetName val="TokyoBondRating"/>
      <sheetName val="IncStat(PctofSales)"/>
      <sheetName val="BalanceSheet(Pct)"/>
      <sheetName val="ValuationInput"/>
      <sheetName val="Valuation"/>
      <sheetName val="ValuationSummary"/>
      <sheetName val="Storage"/>
      <sheetName val="Cash Flow"/>
      <sheetName val="Restructuring (OLD)"/>
      <sheetName val="Seasonality"/>
      <sheetName val="Consol.  Balance Sheet (OLD)"/>
      <sheetName val="Consolidating Inc State (OLD) "/>
      <sheetName val="Quarterly Adjust. (OLD)"/>
      <sheetName val="FBR As Reported (OLD)"/>
      <sheetName val="FBR Adjusted (OLD)"/>
      <sheetName val="Clorox Quarterly (OLD)"/>
      <sheetName val="Consolidated Segment Results"/>
      <sheetName val="Sales Forecast"/>
      <sheetName val="Consolidated Quarterly"/>
      <sheetName val="Consolidated Calendar Yr."/>
      <sheetName val="Stationery"/>
      <sheetName val="Regional Sales"/>
      <sheetName val="Foreign Currency"/>
      <sheetName val="OLD Quarterly - DO NOT USE"/>
      <sheetName val="Sales and Profits by Division"/>
      <sheetName val="Divisional Sales Model"/>
      <sheetName val="Quarterly Earnings Model"/>
      <sheetName val="Share Repurchase Analysis"/>
      <sheetName val="Restructuring Charges"/>
      <sheetName val="Sales Model (Regional) OLD"/>
      <sheetName val="Regional Breakdown"/>
      <sheetName val="GBU Sales and Profits"/>
      <sheetName val="Wella"/>
      <sheetName val="Sales Model (GBU)"/>
      <sheetName val="Calendarized  Quarterly"/>
      <sheetName val="Shares Out."/>
      <sheetName val="Revisions"/>
      <sheetName val="Segment Sales and Profit"/>
      <sheetName val="Quarterly Earnings Forecast"/>
      <sheetName val="Quarterly Sales Forecast"/>
      <sheetName val="Inventory"/>
      <sheetName val="Cost Savings &amp; Margin Analysis"/>
      <sheetName val="Distribution Channels"/>
      <sheetName val="Product Line Analysis"/>
      <sheetName val="Regional Profitability"/>
      <sheetName val="Calendarized Earnings Model"/>
      <sheetName val="Share Repurchase"/>
      <sheetName val="Restructuring  OLD"/>
      <sheetName val="Restructuring - NOT UPDATED"/>
      <sheetName val="Regional Sales &amp; Profits"/>
      <sheetName val="OLD Geo. Mix"/>
      <sheetName val="NEW Geo. Mix"/>
      <sheetName val="OLD Segment Profits"/>
      <sheetName val="OLD Segment Sales"/>
      <sheetName val="NEW Segment Profits"/>
      <sheetName val="NEW Segment Sales"/>
      <sheetName val="Pulp"/>
      <sheetName val="Regional Results - Restated"/>
      <sheetName val="Currency Calculator"/>
      <sheetName val="Sales (Restated 1999 &amp; 2000)"/>
    </sheetNames>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
      <sheetName val="Valuation"/>
      <sheetName val="Ratios"/>
      <sheetName val="P&amp;L"/>
      <sheetName val="Sales by Q"/>
      <sheetName val="Output Sheets"/>
      <sheetName val="Split"/>
      <sheetName val="BS"/>
      <sheetName val="CFS"/>
      <sheetName val="Margin Assumptions"/>
      <sheetName val="Food only"/>
      <sheetName val="L'Oreal"/>
      <sheetName val="Alcon"/>
      <sheetName val="Half-Year P&amp;L"/>
      <sheetName val="Geographic Segments"/>
      <sheetName val="RIG Evo. Chart"/>
      <sheetName val="EBITA Margin  AOA"/>
      <sheetName val="Chart Data"/>
      <sheetName val="Product Segments"/>
      <sheetName val="Acq.-Disp."/>
      <sheetName val="Currencies"/>
      <sheetName val="Conf calls"/>
      <sheetName val="Countries"/>
      <sheetName val="Logbook"/>
      <sheetName val="10 Year Overview"/>
      <sheetName val="Report 2nd Page"/>
      <sheetName val="GE Upload1"/>
      <sheetName val="xbrldates"/>
      <sheetName val="xbrlSettings"/>
      <sheetName val="GE3"/>
      <sheetName val="Chart2"/>
      <sheetName val="Ratios, Margins &amp; Multiples"/>
      <sheetName val="Storage"/>
      <sheetName val="Historical Highlights"/>
    </sheetNames>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S"/>
      <sheetName val="Analysis"/>
      <sheetName val="Print Macro"/>
      <sheetName val="NA_ANNUAL"/>
      <sheetName val="P"/>
      <sheetName val="XOM"/>
      <sheetName val="NKEBALST"/>
      <sheetName val="NKEQTRIN"/>
      <sheetName val="Deferred tax analysis4"/>
      <sheetName val="Assumpt"/>
      <sheetName val="Switches"/>
      <sheetName val="Income Statement"/>
      <sheetName val="Old BKS"/>
      <sheetName val="QuarterlyData"/>
      <sheetName val="Report Summary"/>
      <sheetName val="Fixed Line Mkt"/>
      <sheetName val="Bal Sheet &amp; Cash Flow"/>
      <sheetName val="LT"/>
    </sheetNames>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Quarterly"/>
      <sheetName val="Analysis"/>
      <sheetName val="MACRS"/>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FutureAcq"/>
      <sheetName val="Credit Output"/>
      <sheetName val="CalcsMO"/>
      <sheetName val="Valuation"/>
      <sheetName val="LXK"/>
      <sheetName val="yearly"/>
      <sheetName val="OnAir"/>
      <sheetName val=" Capital"/>
      <sheetName val="New Business"/>
      <sheetName val="Scenario"/>
      <sheetName val="WY"/>
      <sheetName val="RELPE"/>
      <sheetName val="SALESCAT"/>
      <sheetName val="MATCASH"/>
      <sheetName val="FinSum"/>
      <sheetName val="Aladdin Macro1"/>
      <sheetName val="NKEBALST"/>
      <sheetName val="NKEQTRIN"/>
      <sheetName val="DATA"/>
      <sheetName val="Gas"/>
      <sheetName val="Off Peak"/>
      <sheetName val="Peak"/>
      <sheetName val="Cashflow Model"/>
      <sheetName val="changes in EST"/>
      <sheetName val="US peers EBIT Margins"/>
      <sheetName val="Sheet7"/>
      <sheetName val="Model (Euro)"/>
      <sheetName val="Monthly Spot"/>
      <sheetName val="Sheet1"/>
      <sheetName val="main"/>
      <sheetName val="DMK"/>
      <sheetName val="premium detail - P&amp;C"/>
      <sheetName val="Sainsbury"/>
      <sheetName val="dist"/>
      <sheetName val="Accounts&amp;Forecasts"/>
      <sheetName val="NY UPLOAD"/>
      <sheetName val="Output"/>
      <sheetName val="macros"/>
    </sheetNames>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heetName val="Ratios, Margins &amp; Multiples"/>
      <sheetName val="P&amp;L"/>
      <sheetName val="Sales by Quarter"/>
      <sheetName val="Half-Year P&amp;L"/>
      <sheetName val="Acq.-Disp."/>
      <sheetName val="Margin"/>
      <sheetName val="CFS"/>
      <sheetName val="BS"/>
      <sheetName val="Product &amp; Geographic Segments"/>
      <sheetName val="Conf calls"/>
      <sheetName val="Old P&amp;L"/>
      <sheetName val="Company Information"/>
      <sheetName val="Financial Overview"/>
      <sheetName val="Segment Info"/>
      <sheetName val="Acquisitions"/>
      <sheetName val="Share Ownership"/>
      <sheetName val="Fresh Dairy Products"/>
      <sheetName val="Water"/>
      <sheetName val="Biscuits and Cereals"/>
      <sheetName val="Asia Pacific"/>
      <sheetName val="Danone Issues"/>
      <sheetName val="Management"/>
      <sheetName val="Employees"/>
      <sheetName val="Ratios"/>
      <sheetName val="FX-Impact"/>
      <sheetName val="Revenue Breakdown-Chart"/>
      <sheetName val="EBIT Breakdown Chart"/>
      <sheetName val="Chart-Data"/>
      <sheetName val="Chart6"/>
      <sheetName val="Organic Rev Growth Chart"/>
      <sheetName val="Themis Chart"/>
      <sheetName val="Chart3"/>
      <sheetName val="Chart4"/>
      <sheetName val="Biscuit EBIT-Margin Chart"/>
      <sheetName val="Chart7"/>
      <sheetName val="EBIT-Evolution Chart"/>
      <sheetName val="2nd Page Sheet"/>
      <sheetName val="Chart9"/>
      <sheetName val="Chart10"/>
      <sheetName val="Output Sheets"/>
      <sheetName val="GE Upload1"/>
      <sheetName val="GE3"/>
      <sheetName val="Chart11"/>
      <sheetName val="Chart12"/>
      <sheetName val="Charts"/>
      <sheetName val="Chart1"/>
      <sheetName val="Chart2"/>
      <sheetName val="Chart5"/>
      <sheetName val="Chart8"/>
      <sheetName val="Summary Sheet"/>
      <sheetName val="Confo"/>
      <sheetName val="Breakdowns"/>
      <sheetName val="FNAC"/>
      <sheetName val="Market Share"/>
      <sheetName val="MultipleSecurities"/>
      <sheetName val="B"/>
    </sheetNames>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Ratios, Margins &amp; Multiples"/>
    </sheetNames>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Segment"/>
    </sheetNames>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S Growth Composition"/>
      <sheetName val="Model Introduction"/>
      <sheetName val="Summary"/>
      <sheetName val="Annual Income Statement"/>
      <sheetName val="__FDSCACHE__"/>
      <sheetName val="Sheet1"/>
      <sheetName val="Quarterly Projection"/>
      <sheetName val="Sales Model (GBU) (2)"/>
      <sheetName val="Sales Model (GBU)"/>
      <sheetName val="Profits Model (GBU)"/>
      <sheetName val="report"/>
    </sheetNames>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 val="IS Quarterly"/>
      <sheetName val="Scenario"/>
      <sheetName val="Bakery"/>
      <sheetName val="Input-CB Revenues"/>
      <sheetName val="P&amp;L"/>
      <sheetName val="P"/>
      <sheetName val="NKEBALST"/>
      <sheetName val="Analysis"/>
      <sheetName val="MACRS"/>
      <sheetName val="NKEQTRIN"/>
      <sheetName val="Sheet1"/>
      <sheetName val="Quarterly Projection"/>
      <sheetName val="MultipleSecurities"/>
    </sheetNames>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
      <sheetName val="DI"/>
      <sheetName val="avg1"/>
      <sheetName val="WELLA_YEAR"/>
      <sheetName val="Model"/>
      <sheetName val="Inc-Yr Summary"/>
      <sheetName val="Ratios"/>
      <sheetName val="B"/>
      <sheetName val="detail9'96_oh"/>
    </sheetNames>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 -with L'Oreal"/>
      <sheetName val="A"/>
      <sheetName val="P&amp;L"/>
      <sheetName val="Half"/>
      <sheetName val="Sales"/>
      <sheetName val="Ralston P&amp;L"/>
      <sheetName val="CF"/>
      <sheetName val="EBIT"/>
      <sheetName val="BS"/>
      <sheetName val="Summary"/>
      <sheetName val="OLD"/>
      <sheetName val="Ratios"/>
      <sheetName val="Sheet2"/>
      <sheetName val="GE Upload"/>
      <sheetName val="NESZn.S"/>
      <sheetName val="Ral Impact"/>
      <sheetName val="Net_Operating"/>
      <sheetName val="GE3"/>
      <sheetName val="Module1"/>
      <sheetName val="Nestle"/>
      <sheetName val="B"/>
      <sheetName val="C"/>
      <sheetName val="D"/>
      <sheetName val="E"/>
      <sheetName val="G"/>
      <sheetName val="GE 2"/>
      <sheetName val="Columns"/>
      <sheetName val="RI &amp; profit growth"/>
      <sheetName val="F"/>
      <sheetName val="I"/>
      <sheetName val="ROCJ"/>
      <sheetName val="geo97"/>
      <sheetName val="div97"/>
      <sheetName val="Res Inc"/>
      <sheetName val="DCF"/>
      <sheetName val="A-Euro"/>
      <sheetName val="GE Euro2"/>
      <sheetName val="GE Euro"/>
      <sheetName val="Front"/>
      <sheetName val="Old BKS"/>
      <sheetName val="Qrt Sales"/>
      <sheetName val="Annual"/>
      <sheetName val="J"/>
      <sheetName val="SQLSheet"/>
    </sheetNames>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
      <sheetName val="Valuation"/>
      <sheetName val="Ratios"/>
      <sheetName val="P&amp;L"/>
      <sheetName val="Sales by Quarter"/>
      <sheetName val="CFS"/>
      <sheetName val="BS"/>
      <sheetName val="Margin Assumptions"/>
      <sheetName val="Half-Year P&amp;L"/>
      <sheetName val="FX-Impact"/>
      <sheetName val="Acq.-Disp."/>
      <sheetName val="Conf calls"/>
      <sheetName val="Countries"/>
      <sheetName val="Product &amp; Geographic Segments"/>
      <sheetName val="Revenue Breakdown-Chart"/>
      <sheetName val="EBIT Breakdown Chart"/>
      <sheetName val="Dairy Sales Chart"/>
      <sheetName val="Chart-Data"/>
      <sheetName val="Financial Overview"/>
      <sheetName val="Organic Rev Growth Chart"/>
      <sheetName val="Themis Chart"/>
      <sheetName val="Biscuit EBIT-Margin Chart"/>
      <sheetName val="EBIT-Evolution Chart"/>
      <sheetName val="Chart9"/>
      <sheetName val="Chart10"/>
      <sheetName val="GE Upload1"/>
      <sheetName val="2nd Page Sheet"/>
      <sheetName val="Output Sheets"/>
      <sheetName val="GE3"/>
      <sheetName val="Ratios, Margins &amp; Multiples"/>
      <sheetName val="B"/>
      <sheetName val="NA_ANNUAL"/>
      <sheetName val="Proforma"/>
    </sheetNames>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Inputs"/>
      <sheetName val="GWP-WLine"/>
      <sheetName val="Forward Curves"/>
      <sheetName val="Cash Flow-Industrial"/>
      <sheetName val="Geo"/>
      <sheetName val="DCF"/>
      <sheetName val="Annual-consolidated"/>
      <sheetName val="Qtrly Inc St"/>
      <sheetName val="Bal Sheet - Cons."/>
      <sheetName val="Bal Sheet-Industrial"/>
      <sheetName val="Cash Flow - Cons."/>
      <sheetName val="CENMODEL"/>
      <sheetName val="MultipleSecurities"/>
      <sheetName val="P&amp;L"/>
      <sheetName val="Old BKS"/>
    </sheetNames>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ROIC"/>
      <sheetName val="Cash Flow"/>
      <sheetName val="Restructuring (OLD)"/>
      <sheetName val="Seasonality"/>
      <sheetName val="Consol.  Balance Sheet (OLD)"/>
      <sheetName val="Consolidating Inc State (OLD) "/>
      <sheetName val="Quarterly Adjust. (OLD)"/>
      <sheetName val="FBR As Reported (OLD)"/>
      <sheetName val="FBR Adjusted (OLD)"/>
      <sheetName val="Clorox Quarterly (OLD)"/>
      <sheetName val="Consolidated Segment Results"/>
      <sheetName val="Sales Forecast"/>
      <sheetName val="Consolidated Quarterly"/>
      <sheetName val="Consolidated Calendar Yr."/>
      <sheetName val="Shares Outstanding"/>
      <sheetName val="Input"/>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mailto:brandon.hoffman@morganstanley.com" TargetMode="External" Type="http://schemas.openxmlformats.org/officeDocument/2006/relationships/hyperlink"/>
<Relationship Id="rId2" Target="mailto:scott.rotondi@morganstanley.com" TargetMode="External" Type="http://schemas.openxmlformats.org/officeDocument/2006/relationships/hyperlink"/>
<Relationship Id="rId3" Target="../printerSettings/printerSettings3.bin" Type="http://schemas.openxmlformats.org/officeDocument/2006/relationships/printerSettings"/>
<Relationship Id="rId4"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 Id="rId3" Target="../drawings/vmlDrawing2.vml" Type="http://schemas.openxmlformats.org/officeDocument/2006/relationships/vmlDrawing"/>
<Relationship Id="rId4"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5.xml" Type="http://schemas.openxmlformats.org/officeDocument/2006/relationships/drawing"/>
<Relationship Id="rId3" Target="../drawings/vmlDrawing3.vml" Type="http://schemas.openxmlformats.org/officeDocument/2006/relationships/vmlDrawing"/>
<Relationship Id="rId4"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97"/>
  <sheetViews>
    <sheetView showGridLines="0" tabSelected="1" workbookViewId="0">
      <selection activeCell="Z1" sqref="Z1"/>
    </sheetView>
  </sheetViews>
  <sheetFormatPr defaultRowHeight="12.75" x14ac:dyDescent="0.2"/>
  <cols>
    <col min="1" max="1" width="25.7109375" style="852" customWidth="1"/>
    <col min="2" max="5" width="9.140625" style="852"/>
    <col min="6" max="6" width="18.7109375" style="852" customWidth="1"/>
    <col min="7" max="256" width="9.140625" style="852"/>
    <col min="257" max="257" width="100.7109375" style="852" customWidth="1"/>
    <col min="258" max="512" width="9.140625" style="852"/>
    <col min="513" max="513" width="100.7109375" style="852" customWidth="1"/>
    <col min="514" max="768" width="9.140625" style="852"/>
    <col min="769" max="769" width="100.7109375" style="852" customWidth="1"/>
    <col min="770" max="1024" width="9.140625" style="852"/>
    <col min="1025" max="1025" width="100.7109375" style="852" customWidth="1"/>
    <col min="1026" max="1280" width="9.140625" style="852"/>
    <col min="1281" max="1281" width="100.7109375" style="852" customWidth="1"/>
    <col min="1282" max="1536" width="9.140625" style="852"/>
    <col min="1537" max="1537" width="100.7109375" style="852" customWidth="1"/>
    <col min="1538" max="1792" width="9.140625" style="852"/>
    <col min="1793" max="1793" width="100.7109375" style="852" customWidth="1"/>
    <col min="1794" max="2048" width="9.140625" style="852"/>
    <col min="2049" max="2049" width="100.7109375" style="852" customWidth="1"/>
    <col min="2050" max="2304" width="9.140625" style="852"/>
    <col min="2305" max="2305" width="100.7109375" style="852" customWidth="1"/>
    <col min="2306" max="2560" width="9.140625" style="852"/>
    <col min="2561" max="2561" width="100.7109375" style="852" customWidth="1"/>
    <col min="2562" max="2816" width="9.140625" style="852"/>
    <col min="2817" max="2817" width="100.7109375" style="852" customWidth="1"/>
    <col min="2818" max="3072" width="9.140625" style="852"/>
    <col min="3073" max="3073" width="100.7109375" style="852" customWidth="1"/>
    <col min="3074" max="3328" width="9.140625" style="852"/>
    <col min="3329" max="3329" width="100.7109375" style="852" customWidth="1"/>
    <col min="3330" max="3584" width="9.140625" style="852"/>
    <col min="3585" max="3585" width="100.7109375" style="852" customWidth="1"/>
    <col min="3586" max="3840" width="9.140625" style="852"/>
    <col min="3841" max="3841" width="100.7109375" style="852" customWidth="1"/>
    <col min="3842" max="4096" width="9.140625" style="852"/>
    <col min="4097" max="4097" width="100.7109375" style="852" customWidth="1"/>
    <col min="4098" max="4352" width="9.140625" style="852"/>
    <col min="4353" max="4353" width="100.7109375" style="852" customWidth="1"/>
    <col min="4354" max="4608" width="9.140625" style="852"/>
    <col min="4609" max="4609" width="100.7109375" style="852" customWidth="1"/>
    <col min="4610" max="4864" width="9.140625" style="852"/>
    <col min="4865" max="4865" width="100.7109375" style="852" customWidth="1"/>
    <col min="4866" max="5120" width="9.140625" style="852"/>
    <col min="5121" max="5121" width="100.7109375" style="852" customWidth="1"/>
    <col min="5122" max="5376" width="9.140625" style="852"/>
    <col min="5377" max="5377" width="100.7109375" style="852" customWidth="1"/>
    <col min="5378" max="5632" width="9.140625" style="852"/>
    <col min="5633" max="5633" width="100.7109375" style="852" customWidth="1"/>
    <col min="5634" max="5888" width="9.140625" style="852"/>
    <col min="5889" max="5889" width="100.7109375" style="852" customWidth="1"/>
    <col min="5890" max="6144" width="9.140625" style="852"/>
    <col min="6145" max="6145" width="100.7109375" style="852" customWidth="1"/>
    <col min="6146" max="6400" width="9.140625" style="852"/>
    <col min="6401" max="6401" width="100.7109375" style="852" customWidth="1"/>
    <col min="6402" max="6656" width="9.140625" style="852"/>
    <col min="6657" max="6657" width="100.7109375" style="852" customWidth="1"/>
    <col min="6658" max="6912" width="9.140625" style="852"/>
    <col min="6913" max="6913" width="100.7109375" style="852" customWidth="1"/>
    <col min="6914" max="7168" width="9.140625" style="852"/>
    <col min="7169" max="7169" width="100.7109375" style="852" customWidth="1"/>
    <col min="7170" max="7424" width="9.140625" style="852"/>
    <col min="7425" max="7425" width="100.7109375" style="852" customWidth="1"/>
    <col min="7426" max="7680" width="9.140625" style="852"/>
    <col min="7681" max="7681" width="100.7109375" style="852" customWidth="1"/>
    <col min="7682" max="7936" width="9.140625" style="852"/>
    <col min="7937" max="7937" width="100.7109375" style="852" customWidth="1"/>
    <col min="7938" max="8192" width="9.140625" style="852"/>
    <col min="8193" max="8193" width="100.7109375" style="852" customWidth="1"/>
    <col min="8194" max="8448" width="9.140625" style="852"/>
    <col min="8449" max="8449" width="100.7109375" style="852" customWidth="1"/>
    <col min="8450" max="8704" width="9.140625" style="852"/>
    <col min="8705" max="8705" width="100.7109375" style="852" customWidth="1"/>
    <col min="8706" max="8960" width="9.140625" style="852"/>
    <col min="8961" max="8961" width="100.7109375" style="852" customWidth="1"/>
    <col min="8962" max="9216" width="9.140625" style="852"/>
    <col min="9217" max="9217" width="100.7109375" style="852" customWidth="1"/>
    <col min="9218" max="9472" width="9.140625" style="852"/>
    <col min="9473" max="9473" width="100.7109375" style="852" customWidth="1"/>
    <col min="9474" max="9728" width="9.140625" style="852"/>
    <col min="9729" max="9729" width="100.7109375" style="852" customWidth="1"/>
    <col min="9730" max="9984" width="9.140625" style="852"/>
    <col min="9985" max="9985" width="100.7109375" style="852" customWidth="1"/>
    <col min="9986" max="10240" width="9.140625" style="852"/>
    <col min="10241" max="10241" width="100.7109375" style="852" customWidth="1"/>
    <col min="10242" max="10496" width="9.140625" style="852"/>
    <col min="10497" max="10497" width="100.7109375" style="852" customWidth="1"/>
    <col min="10498" max="10752" width="9.140625" style="852"/>
    <col min="10753" max="10753" width="100.7109375" style="852" customWidth="1"/>
    <col min="10754" max="11008" width="9.140625" style="852"/>
    <col min="11009" max="11009" width="100.7109375" style="852" customWidth="1"/>
    <col min="11010" max="11264" width="9.140625" style="852"/>
    <col min="11265" max="11265" width="100.7109375" style="852" customWidth="1"/>
    <col min="11266" max="11520" width="9.140625" style="852"/>
    <col min="11521" max="11521" width="100.7109375" style="852" customWidth="1"/>
    <col min="11522" max="11776" width="9.140625" style="852"/>
    <col min="11777" max="11777" width="100.7109375" style="852" customWidth="1"/>
    <col min="11778" max="12032" width="9.140625" style="852"/>
    <col min="12033" max="12033" width="100.7109375" style="852" customWidth="1"/>
    <col min="12034" max="12288" width="9.140625" style="852"/>
    <col min="12289" max="12289" width="100.7109375" style="852" customWidth="1"/>
    <col min="12290" max="12544" width="9.140625" style="852"/>
    <col min="12545" max="12545" width="100.7109375" style="852" customWidth="1"/>
    <col min="12546" max="12800" width="9.140625" style="852"/>
    <col min="12801" max="12801" width="100.7109375" style="852" customWidth="1"/>
    <col min="12802" max="13056" width="9.140625" style="852"/>
    <col min="13057" max="13057" width="100.7109375" style="852" customWidth="1"/>
    <col min="13058" max="13312" width="9.140625" style="852"/>
    <col min="13313" max="13313" width="100.7109375" style="852" customWidth="1"/>
    <col min="13314" max="13568" width="9.140625" style="852"/>
    <col min="13569" max="13569" width="100.7109375" style="852" customWidth="1"/>
    <col min="13570" max="13824" width="9.140625" style="852"/>
    <col min="13825" max="13825" width="100.7109375" style="852" customWidth="1"/>
    <col min="13826" max="14080" width="9.140625" style="852"/>
    <col min="14081" max="14081" width="100.7109375" style="852" customWidth="1"/>
    <col min="14082" max="14336" width="9.140625" style="852"/>
    <col min="14337" max="14337" width="100.7109375" style="852" customWidth="1"/>
    <col min="14338" max="14592" width="9.140625" style="852"/>
    <col min="14593" max="14593" width="100.7109375" style="852" customWidth="1"/>
    <col min="14594" max="14848" width="9.140625" style="852"/>
    <col min="14849" max="14849" width="100.7109375" style="852" customWidth="1"/>
    <col min="14850" max="15104" width="9.140625" style="852"/>
    <col min="15105" max="15105" width="100.7109375" style="852" customWidth="1"/>
    <col min="15106" max="15360" width="9.140625" style="852"/>
    <col min="15361" max="15361" width="100.7109375" style="852" customWidth="1"/>
    <col min="15362" max="15616" width="9.140625" style="852"/>
    <col min="15617" max="15617" width="100.7109375" style="852" customWidth="1"/>
    <col min="15618" max="15872" width="9.140625" style="852"/>
    <col min="15873" max="15873" width="100.7109375" style="852" customWidth="1"/>
    <col min="15874" max="16128" width="9.140625" style="852"/>
    <col min="16129" max="16129" width="100.7109375" style="852" customWidth="1"/>
    <col min="16130" max="16384" width="9.140625" style="852"/>
  </cols>
  <sheetData>
    <row r="1" spans="1:8" ht="30" customHeight="1" x14ac:dyDescent="0.2">
      <c r="A1" s="850"/>
      <c r="B1" s="851"/>
      <c r="C1" s="851"/>
      <c r="D1" s="851"/>
      <c r="E1" s="851"/>
      <c r="F1" s="851"/>
      <c r="G1" s="851"/>
      <c r="H1" s="851"/>
    </row>
    <row r="2" spans="1:8" ht="14.25" x14ac:dyDescent="0.2">
      <c r="A2" s="853" t="s">
        <v>409</v>
      </c>
      <c r="B2" s="851"/>
      <c r="C2" s="851"/>
      <c r="D2" s="851"/>
      <c r="E2" s="851"/>
      <c r="F2" s="851"/>
      <c r="G2" s="851"/>
      <c r="H2" s="851"/>
    </row>
    <row r="3" spans="1:8" ht="14.25" x14ac:dyDescent="0.2">
      <c r="A3" s="853" t="s">
        <v>410</v>
      </c>
      <c r="B3" s="851"/>
      <c r="C3" s="851"/>
      <c r="D3" s="851"/>
      <c r="E3" s="851"/>
      <c r="F3" s="851"/>
      <c r="G3" s="851"/>
      <c r="H3" s="851"/>
    </row>
    <row r="4" spans="1:8" ht="14.25" x14ac:dyDescent="0.2">
      <c r="A4" s="853" t="s">
        <v>411</v>
      </c>
      <c r="B4" s="851"/>
      <c r="C4" s="851"/>
      <c r="D4" s="851"/>
      <c r="E4" s="851"/>
      <c r="F4" s="851"/>
      <c r="G4" s="851"/>
      <c r="H4" s="851"/>
    </row>
    <row r="5" spans="1:8" ht="14.25" x14ac:dyDescent="0.2">
      <c r="A5" s="853" t="s">
        <v>412</v>
      </c>
      <c r="B5" s="851"/>
      <c r="C5" s="851"/>
      <c r="D5" s="851"/>
      <c r="E5" s="851"/>
      <c r="F5" s="851"/>
      <c r="G5" s="851"/>
      <c r="H5" s="851"/>
    </row>
    <row r="6" spans="1:8" ht="14.25" x14ac:dyDescent="0.2">
      <c r="A6" s="853"/>
      <c r="B6" s="851"/>
      <c r="C6" s="851"/>
      <c r="D6" s="851"/>
      <c r="E6" s="851"/>
      <c r="F6" s="851"/>
      <c r="G6" s="851"/>
      <c r="H6" s="851"/>
    </row>
    <row r="7" spans="1:8" x14ac:dyDescent="0.2">
      <c r="A7" s="850" t="s">
        <v>413</v>
      </c>
      <c r="B7" s="851"/>
      <c r="C7" s="851"/>
      <c r="D7" s="851"/>
      <c r="E7" s="851"/>
      <c r="F7" s="851"/>
      <c r="G7" s="851"/>
      <c r="H7" s="851"/>
    </row>
    <row r="8" spans="1:8" x14ac:dyDescent="0.2">
      <c r="A8" s="850" t="s">
        <v>414</v>
      </c>
      <c r="B8" s="851"/>
      <c r="C8" s="851"/>
      <c r="D8" s="851"/>
      <c r="E8" s="851"/>
      <c r="F8" s="851"/>
      <c r="G8" s="851"/>
      <c r="H8" s="851"/>
    </row>
    <row r="9" spans="1:8" x14ac:dyDescent="0.2">
      <c r="A9" s="850"/>
      <c r="B9" s="851"/>
      <c r="C9" s="851"/>
      <c r="D9" s="851"/>
      <c r="E9" s="851"/>
      <c r="F9" s="851"/>
      <c r="G9" s="851"/>
      <c r="H9" s="851"/>
    </row>
    <row r="10" spans="1:8" x14ac:dyDescent="0.2">
      <c r="A10" s="854" t="s">
        <v>415</v>
      </c>
      <c r="B10" s="851"/>
      <c r="C10" s="851"/>
      <c r="D10" s="851"/>
      <c r="E10" s="851"/>
      <c r="F10" s="851"/>
      <c r="G10" s="851"/>
      <c r="H10" s="851"/>
    </row>
    <row r="11" spans="1:8" x14ac:dyDescent="0.2">
      <c r="A11" s="854" t="s">
        <v>416</v>
      </c>
      <c r="B11" s="851"/>
      <c r="C11" s="851"/>
      <c r="D11" s="851"/>
      <c r="E11" s="851"/>
      <c r="F11" s="851"/>
      <c r="G11" s="851"/>
      <c r="H11" s="851"/>
    </row>
    <row r="12" spans="1:8" x14ac:dyDescent="0.2">
      <c r="A12" s="854" t="s">
        <v>417</v>
      </c>
      <c r="B12" s="851"/>
      <c r="C12" s="851"/>
      <c r="D12" s="851"/>
      <c r="E12" s="851"/>
      <c r="F12" s="851"/>
      <c r="G12" s="851"/>
      <c r="H12" s="851"/>
    </row>
    <row r="13" spans="1:8" x14ac:dyDescent="0.2">
      <c r="A13" s="854" t="s">
        <v>418</v>
      </c>
      <c r="B13" s="851"/>
      <c r="C13" s="851"/>
      <c r="D13" s="851"/>
      <c r="E13" s="851"/>
      <c r="F13" s="851"/>
      <c r="G13" s="851"/>
      <c r="H13" s="851"/>
    </row>
    <row r="14" spans="1:8" x14ac:dyDescent="0.2">
      <c r="A14" s="854" t="s">
        <v>419</v>
      </c>
      <c r="B14" s="851"/>
      <c r="C14" s="851"/>
      <c r="D14" s="851"/>
      <c r="E14" s="851"/>
      <c r="F14" s="851"/>
      <c r="G14" s="851"/>
      <c r="H14" s="851"/>
    </row>
    <row r="15" spans="1:8" x14ac:dyDescent="0.2">
      <c r="A15" s="854" t="s">
        <v>420</v>
      </c>
      <c r="B15" s="851"/>
      <c r="C15" s="851"/>
      <c r="D15" s="851"/>
      <c r="E15" s="851"/>
      <c r="F15" s="851"/>
      <c r="G15" s="851"/>
      <c r="H15" s="851"/>
    </row>
    <row r="16" spans="1:8" x14ac:dyDescent="0.2">
      <c r="A16" s="854"/>
      <c r="B16" s="851"/>
      <c r="C16" s="851"/>
      <c r="D16" s="851"/>
      <c r="E16" s="851"/>
      <c r="F16" s="851"/>
      <c r="G16" s="851"/>
      <c r="H16" s="851"/>
    </row>
    <row r="17" spans="1:8" x14ac:dyDescent="0.2">
      <c r="A17" s="854" t="s">
        <v>406</v>
      </c>
      <c r="B17" s="851"/>
      <c r="C17" s="851"/>
      <c r="D17" s="851"/>
      <c r="E17" s="851"/>
      <c r="F17" s="851"/>
      <c r="G17" s="851"/>
      <c r="H17" s="851"/>
    </row>
    <row r="18" spans="1:8" x14ac:dyDescent="0.2">
      <c r="A18" s="854"/>
      <c r="B18" s="851"/>
      <c r="C18" s="851"/>
      <c r="D18" s="851"/>
      <c r="E18" s="851"/>
      <c r="F18" s="851"/>
      <c r="G18" s="851"/>
      <c r="H18" s="851"/>
    </row>
    <row r="19" spans="1:8" x14ac:dyDescent="0.2">
      <c r="A19" s="854" t="s">
        <v>407</v>
      </c>
      <c r="B19" s="851"/>
      <c r="C19" s="851"/>
      <c r="D19" s="851"/>
      <c r="E19" s="851"/>
      <c r="F19" s="851"/>
      <c r="G19" s="851"/>
      <c r="H19" s="851"/>
    </row>
    <row r="20" spans="1:8" x14ac:dyDescent="0.2">
      <c r="A20" s="850"/>
      <c r="B20" s="851"/>
      <c r="C20" s="851"/>
      <c r="D20" s="851"/>
      <c r="E20" s="851"/>
      <c r="F20" s="851"/>
      <c r="G20" s="851"/>
      <c r="H20" s="851"/>
    </row>
    <row r="21" spans="1:8" x14ac:dyDescent="0.2">
      <c r="A21" s="855" t="s">
        <v>408</v>
      </c>
      <c r="B21" s="851"/>
      <c r="C21" s="851"/>
      <c r="D21" s="851"/>
      <c r="E21" s="851"/>
      <c r="F21" s="851"/>
      <c r="G21" s="851"/>
      <c r="H21" s="851"/>
    </row>
    <row r="22" spans="1:8" x14ac:dyDescent="0.2">
      <c r="A22" s="856"/>
      <c r="B22" s="856"/>
      <c r="C22" s="856"/>
      <c r="D22" s="856"/>
      <c r="E22" s="856"/>
      <c r="F22" s="856"/>
      <c r="G22" s="856"/>
      <c r="H22" s="856"/>
    </row>
    <row r="23" spans="1:8" x14ac:dyDescent="0.2">
      <c r="A23" s="857" t="s">
        <v>703</v>
      </c>
      <c r="B23" s="856"/>
      <c r="C23" s="856"/>
      <c r="D23" s="856"/>
      <c r="E23" s="856"/>
      <c r="F23" s="856"/>
      <c r="G23" s="856"/>
      <c r="H23" s="856"/>
    </row>
    <row r="24" spans="1:8" x14ac:dyDescent="0.2">
      <c r="A24" s="857" t="s">
        <v>704</v>
      </c>
      <c r="B24" s="856"/>
      <c r="C24" s="856"/>
      <c r="D24" s="856"/>
      <c r="E24" s="856"/>
      <c r="F24" s="856"/>
      <c r="G24" s="856"/>
      <c r="H24" s="856"/>
    </row>
    <row r="25" spans="1:8" x14ac:dyDescent="0.2">
      <c r="A25" s="857" t="s">
        <v>705</v>
      </c>
      <c r="B25" s="856"/>
      <c r="C25" s="856"/>
      <c r="D25" s="856"/>
      <c r="E25" s="856"/>
      <c r="F25" s="856"/>
      <c r="G25" s="856"/>
      <c r="H25" s="856"/>
    </row>
    <row r="26" spans="1:8" x14ac:dyDescent="0.2">
      <c r="A26" s="857" t="s">
        <v>706</v>
      </c>
      <c r="B26" s="856"/>
      <c r="C26" s="856"/>
      <c r="D26" s="856"/>
      <c r="E26" s="856"/>
      <c r="F26" s="856"/>
      <c r="G26" s="856"/>
      <c r="H26" s="856"/>
    </row>
    <row r="27" spans="1:8" x14ac:dyDescent="0.2">
      <c r="A27" s="856"/>
      <c r="B27" s="856"/>
      <c r="C27" s="856"/>
      <c r="D27" s="856"/>
      <c r="E27" s="856"/>
      <c r="F27" s="856"/>
      <c r="G27" s="856"/>
      <c r="H27" s="856"/>
    </row>
    <row r="28" spans="1:8" x14ac:dyDescent="0.2">
      <c r="A28" s="856"/>
      <c r="B28" s="856"/>
      <c r="C28" s="856"/>
      <c r="D28" s="856"/>
      <c r="E28" s="856"/>
      <c r="F28" s="856"/>
      <c r="G28" s="856"/>
      <c r="H28" s="856"/>
    </row>
    <row r="29" spans="1:8" x14ac:dyDescent="0.2">
      <c r="A29" s="857" t="s">
        <v>698</v>
      </c>
      <c r="B29" s="856"/>
      <c r="C29" s="856"/>
      <c r="D29" s="856"/>
      <c r="E29" s="856"/>
      <c r="F29" s="856"/>
      <c r="G29" s="856"/>
      <c r="H29" s="856"/>
    </row>
    <row r="30" spans="1:8" x14ac:dyDescent="0.2">
      <c r="A30" s="857" t="s">
        <v>699</v>
      </c>
      <c r="B30" s="856"/>
      <c r="C30" s="856"/>
      <c r="D30" s="856"/>
      <c r="E30" s="856"/>
      <c r="F30" s="856"/>
      <c r="G30" s="856"/>
      <c r="H30" s="856"/>
    </row>
    <row r="31" spans="1:8" x14ac:dyDescent="0.2">
      <c r="A31" s="857" t="s">
        <v>700</v>
      </c>
      <c r="B31" s="856"/>
      <c r="C31" s="856"/>
      <c r="D31" s="856"/>
      <c r="E31" s="856"/>
      <c r="F31" s="856"/>
      <c r="G31" s="856"/>
      <c r="H31" s="856"/>
    </row>
    <row r="32" spans="1:8" x14ac:dyDescent="0.2">
      <c r="A32" s="857" t="s">
        <v>701</v>
      </c>
      <c r="B32" s="856"/>
      <c r="C32" s="856"/>
      <c r="D32" s="856"/>
      <c r="E32" s="856"/>
      <c r="F32" s="856"/>
      <c r="G32" s="856"/>
      <c r="H32" s="856"/>
    </row>
    <row r="33" spans="1:8" x14ac:dyDescent="0.2">
      <c r="A33" s="857" t="s">
        <v>702</v>
      </c>
      <c r="B33" s="856"/>
      <c r="C33" s="856"/>
      <c r="D33" s="856"/>
      <c r="E33" s="856"/>
      <c r="F33" s="856"/>
      <c r="G33" s="856"/>
      <c r="H33" s="856"/>
    </row>
    <row r="34" spans="1:8" x14ac:dyDescent="0.2">
      <c r="A34" s="856"/>
      <c r="B34" s="856"/>
      <c r="C34" s="856"/>
      <c r="D34" s="856"/>
      <c r="E34" s="856"/>
      <c r="F34" s="856"/>
      <c r="G34" s="856"/>
      <c r="H34" s="856"/>
    </row>
    <row r="35" spans="1:8" x14ac:dyDescent="0.2">
      <c r="A35" s="857" t="s">
        <v>694</v>
      </c>
      <c r="B35" s="856"/>
      <c r="C35" s="856"/>
      <c r="D35" s="856"/>
      <c r="E35" s="856"/>
      <c r="F35" s="856"/>
      <c r="G35" s="856"/>
      <c r="H35" s="856"/>
    </row>
    <row r="36" spans="1:8" x14ac:dyDescent="0.2">
      <c r="A36" s="857" t="s">
        <v>695</v>
      </c>
      <c r="B36" s="856"/>
      <c r="C36" s="856"/>
      <c r="D36" s="856"/>
      <c r="E36" s="856"/>
      <c r="F36" s="856"/>
      <c r="G36" s="856"/>
      <c r="H36" s="856"/>
    </row>
    <row r="37" spans="1:8" x14ac:dyDescent="0.2">
      <c r="A37" s="857" t="s">
        <v>696</v>
      </c>
      <c r="B37" s="856"/>
      <c r="C37" s="856"/>
      <c r="D37" s="856"/>
      <c r="E37" s="856"/>
      <c r="F37" s="856"/>
      <c r="G37" s="856"/>
      <c r="H37" s="856"/>
    </row>
    <row r="38" spans="1:8" x14ac:dyDescent="0.2">
      <c r="A38" s="857" t="s">
        <v>697</v>
      </c>
      <c r="B38" s="856"/>
      <c r="C38" s="856"/>
      <c r="D38" s="856"/>
      <c r="E38" s="856"/>
      <c r="F38" s="856"/>
      <c r="G38" s="856"/>
      <c r="H38" s="856"/>
    </row>
    <row r="39" spans="1:8" x14ac:dyDescent="0.2">
      <c r="A39" s="856"/>
      <c r="B39" s="856"/>
      <c r="C39" s="856"/>
      <c r="D39" s="856"/>
      <c r="E39" s="856"/>
      <c r="F39" s="856"/>
      <c r="G39" s="856"/>
      <c r="H39" s="856"/>
    </row>
    <row r="40" spans="1:8" x14ac:dyDescent="0.2">
      <c r="A40" s="857" t="s">
        <v>688</v>
      </c>
      <c r="B40" s="856"/>
      <c r="C40" s="856"/>
      <c r="D40" s="856"/>
      <c r="E40" s="856"/>
      <c r="F40" s="856"/>
      <c r="G40" s="856"/>
      <c r="H40" s="856"/>
    </row>
    <row r="41" spans="1:8" x14ac:dyDescent="0.2">
      <c r="A41" s="857" t="s">
        <v>689</v>
      </c>
      <c r="B41" s="856"/>
      <c r="C41" s="856"/>
      <c r="D41" s="856"/>
      <c r="E41" s="856"/>
      <c r="F41" s="856"/>
      <c r="G41" s="856"/>
      <c r="H41" s="856"/>
    </row>
    <row r="42" spans="1:8" x14ac:dyDescent="0.2">
      <c r="A42" s="857" t="s">
        <v>690</v>
      </c>
      <c r="B42" s="856"/>
      <c r="C42" s="856"/>
      <c r="D42" s="856"/>
      <c r="E42" s="856"/>
      <c r="F42" s="856"/>
      <c r="G42" s="856"/>
      <c r="H42" s="856"/>
    </row>
    <row r="43" spans="1:8" x14ac:dyDescent="0.2">
      <c r="A43" s="857" t="s">
        <v>691</v>
      </c>
      <c r="B43" s="856"/>
      <c r="C43" s="856"/>
      <c r="D43" s="856"/>
      <c r="E43" s="856"/>
      <c r="F43" s="856"/>
      <c r="G43" s="856"/>
      <c r="H43" s="856"/>
    </row>
    <row r="44" spans="1:8" x14ac:dyDescent="0.2">
      <c r="A44" s="857" t="s">
        <v>692</v>
      </c>
      <c r="B44" s="856"/>
      <c r="C44" s="856"/>
      <c r="D44" s="856"/>
      <c r="E44" s="856"/>
      <c r="F44" s="856"/>
      <c r="G44" s="856"/>
      <c r="H44" s="856"/>
    </row>
    <row r="45" spans="1:8" x14ac:dyDescent="0.2">
      <c r="A45" s="857" t="s">
        <v>693</v>
      </c>
      <c r="B45" s="856"/>
      <c r="C45" s="856"/>
      <c r="D45" s="856"/>
      <c r="E45" s="856"/>
      <c r="F45" s="856"/>
      <c r="G45" s="856"/>
      <c r="H45" s="856"/>
    </row>
    <row r="46" spans="1:8" x14ac:dyDescent="0.2">
      <c r="A46" s="856"/>
      <c r="B46" s="856"/>
      <c r="C46" s="856"/>
      <c r="D46" s="856"/>
      <c r="E46" s="856"/>
      <c r="F46" s="856"/>
      <c r="G46" s="856"/>
      <c r="H46" s="856"/>
    </row>
    <row r="47" spans="1:8" ht="15.75" x14ac:dyDescent="0.2">
      <c r="A47" s="858" t="s">
        <v>421</v>
      </c>
      <c r="B47" s="856"/>
      <c r="C47" s="856"/>
      <c r="D47" s="856"/>
      <c r="E47" s="856"/>
      <c r="F47" s="856"/>
      <c r="G47" s="856"/>
      <c r="H47" s="856"/>
    </row>
    <row r="48" spans="1:8" x14ac:dyDescent="0.2">
      <c r="A48" s="856"/>
      <c r="B48" s="856"/>
      <c r="C48" s="856"/>
      <c r="D48" s="856"/>
      <c r="E48" s="856"/>
      <c r="F48" s="856"/>
      <c r="G48" s="856"/>
      <c r="H48" s="856"/>
    </row>
    <row r="49" spans="1:8" x14ac:dyDescent="0.2">
      <c r="A49" s="857" t="s">
        <v>684</v>
      </c>
      <c r="B49" s="856"/>
      <c r="C49" s="856"/>
      <c r="D49" s="856"/>
      <c r="E49" s="856"/>
      <c r="F49" s="856"/>
      <c r="G49" s="856"/>
      <c r="H49" s="856"/>
    </row>
    <row r="50" spans="1:8" x14ac:dyDescent="0.2">
      <c r="A50" s="857" t="s">
        <v>685</v>
      </c>
      <c r="B50" s="856"/>
      <c r="C50" s="856"/>
      <c r="D50" s="856"/>
      <c r="E50" s="856"/>
      <c r="F50" s="856"/>
      <c r="G50" s="856"/>
      <c r="H50" s="856"/>
    </row>
    <row r="51" spans="1:8" x14ac:dyDescent="0.2">
      <c r="A51" s="857" t="s">
        <v>686</v>
      </c>
      <c r="B51" s="856"/>
      <c r="C51" s="856"/>
      <c r="D51" s="856"/>
      <c r="E51" s="856"/>
      <c r="F51" s="856"/>
      <c r="G51" s="856"/>
      <c r="H51" s="856"/>
    </row>
    <row r="52" spans="1:8" x14ac:dyDescent="0.2">
      <c r="A52" s="857" t="s">
        <v>687</v>
      </c>
      <c r="B52" s="856"/>
      <c r="C52" s="856"/>
      <c r="D52" s="856"/>
      <c r="E52" s="856"/>
      <c r="F52" s="856"/>
      <c r="G52" s="856"/>
      <c r="H52" s="856"/>
    </row>
    <row r="53" spans="1:8" x14ac:dyDescent="0.2">
      <c r="A53" s="856"/>
      <c r="B53" s="856"/>
      <c r="C53" s="856"/>
      <c r="D53" s="856"/>
      <c r="E53" s="856"/>
      <c r="F53" s="856"/>
      <c r="G53" s="856"/>
      <c r="H53" s="856"/>
    </row>
    <row r="54" spans="1:8" x14ac:dyDescent="0.2">
      <c r="A54" s="857" t="s">
        <v>422</v>
      </c>
      <c r="B54" s="856"/>
      <c r="C54" s="856"/>
      <c r="D54" s="856"/>
      <c r="E54" s="856"/>
      <c r="F54" s="856"/>
      <c r="G54" s="856"/>
      <c r="H54" s="856"/>
    </row>
    <row r="55" spans="1:8" x14ac:dyDescent="0.2">
      <c r="A55" s="856"/>
      <c r="B55" s="856"/>
      <c r="C55" s="856"/>
      <c r="D55" s="856"/>
      <c r="E55" s="856"/>
      <c r="F55" s="856"/>
      <c r="G55" s="856"/>
      <c r="H55" s="856"/>
    </row>
    <row r="56" spans="1:8" ht="15.75" x14ac:dyDescent="0.2">
      <c r="A56" s="858" t="s">
        <v>423</v>
      </c>
      <c r="B56" s="856"/>
      <c r="C56" s="856"/>
      <c r="D56" s="856"/>
      <c r="E56" s="856"/>
      <c r="F56" s="856"/>
      <c r="G56" s="856"/>
      <c r="H56" s="856"/>
    </row>
    <row r="57" spans="1:8" x14ac:dyDescent="0.2">
      <c r="A57" s="856"/>
      <c r="B57" s="856"/>
      <c r="C57" s="856"/>
      <c r="D57" s="856"/>
      <c r="E57" s="856"/>
      <c r="F57" s="856"/>
      <c r="G57" s="856"/>
      <c r="H57" s="856"/>
    </row>
    <row r="58" spans="1:8" x14ac:dyDescent="0.2">
      <c r="A58" s="857" t="s">
        <v>682</v>
      </c>
      <c r="B58" s="856"/>
      <c r="C58" s="856"/>
      <c r="D58" s="856"/>
      <c r="E58" s="856"/>
      <c r="F58" s="856"/>
      <c r="G58" s="856"/>
      <c r="H58" s="856"/>
    </row>
    <row r="59" spans="1:8" x14ac:dyDescent="0.2">
      <c r="A59" s="857" t="s">
        <v>683</v>
      </c>
      <c r="B59" s="856"/>
      <c r="C59" s="856"/>
      <c r="D59" s="856"/>
      <c r="E59" s="856"/>
      <c r="F59" s="856"/>
      <c r="G59" s="856"/>
      <c r="H59" s="856"/>
    </row>
    <row r="60" spans="1:8" x14ac:dyDescent="0.2">
      <c r="A60" s="856"/>
      <c r="B60" s="856"/>
      <c r="C60" s="856"/>
      <c r="D60" s="856"/>
      <c r="E60" s="856"/>
      <c r="F60" s="856"/>
      <c r="G60" s="856"/>
      <c r="H60" s="856"/>
    </row>
    <row r="61" spans="1:8" ht="15.75" x14ac:dyDescent="0.2">
      <c r="A61" s="858" t="s">
        <v>424</v>
      </c>
      <c r="B61" s="856"/>
      <c r="C61" s="856"/>
      <c r="D61" s="856"/>
      <c r="E61" s="856"/>
      <c r="F61" s="856"/>
      <c r="G61" s="856"/>
      <c r="H61" s="856"/>
    </row>
    <row r="62" spans="1:8" x14ac:dyDescent="0.2">
      <c r="A62" s="856"/>
      <c r="B62" s="856"/>
      <c r="C62" s="856"/>
      <c r="D62" s="856"/>
      <c r="E62" s="856"/>
      <c r="F62" s="856"/>
      <c r="G62" s="856"/>
      <c r="H62" s="856"/>
    </row>
    <row r="63" spans="1:8" x14ac:dyDescent="0.2">
      <c r="A63" s="857" t="s">
        <v>680</v>
      </c>
      <c r="B63" s="856"/>
      <c r="C63" s="856"/>
      <c r="D63" s="856"/>
      <c r="E63" s="856"/>
      <c r="F63" s="856"/>
      <c r="G63" s="856"/>
      <c r="H63" s="856"/>
    </row>
    <row r="64" spans="1:8" x14ac:dyDescent="0.2">
      <c r="A64" s="857" t="s">
        <v>681</v>
      </c>
      <c r="B64" s="856"/>
      <c r="C64" s="856"/>
      <c r="D64" s="856"/>
      <c r="E64" s="856"/>
      <c r="F64" s="856"/>
      <c r="G64" s="856"/>
      <c r="H64" s="856"/>
    </row>
    <row r="65" spans="1:8" x14ac:dyDescent="0.2">
      <c r="A65" s="856"/>
      <c r="B65" s="856"/>
      <c r="C65" s="856"/>
      <c r="D65" s="856"/>
      <c r="E65" s="856"/>
      <c r="F65" s="856"/>
      <c r="G65" s="856"/>
      <c r="H65" s="856"/>
    </row>
    <row r="66" spans="1:8" x14ac:dyDescent="0.2">
      <c r="A66" s="857" t="s">
        <v>678</v>
      </c>
      <c r="B66" s="856"/>
      <c r="C66" s="856"/>
      <c r="D66" s="856"/>
      <c r="E66" s="856"/>
      <c r="F66" s="856"/>
      <c r="G66" s="856"/>
      <c r="H66" s="856"/>
    </row>
    <row r="67" spans="1:8" x14ac:dyDescent="0.2">
      <c r="A67" s="857" t="s">
        <v>679</v>
      </c>
      <c r="B67" s="856"/>
      <c r="C67" s="856"/>
      <c r="D67" s="856"/>
      <c r="E67" s="856"/>
      <c r="F67" s="856"/>
      <c r="G67" s="856"/>
      <c r="H67" s="856"/>
    </row>
    <row r="68" spans="1:8" x14ac:dyDescent="0.2">
      <c r="A68" s="856"/>
      <c r="B68" s="856"/>
      <c r="C68" s="856"/>
      <c r="D68" s="856"/>
      <c r="E68" s="856"/>
      <c r="F68" s="856"/>
      <c r="G68" s="856"/>
      <c r="H68" s="856"/>
    </row>
    <row r="69" spans="1:8" x14ac:dyDescent="0.2">
      <c r="A69" s="857" t="s">
        <v>676</v>
      </c>
      <c r="B69" s="856"/>
      <c r="C69" s="856"/>
      <c r="D69" s="856"/>
      <c r="E69" s="856"/>
      <c r="F69" s="856"/>
      <c r="G69" s="856"/>
      <c r="H69" s="856"/>
    </row>
    <row r="70" spans="1:8" x14ac:dyDescent="0.2">
      <c r="A70" s="857" t="s">
        <v>677</v>
      </c>
      <c r="B70" s="856"/>
      <c r="C70" s="856"/>
      <c r="D70" s="856"/>
      <c r="E70" s="856"/>
      <c r="F70" s="856"/>
      <c r="G70" s="856"/>
      <c r="H70" s="856"/>
    </row>
    <row r="71" spans="1:8" x14ac:dyDescent="0.2">
      <c r="A71" s="856"/>
      <c r="B71" s="856"/>
      <c r="C71" s="856"/>
      <c r="D71" s="856"/>
      <c r="E71" s="856"/>
      <c r="F71" s="856"/>
      <c r="G71" s="856"/>
      <c r="H71" s="856"/>
    </row>
    <row r="72" spans="1:8" x14ac:dyDescent="0.2">
      <c r="A72" s="857" t="s">
        <v>674</v>
      </c>
      <c r="B72" s="856"/>
      <c r="C72" s="856"/>
      <c r="D72" s="856"/>
      <c r="E72" s="856"/>
      <c r="F72" s="856"/>
      <c r="G72" s="856"/>
      <c r="H72" s="856"/>
    </row>
    <row r="73" spans="1:8" x14ac:dyDescent="0.2">
      <c r="A73" s="857" t="s">
        <v>675</v>
      </c>
      <c r="B73" s="856"/>
      <c r="C73" s="856"/>
      <c r="D73" s="856"/>
      <c r="E73" s="856"/>
      <c r="F73" s="856"/>
      <c r="G73" s="856"/>
      <c r="H73" s="856"/>
    </row>
    <row r="74" spans="1:8" x14ac:dyDescent="0.2">
      <c r="A74" s="856"/>
      <c r="B74" s="856"/>
      <c r="C74" s="856"/>
      <c r="D74" s="856"/>
      <c r="E74" s="856"/>
      <c r="F74" s="856"/>
      <c r="G74" s="856"/>
      <c r="H74" s="856"/>
    </row>
    <row r="75" spans="1:8" x14ac:dyDescent="0.2">
      <c r="A75" s="857" t="s">
        <v>672</v>
      </c>
      <c r="B75" s="856"/>
      <c r="C75" s="856"/>
      <c r="D75" s="856"/>
      <c r="E75" s="856"/>
      <c r="F75" s="856"/>
      <c r="G75" s="856"/>
      <c r="H75" s="856"/>
    </row>
    <row r="76" spans="1:8" x14ac:dyDescent="0.2">
      <c r="A76" s="857" t="s">
        <v>673</v>
      </c>
      <c r="B76" s="856"/>
      <c r="C76" s="856"/>
      <c r="D76" s="856"/>
      <c r="E76" s="856"/>
      <c r="F76" s="856"/>
      <c r="G76" s="856"/>
      <c r="H76" s="856"/>
    </row>
    <row r="77" spans="1:8" x14ac:dyDescent="0.2">
      <c r="A77" s="856"/>
      <c r="B77" s="856"/>
      <c r="C77" s="856"/>
      <c r="D77" s="856"/>
      <c r="E77" s="856"/>
      <c r="F77" s="856"/>
      <c r="G77" s="856"/>
      <c r="H77" s="856"/>
    </row>
    <row r="78" spans="1:8" x14ac:dyDescent="0.2">
      <c r="A78" s="857" t="s">
        <v>669</v>
      </c>
      <c r="B78" s="856"/>
      <c r="C78" s="856"/>
      <c r="D78" s="856"/>
      <c r="E78" s="856"/>
      <c r="F78" s="856"/>
      <c r="G78" s="856"/>
      <c r="H78" s="856"/>
    </row>
    <row r="79" spans="1:8" x14ac:dyDescent="0.2">
      <c r="A79" s="857" t="s">
        <v>670</v>
      </c>
      <c r="B79" s="856"/>
      <c r="C79" s="856"/>
      <c r="D79" s="856"/>
      <c r="E79" s="856"/>
      <c r="F79" s="856"/>
      <c r="G79" s="856"/>
      <c r="H79" s="856"/>
    </row>
    <row r="80" spans="1:8" x14ac:dyDescent="0.2">
      <c r="A80" s="857" t="s">
        <v>671</v>
      </c>
      <c r="B80" s="856"/>
      <c r="C80" s="856"/>
      <c r="D80" s="856"/>
      <c r="E80" s="856"/>
      <c r="F80" s="856"/>
      <c r="G80" s="856"/>
      <c r="H80" s="856"/>
    </row>
    <row r="81" spans="1:8" x14ac:dyDescent="0.2">
      <c r="A81" s="856"/>
      <c r="B81" s="856"/>
      <c r="C81" s="856"/>
      <c r="D81" s="856"/>
      <c r="E81" s="856"/>
      <c r="F81" s="856"/>
      <c r="G81" s="856"/>
      <c r="H81" s="856"/>
    </row>
    <row r="82" spans="1:8" x14ac:dyDescent="0.2">
      <c r="A82" s="857" t="s">
        <v>425</v>
      </c>
      <c r="B82" s="856"/>
      <c r="C82" s="856"/>
      <c r="D82" s="856"/>
      <c r="E82" s="856"/>
      <c r="F82" s="856"/>
      <c r="G82" s="856"/>
      <c r="H82" s="856"/>
    </row>
    <row r="83" spans="1:8" x14ac:dyDescent="0.2">
      <c r="A83" s="856"/>
      <c r="B83" s="856"/>
      <c r="C83" s="856"/>
      <c r="D83" s="856"/>
      <c r="E83" s="856"/>
      <c r="F83" s="856"/>
      <c r="G83" s="856"/>
      <c r="H83" s="856"/>
    </row>
    <row r="84" spans="1:8" x14ac:dyDescent="0.2">
      <c r="A84" s="857" t="s">
        <v>664</v>
      </c>
      <c r="B84" s="856"/>
      <c r="C84" s="856"/>
      <c r="D84" s="856"/>
      <c r="E84" s="856"/>
      <c r="F84" s="856"/>
      <c r="G84" s="856"/>
      <c r="H84" s="856"/>
    </row>
    <row r="85" spans="1:8" x14ac:dyDescent="0.2">
      <c r="A85" s="857" t="s">
        <v>665</v>
      </c>
      <c r="B85" s="856"/>
      <c r="C85" s="856"/>
      <c r="D85" s="856"/>
      <c r="E85" s="856"/>
      <c r="F85" s="856"/>
      <c r="G85" s="856"/>
      <c r="H85" s="856"/>
    </row>
    <row r="86" spans="1:8" x14ac:dyDescent="0.2">
      <c r="A86" s="857" t="s">
        <v>666</v>
      </c>
      <c r="B86" s="856"/>
      <c r="C86" s="856"/>
      <c r="D86" s="856"/>
      <c r="E86" s="856"/>
      <c r="F86" s="856"/>
      <c r="G86" s="856"/>
      <c r="H86" s="856"/>
    </row>
    <row r="87" spans="1:8" x14ac:dyDescent="0.2">
      <c r="A87" s="857" t="s">
        <v>667</v>
      </c>
      <c r="B87" s="856"/>
      <c r="C87" s="856"/>
      <c r="D87" s="856"/>
      <c r="E87" s="856"/>
      <c r="F87" s="856"/>
      <c r="G87" s="856"/>
      <c r="H87" s="856"/>
    </row>
    <row r="88" spans="1:8" x14ac:dyDescent="0.2">
      <c r="A88" s="857" t="s">
        <v>668</v>
      </c>
      <c r="B88" s="856"/>
      <c r="C88" s="856"/>
      <c r="D88" s="856"/>
      <c r="E88" s="856"/>
      <c r="F88" s="856"/>
      <c r="G88" s="856"/>
      <c r="H88" s="856"/>
    </row>
    <row r="89" spans="1:8" x14ac:dyDescent="0.2">
      <c r="A89" s="857" t="s">
        <v>551</v>
      </c>
      <c r="B89" s="856"/>
      <c r="C89" s="856"/>
      <c r="D89" s="856"/>
      <c r="E89" s="856"/>
      <c r="F89" s="856"/>
      <c r="G89" s="856"/>
      <c r="H89" s="856"/>
    </row>
    <row r="90" spans="1:8" x14ac:dyDescent="0.2">
      <c r="A90" s="856"/>
      <c r="B90" s="856"/>
      <c r="C90" s="856"/>
      <c r="D90" s="856"/>
      <c r="E90" s="856"/>
      <c r="F90" s="856"/>
      <c r="G90" s="856"/>
      <c r="H90" s="856"/>
    </row>
    <row r="91" spans="1:8" x14ac:dyDescent="0.2">
      <c r="A91" s="857" t="s">
        <v>657</v>
      </c>
      <c r="B91" s="856"/>
      <c r="C91" s="856"/>
      <c r="D91" s="856"/>
      <c r="E91" s="856"/>
      <c r="F91" s="856"/>
      <c r="G91" s="856"/>
      <c r="H91" s="856"/>
    </row>
    <row r="92" spans="1:8" x14ac:dyDescent="0.2">
      <c r="A92" s="857" t="s">
        <v>658</v>
      </c>
      <c r="B92" s="856"/>
      <c r="C92" s="856"/>
      <c r="D92" s="856"/>
      <c r="E92" s="856"/>
      <c r="F92" s="856"/>
      <c r="G92" s="856"/>
      <c r="H92" s="856"/>
    </row>
    <row r="93" spans="1:8" x14ac:dyDescent="0.2">
      <c r="A93" s="857" t="s">
        <v>659</v>
      </c>
      <c r="B93" s="856"/>
      <c r="C93" s="856"/>
      <c r="D93" s="856"/>
      <c r="E93" s="856"/>
      <c r="F93" s="856"/>
      <c r="G93" s="856"/>
      <c r="H93" s="856"/>
    </row>
    <row r="94" spans="1:8" x14ac:dyDescent="0.2">
      <c r="A94" s="857" t="s">
        <v>660</v>
      </c>
      <c r="B94" s="856"/>
      <c r="C94" s="856"/>
      <c r="D94" s="856"/>
      <c r="E94" s="856"/>
      <c r="F94" s="856"/>
      <c r="G94" s="856"/>
      <c r="H94" s="856"/>
    </row>
    <row r="95" spans="1:8" x14ac:dyDescent="0.2">
      <c r="A95" s="857" t="s">
        <v>661</v>
      </c>
      <c r="B95" s="856"/>
      <c r="C95" s="856"/>
      <c r="D95" s="856"/>
      <c r="E95" s="856"/>
      <c r="F95" s="856"/>
      <c r="G95" s="856"/>
      <c r="H95" s="856"/>
    </row>
    <row r="96" spans="1:8" x14ac:dyDescent="0.2">
      <c r="A96" s="857" t="s">
        <v>662</v>
      </c>
      <c r="B96" s="856"/>
      <c r="C96" s="856"/>
      <c r="D96" s="856"/>
      <c r="E96" s="856"/>
      <c r="F96" s="856"/>
      <c r="G96" s="856"/>
      <c r="H96" s="856"/>
    </row>
    <row r="97" spans="1:8" x14ac:dyDescent="0.2">
      <c r="A97" s="857" t="s">
        <v>663</v>
      </c>
      <c r="B97" s="856"/>
      <c r="C97" s="856"/>
      <c r="D97" s="856"/>
      <c r="E97" s="856"/>
      <c r="F97" s="856"/>
      <c r="G97" s="856"/>
      <c r="H97" s="856"/>
    </row>
    <row r="98" spans="1:8" x14ac:dyDescent="0.2">
      <c r="A98" s="856"/>
      <c r="B98" s="856"/>
      <c r="C98" s="856"/>
      <c r="D98" s="856"/>
      <c r="E98" s="856"/>
      <c r="F98" s="856"/>
      <c r="G98" s="856"/>
      <c r="H98" s="856"/>
    </row>
    <row r="99" spans="1:8" x14ac:dyDescent="0.2">
      <c r="A99" s="857" t="s">
        <v>655</v>
      </c>
      <c r="B99" s="856"/>
      <c r="C99" s="856"/>
      <c r="D99" s="856"/>
      <c r="E99" s="856"/>
      <c r="F99" s="856"/>
      <c r="G99" s="856"/>
      <c r="H99" s="856"/>
    </row>
    <row r="100" spans="1:8" x14ac:dyDescent="0.2">
      <c r="A100" s="857" t="s">
        <v>656</v>
      </c>
      <c r="B100" s="856"/>
      <c r="C100" s="856"/>
      <c r="D100" s="856"/>
      <c r="E100" s="856"/>
      <c r="F100" s="856"/>
      <c r="G100" s="856"/>
      <c r="H100" s="856"/>
    </row>
    <row r="101" spans="1:8" x14ac:dyDescent="0.2">
      <c r="A101" s="856"/>
      <c r="B101" s="856"/>
      <c r="C101" s="856"/>
      <c r="D101" s="856"/>
      <c r="E101" s="856"/>
      <c r="F101" s="856"/>
      <c r="G101" s="856"/>
      <c r="H101" s="856"/>
    </row>
    <row r="102" spans="1:8" ht="15.75" x14ac:dyDescent="0.2">
      <c r="A102" s="858" t="s">
        <v>426</v>
      </c>
      <c r="B102" s="856"/>
      <c r="C102" s="856"/>
      <c r="D102" s="856"/>
      <c r="E102" s="856"/>
      <c r="F102" s="856"/>
      <c r="G102" s="856"/>
      <c r="H102" s="856"/>
    </row>
    <row r="103" spans="1:8" x14ac:dyDescent="0.2">
      <c r="A103" s="856"/>
      <c r="B103" s="856"/>
      <c r="C103" s="856"/>
      <c r="D103" s="856"/>
      <c r="E103" s="856"/>
      <c r="F103" s="856"/>
      <c r="G103" s="856"/>
      <c r="H103" s="856"/>
    </row>
    <row r="104" spans="1:8" x14ac:dyDescent="0.2">
      <c r="A104" s="857" t="s">
        <v>646</v>
      </c>
      <c r="B104" s="856"/>
      <c r="C104" s="856"/>
      <c r="D104" s="856"/>
      <c r="E104" s="856"/>
      <c r="F104" s="856"/>
      <c r="G104" s="856"/>
      <c r="H104" s="856"/>
    </row>
    <row r="105" spans="1:8" x14ac:dyDescent="0.2">
      <c r="A105" s="857" t="s">
        <v>647</v>
      </c>
      <c r="B105" s="856"/>
      <c r="C105" s="856"/>
      <c r="D105" s="856"/>
      <c r="E105" s="856"/>
      <c r="F105" s="856"/>
      <c r="G105" s="856"/>
      <c r="H105" s="856"/>
    </row>
    <row r="106" spans="1:8" x14ac:dyDescent="0.2">
      <c r="A106" s="857" t="s">
        <v>648</v>
      </c>
      <c r="B106" s="856"/>
      <c r="C106" s="856"/>
      <c r="D106" s="856"/>
      <c r="E106" s="856"/>
      <c r="F106" s="856"/>
      <c r="G106" s="856"/>
      <c r="H106" s="856"/>
    </row>
    <row r="107" spans="1:8" x14ac:dyDescent="0.2">
      <c r="A107" s="857" t="s">
        <v>649</v>
      </c>
      <c r="B107" s="856"/>
      <c r="C107" s="856"/>
      <c r="D107" s="856"/>
      <c r="E107" s="856"/>
      <c r="F107" s="856"/>
      <c r="G107" s="856"/>
      <c r="H107" s="856"/>
    </row>
    <row r="108" spans="1:8" x14ac:dyDescent="0.2">
      <c r="A108" s="857" t="s">
        <v>650</v>
      </c>
      <c r="B108" s="856"/>
      <c r="C108" s="856"/>
      <c r="D108" s="856"/>
      <c r="E108" s="856"/>
      <c r="F108" s="856"/>
      <c r="G108" s="856"/>
      <c r="H108" s="856"/>
    </row>
    <row r="109" spans="1:8" x14ac:dyDescent="0.2">
      <c r="A109" s="857" t="s">
        <v>651</v>
      </c>
      <c r="B109" s="856"/>
      <c r="C109" s="856"/>
      <c r="D109" s="856"/>
      <c r="E109" s="856"/>
      <c r="F109" s="856"/>
      <c r="G109" s="856"/>
      <c r="H109" s="856"/>
    </row>
    <row r="110" spans="1:8" x14ac:dyDescent="0.2">
      <c r="A110" s="857" t="s">
        <v>652</v>
      </c>
      <c r="B110" s="856"/>
      <c r="C110" s="856"/>
      <c r="D110" s="856"/>
      <c r="E110" s="856"/>
      <c r="F110" s="856"/>
      <c r="G110" s="856"/>
      <c r="H110" s="856"/>
    </row>
    <row r="111" spans="1:8" x14ac:dyDescent="0.2">
      <c r="A111" s="857" t="s">
        <v>653</v>
      </c>
      <c r="B111" s="856"/>
      <c r="C111" s="856"/>
      <c r="D111" s="856"/>
      <c r="E111" s="856"/>
      <c r="F111" s="856"/>
      <c r="G111" s="856"/>
      <c r="H111" s="856"/>
    </row>
    <row r="112" spans="1:8" x14ac:dyDescent="0.2">
      <c r="A112" s="857" t="s">
        <v>654</v>
      </c>
      <c r="B112" s="856"/>
      <c r="C112" s="856"/>
      <c r="D112" s="856"/>
      <c r="E112" s="856"/>
      <c r="F112" s="856"/>
      <c r="G112" s="856"/>
      <c r="H112" s="856"/>
    </row>
    <row r="113" spans="1:8" x14ac:dyDescent="0.2">
      <c r="A113" s="856"/>
      <c r="B113" s="856"/>
      <c r="C113" s="856"/>
      <c r="D113" s="856"/>
      <c r="E113" s="856"/>
      <c r="F113" s="856"/>
      <c r="G113" s="856"/>
      <c r="H113" s="856"/>
    </row>
    <row r="114" spans="1:8" ht="15.75" x14ac:dyDescent="0.2">
      <c r="A114" s="859" t="s">
        <v>427</v>
      </c>
      <c r="B114" s="859"/>
      <c r="C114" s="859"/>
      <c r="D114" s="859"/>
      <c r="E114" s="859"/>
      <c r="F114" s="859"/>
      <c r="G114" s="859"/>
      <c r="H114" s="859"/>
    </row>
    <row r="115" spans="1:8" x14ac:dyDescent="0.2">
      <c r="A115" s="860" t="s">
        <v>428</v>
      </c>
      <c r="B115" s="860"/>
      <c r="C115" s="860"/>
      <c r="D115" s="860"/>
      <c r="E115" s="860"/>
      <c r="F115" s="860"/>
      <c r="G115" s="860"/>
      <c r="H115" s="860"/>
    </row>
    <row r="116" spans="1:8" x14ac:dyDescent="0.2">
      <c r="A116" s="861"/>
      <c r="B116" s="861"/>
      <c r="C116" s="861"/>
      <c r="D116" s="861"/>
      <c r="E116" s="861"/>
      <c r="F116" s="861"/>
      <c r="G116" s="861"/>
      <c r="H116" s="861"/>
    </row>
    <row r="117" spans="1:8" x14ac:dyDescent="0.2">
      <c r="A117" s="860" t="s">
        <v>644</v>
      </c>
      <c r="B117" s="860"/>
      <c r="C117" s="860"/>
      <c r="D117" s="860"/>
      <c r="E117" s="860"/>
      <c r="F117" s="860"/>
      <c r="G117" s="860"/>
      <c r="H117" s="860"/>
    </row>
    <row r="118" spans="1:8" x14ac:dyDescent="0.2">
      <c r="A118" s="857" t="s">
        <v>645</v>
      </c>
      <c r="B118" s="857"/>
      <c r="C118" s="857"/>
      <c r="D118" s="857"/>
      <c r="E118" s="857"/>
      <c r="F118" s="857"/>
      <c r="G118" s="857"/>
      <c r="H118" s="857"/>
    </row>
    <row r="119" spans="1:8" x14ac:dyDescent="0.2">
      <c r="A119" s="861"/>
      <c r="B119" s="861"/>
      <c r="C119" s="861"/>
      <c r="D119" s="861"/>
      <c r="E119" s="861"/>
      <c r="F119" s="861"/>
      <c r="G119" s="861"/>
      <c r="H119" s="861"/>
    </row>
    <row r="120" spans="1:8" x14ac:dyDescent="0.2">
      <c r="A120" s="860" t="s">
        <v>637</v>
      </c>
      <c r="B120" s="860"/>
      <c r="C120" s="860"/>
      <c r="D120" s="860"/>
      <c r="E120" s="860"/>
      <c r="F120" s="860"/>
      <c r="G120" s="860"/>
      <c r="H120" s="860"/>
    </row>
    <row r="121" spans="1:8" x14ac:dyDescent="0.2">
      <c r="A121" s="857" t="s">
        <v>638</v>
      </c>
      <c r="B121" s="857"/>
      <c r="C121" s="857"/>
      <c r="D121" s="857"/>
      <c r="E121" s="857"/>
      <c r="F121" s="857"/>
      <c r="G121" s="857"/>
      <c r="H121" s="857"/>
    </row>
    <row r="122" spans="1:8" x14ac:dyDescent="0.2">
      <c r="A122" s="857" t="s">
        <v>639</v>
      </c>
      <c r="B122" s="857"/>
      <c r="C122" s="857"/>
      <c r="D122" s="857"/>
      <c r="E122" s="857"/>
      <c r="F122" s="857"/>
      <c r="G122" s="857"/>
      <c r="H122" s="857"/>
    </row>
    <row r="123" spans="1:8" x14ac:dyDescent="0.2">
      <c r="A123" s="857" t="s">
        <v>640</v>
      </c>
      <c r="B123" s="857"/>
      <c r="C123" s="857"/>
      <c r="D123" s="857"/>
      <c r="E123" s="857"/>
      <c r="F123" s="857"/>
      <c r="G123" s="857"/>
      <c r="H123" s="857"/>
    </row>
    <row r="124" spans="1:8" x14ac:dyDescent="0.2">
      <c r="A124" s="857" t="s">
        <v>641</v>
      </c>
      <c r="B124" s="857"/>
      <c r="C124" s="857"/>
      <c r="D124" s="857"/>
      <c r="E124" s="857"/>
      <c r="F124" s="857"/>
      <c r="G124" s="857"/>
      <c r="H124" s="857"/>
    </row>
    <row r="125" spans="1:8" x14ac:dyDescent="0.2">
      <c r="A125" s="857" t="s">
        <v>642</v>
      </c>
      <c r="B125" s="857"/>
      <c r="C125" s="857"/>
      <c r="D125" s="857"/>
      <c r="E125" s="857"/>
      <c r="F125" s="857"/>
      <c r="G125" s="857"/>
      <c r="H125" s="857"/>
    </row>
    <row r="126" spans="1:8" x14ac:dyDescent="0.2">
      <c r="A126" s="857" t="s">
        <v>643</v>
      </c>
      <c r="B126" s="857"/>
      <c r="C126" s="857"/>
      <c r="D126" s="857"/>
      <c r="E126" s="857"/>
      <c r="F126" s="857"/>
      <c r="G126" s="857"/>
      <c r="H126" s="857"/>
    </row>
    <row r="127" spans="1:8" x14ac:dyDescent="0.2">
      <c r="A127" s="862"/>
      <c r="B127" s="862"/>
      <c r="C127" s="862"/>
      <c r="D127" s="862"/>
      <c r="E127" s="862"/>
      <c r="F127" s="862"/>
      <c r="G127" s="862"/>
      <c r="H127" s="862"/>
    </row>
    <row r="128" spans="1:8" x14ac:dyDescent="0.2">
      <c r="A128" s="863"/>
      <c r="B128" s="864" t="s">
        <v>429</v>
      </c>
      <c r="C128" s="865"/>
      <c r="D128" s="864" t="s">
        <v>430</v>
      </c>
      <c r="E128" s="866"/>
      <c r="F128" s="865"/>
      <c r="G128" s="864" t="s">
        <v>431</v>
      </c>
      <c r="H128" s="865"/>
    </row>
    <row r="129" spans="1:8" x14ac:dyDescent="0.2">
      <c r="A129" s="863" t="s">
        <v>432</v>
      </c>
      <c r="B129" s="863" t="s">
        <v>295</v>
      </c>
      <c r="C129" s="863" t="s">
        <v>433</v>
      </c>
      <c r="D129" s="863" t="s">
        <v>295</v>
      </c>
      <c r="E129" s="863" t="s">
        <v>434</v>
      </c>
      <c r="F129" s="863" t="s">
        <v>435</v>
      </c>
      <c r="G129" s="863" t="s">
        <v>295</v>
      </c>
      <c r="H129" s="863" t="s">
        <v>436</v>
      </c>
    </row>
    <row r="130" spans="1:8" x14ac:dyDescent="0.2">
      <c r="A130" s="863" t="s">
        <v>437</v>
      </c>
      <c r="B130" s="863">
        <v>1189</v>
      </c>
      <c r="C130" s="867">
        <v>0.38</v>
      </c>
      <c r="D130" s="863">
        <v>315</v>
      </c>
      <c r="E130" s="867">
        <v>0.41</v>
      </c>
      <c r="F130" s="867">
        <v>0.26</v>
      </c>
      <c r="G130" s="863">
        <v>555</v>
      </c>
      <c r="H130" s="867">
        <v>0.39</v>
      </c>
    </row>
    <row r="131" spans="1:8" x14ac:dyDescent="0.2">
      <c r="A131" s="863" t="s">
        <v>438</v>
      </c>
      <c r="B131" s="863">
        <v>1355</v>
      </c>
      <c r="C131" s="867">
        <v>0.43</v>
      </c>
      <c r="D131" s="863">
        <v>364</v>
      </c>
      <c r="E131" s="867">
        <v>0.47</v>
      </c>
      <c r="F131" s="867">
        <v>0.27</v>
      </c>
      <c r="G131" s="863">
        <v>644</v>
      </c>
      <c r="H131" s="867">
        <v>0.45</v>
      </c>
    </row>
    <row r="132" spans="1:8" x14ac:dyDescent="0.2">
      <c r="A132" s="863" t="s">
        <v>439</v>
      </c>
      <c r="B132" s="863">
        <v>53</v>
      </c>
      <c r="C132" s="867">
        <v>0.02</v>
      </c>
      <c r="D132" s="863">
        <v>4</v>
      </c>
      <c r="E132" s="867">
        <v>0.01</v>
      </c>
      <c r="F132" s="867">
        <v>0.08</v>
      </c>
      <c r="G132" s="863">
        <v>7</v>
      </c>
      <c r="H132" s="867">
        <v>0</v>
      </c>
    </row>
    <row r="133" spans="1:8" x14ac:dyDescent="0.2">
      <c r="A133" s="863" t="s">
        <v>440</v>
      </c>
      <c r="B133" s="863">
        <v>545</v>
      </c>
      <c r="C133" s="867">
        <v>0.17</v>
      </c>
      <c r="D133" s="863">
        <v>84</v>
      </c>
      <c r="E133" s="867">
        <v>0.11</v>
      </c>
      <c r="F133" s="867">
        <v>0.15</v>
      </c>
      <c r="G133" s="863">
        <v>214</v>
      </c>
      <c r="H133" s="867">
        <v>0.15</v>
      </c>
    </row>
    <row r="134" spans="1:8" x14ac:dyDescent="0.2">
      <c r="A134" s="863" t="s">
        <v>159</v>
      </c>
      <c r="B134" s="868">
        <v>3142</v>
      </c>
      <c r="C134" s="863"/>
      <c r="D134" s="863">
        <v>767</v>
      </c>
      <c r="E134" s="863"/>
      <c r="F134" s="863"/>
      <c r="G134" s="863">
        <v>1420</v>
      </c>
      <c r="H134" s="863"/>
    </row>
    <row r="135" spans="1:8" x14ac:dyDescent="0.2">
      <c r="A135" s="869"/>
      <c r="B135" s="869"/>
      <c r="C135" s="869"/>
      <c r="D135" s="869"/>
      <c r="E135" s="869"/>
      <c r="F135" s="869"/>
      <c r="G135" s="869"/>
      <c r="H135" s="869"/>
    </row>
    <row r="136" spans="1:8" x14ac:dyDescent="0.2">
      <c r="A136" s="860" t="s">
        <v>633</v>
      </c>
      <c r="B136" s="860"/>
      <c r="C136" s="860"/>
      <c r="D136" s="860"/>
      <c r="E136" s="860"/>
      <c r="F136" s="860"/>
      <c r="G136" s="860"/>
      <c r="H136" s="860"/>
    </row>
    <row r="137" spans="1:8" x14ac:dyDescent="0.2">
      <c r="A137" s="857" t="s">
        <v>634</v>
      </c>
      <c r="B137" s="857"/>
      <c r="C137" s="857"/>
      <c r="D137" s="857"/>
      <c r="E137" s="857"/>
      <c r="F137" s="857"/>
      <c r="G137" s="857"/>
      <c r="H137" s="857"/>
    </row>
    <row r="138" spans="1:8" x14ac:dyDescent="0.2">
      <c r="A138" s="857" t="s">
        <v>635</v>
      </c>
      <c r="B138" s="857"/>
      <c r="C138" s="857"/>
      <c r="D138" s="857"/>
      <c r="E138" s="857"/>
      <c r="F138" s="857"/>
      <c r="G138" s="857"/>
      <c r="H138" s="857"/>
    </row>
    <row r="139" spans="1:8" x14ac:dyDescent="0.2">
      <c r="A139" s="857" t="s">
        <v>636</v>
      </c>
      <c r="B139" s="857"/>
      <c r="C139" s="857"/>
      <c r="D139" s="857"/>
      <c r="E139" s="857"/>
      <c r="F139" s="857"/>
      <c r="G139" s="857"/>
      <c r="H139" s="857"/>
    </row>
    <row r="140" spans="1:8" x14ac:dyDescent="0.2">
      <c r="A140" s="856"/>
      <c r="B140" s="856"/>
      <c r="C140" s="856"/>
      <c r="D140" s="856"/>
      <c r="E140" s="856"/>
      <c r="F140" s="856"/>
      <c r="G140" s="856"/>
      <c r="H140" s="856"/>
    </row>
    <row r="141" spans="1:8" ht="15.75" x14ac:dyDescent="0.2">
      <c r="A141" s="858" t="s">
        <v>441</v>
      </c>
      <c r="B141" s="856"/>
      <c r="C141" s="856"/>
      <c r="D141" s="856"/>
      <c r="E141" s="856"/>
      <c r="F141" s="856"/>
      <c r="G141" s="856"/>
      <c r="H141" s="856"/>
    </row>
    <row r="142" spans="1:8" x14ac:dyDescent="0.2">
      <c r="A142" s="856"/>
      <c r="B142" s="856"/>
      <c r="C142" s="856"/>
      <c r="D142" s="856"/>
      <c r="E142" s="856"/>
      <c r="F142" s="856"/>
      <c r="G142" s="856"/>
      <c r="H142" s="856"/>
    </row>
    <row r="143" spans="1:8" x14ac:dyDescent="0.2">
      <c r="A143" s="857" t="s">
        <v>631</v>
      </c>
      <c r="B143" s="856"/>
      <c r="C143" s="856"/>
      <c r="D143" s="856"/>
      <c r="E143" s="856"/>
      <c r="F143" s="856"/>
      <c r="G143" s="856"/>
      <c r="H143" s="856"/>
    </row>
    <row r="144" spans="1:8" x14ac:dyDescent="0.2">
      <c r="A144" s="857" t="s">
        <v>632</v>
      </c>
      <c r="B144" s="856"/>
      <c r="C144" s="856"/>
      <c r="D144" s="856"/>
      <c r="E144" s="856"/>
      <c r="F144" s="856"/>
      <c r="G144" s="856"/>
      <c r="H144" s="856"/>
    </row>
    <row r="145" spans="1:8" x14ac:dyDescent="0.2">
      <c r="A145" s="856"/>
      <c r="B145" s="856"/>
      <c r="C145" s="856"/>
      <c r="D145" s="856"/>
      <c r="E145" s="856"/>
      <c r="F145" s="856"/>
      <c r="G145" s="856"/>
      <c r="H145" s="856"/>
    </row>
    <row r="146" spans="1:8" x14ac:dyDescent="0.2">
      <c r="A146" s="857" t="s">
        <v>628</v>
      </c>
      <c r="B146" s="856"/>
      <c r="C146" s="856"/>
      <c r="D146" s="856"/>
      <c r="E146" s="856"/>
      <c r="F146" s="856"/>
      <c r="G146" s="856"/>
      <c r="H146" s="856"/>
    </row>
    <row r="147" spans="1:8" x14ac:dyDescent="0.2">
      <c r="A147" s="857" t="s">
        <v>629</v>
      </c>
      <c r="B147" s="856"/>
      <c r="C147" s="856"/>
      <c r="D147" s="856"/>
      <c r="E147" s="856"/>
      <c r="F147" s="856"/>
      <c r="G147" s="856"/>
      <c r="H147" s="856"/>
    </row>
    <row r="148" spans="1:8" x14ac:dyDescent="0.2">
      <c r="A148" s="857" t="s">
        <v>630</v>
      </c>
      <c r="B148" s="856"/>
      <c r="C148" s="856"/>
      <c r="D148" s="856"/>
      <c r="E148" s="856"/>
      <c r="F148" s="856"/>
      <c r="G148" s="856"/>
      <c r="H148" s="856"/>
    </row>
    <row r="149" spans="1:8" x14ac:dyDescent="0.2">
      <c r="A149" s="856"/>
      <c r="B149" s="856"/>
      <c r="C149" s="856"/>
      <c r="D149" s="856"/>
      <c r="E149" s="856"/>
      <c r="F149" s="856"/>
      <c r="G149" s="856"/>
      <c r="H149" s="856"/>
    </row>
    <row r="150" spans="1:8" x14ac:dyDescent="0.2">
      <c r="A150" s="857" t="s">
        <v>625</v>
      </c>
      <c r="B150" s="856"/>
      <c r="C150" s="856"/>
      <c r="D150" s="856"/>
      <c r="E150" s="856"/>
      <c r="F150" s="856"/>
      <c r="G150" s="856"/>
      <c r="H150" s="856"/>
    </row>
    <row r="151" spans="1:8" x14ac:dyDescent="0.2">
      <c r="A151" s="857" t="s">
        <v>626</v>
      </c>
      <c r="B151" s="856"/>
      <c r="C151" s="856"/>
      <c r="D151" s="856"/>
      <c r="E151" s="856"/>
      <c r="F151" s="856"/>
      <c r="G151" s="856"/>
      <c r="H151" s="856"/>
    </row>
    <row r="152" spans="1:8" x14ac:dyDescent="0.2">
      <c r="A152" s="857" t="s">
        <v>627</v>
      </c>
      <c r="B152" s="856"/>
      <c r="C152" s="856"/>
      <c r="D152" s="856"/>
      <c r="E152" s="856"/>
      <c r="F152" s="856"/>
      <c r="G152" s="856"/>
      <c r="H152" s="856"/>
    </row>
    <row r="153" spans="1:8" x14ac:dyDescent="0.2">
      <c r="A153" s="856"/>
      <c r="B153" s="856"/>
      <c r="C153" s="856"/>
      <c r="D153" s="856"/>
      <c r="E153" s="856"/>
      <c r="F153" s="856"/>
      <c r="G153" s="856"/>
      <c r="H153" s="856"/>
    </row>
    <row r="154" spans="1:8" x14ac:dyDescent="0.2">
      <c r="A154" s="857" t="s">
        <v>622</v>
      </c>
      <c r="B154" s="856"/>
      <c r="C154" s="856"/>
      <c r="D154" s="856"/>
      <c r="E154" s="856"/>
      <c r="F154" s="856"/>
      <c r="G154" s="856"/>
      <c r="H154" s="856"/>
    </row>
    <row r="155" spans="1:8" x14ac:dyDescent="0.2">
      <c r="A155" s="857" t="s">
        <v>623</v>
      </c>
      <c r="B155" s="856"/>
      <c r="C155" s="856"/>
      <c r="D155" s="856"/>
      <c r="E155" s="856"/>
      <c r="F155" s="856"/>
      <c r="G155" s="856"/>
      <c r="H155" s="856"/>
    </row>
    <row r="156" spans="1:8" x14ac:dyDescent="0.2">
      <c r="A156" s="857" t="s">
        <v>624</v>
      </c>
      <c r="B156" s="856"/>
      <c r="C156" s="856"/>
      <c r="D156" s="856"/>
      <c r="E156" s="856"/>
      <c r="F156" s="856"/>
      <c r="G156" s="856"/>
      <c r="H156" s="856"/>
    </row>
    <row r="157" spans="1:8" x14ac:dyDescent="0.2">
      <c r="A157" s="856"/>
      <c r="B157" s="856"/>
      <c r="C157" s="856"/>
      <c r="D157" s="856"/>
      <c r="E157" s="856"/>
      <c r="F157" s="856"/>
      <c r="G157" s="856"/>
      <c r="H157" s="856"/>
    </row>
    <row r="158" spans="1:8" x14ac:dyDescent="0.2">
      <c r="A158" s="857" t="s">
        <v>620</v>
      </c>
      <c r="B158" s="856"/>
      <c r="C158" s="856"/>
      <c r="D158" s="856"/>
      <c r="E158" s="856"/>
      <c r="F158" s="856"/>
      <c r="G158" s="856"/>
      <c r="H158" s="856"/>
    </row>
    <row r="159" spans="1:8" x14ac:dyDescent="0.2">
      <c r="A159" s="857" t="s">
        <v>621</v>
      </c>
      <c r="B159" s="856"/>
      <c r="C159" s="856"/>
      <c r="D159" s="856"/>
      <c r="E159" s="856"/>
      <c r="F159" s="856"/>
      <c r="G159" s="856"/>
      <c r="H159" s="856"/>
    </row>
    <row r="160" spans="1:8" x14ac:dyDescent="0.2">
      <c r="A160" s="856"/>
      <c r="B160" s="856"/>
      <c r="C160" s="856"/>
      <c r="D160" s="856"/>
      <c r="E160" s="856"/>
      <c r="F160" s="856"/>
      <c r="G160" s="856"/>
      <c r="H160" s="856"/>
    </row>
    <row r="161" spans="1:8" ht="15.75" x14ac:dyDescent="0.2">
      <c r="A161" s="858" t="s">
        <v>442</v>
      </c>
      <c r="B161" s="856"/>
      <c r="C161" s="856"/>
      <c r="D161" s="856"/>
      <c r="E161" s="856"/>
      <c r="F161" s="856"/>
      <c r="G161" s="856"/>
      <c r="H161" s="856"/>
    </row>
    <row r="162" spans="1:8" x14ac:dyDescent="0.2">
      <c r="A162" s="856"/>
      <c r="B162" s="856"/>
      <c r="C162" s="856"/>
      <c r="D162" s="856"/>
      <c r="E162" s="856"/>
      <c r="F162" s="856"/>
      <c r="G162" s="856"/>
      <c r="H162" s="856"/>
    </row>
    <row r="163" spans="1:8" x14ac:dyDescent="0.2">
      <c r="A163" s="857" t="s">
        <v>618</v>
      </c>
      <c r="B163" s="856"/>
      <c r="C163" s="856"/>
      <c r="D163" s="856"/>
      <c r="E163" s="856"/>
      <c r="F163" s="856"/>
      <c r="G163" s="856"/>
      <c r="H163" s="856"/>
    </row>
    <row r="164" spans="1:8" x14ac:dyDescent="0.2">
      <c r="A164" s="857" t="s">
        <v>619</v>
      </c>
      <c r="B164" s="856"/>
      <c r="C164" s="856"/>
      <c r="D164" s="856"/>
      <c r="E164" s="856"/>
      <c r="F164" s="856"/>
      <c r="G164" s="856"/>
      <c r="H164" s="856"/>
    </row>
    <row r="165" spans="1:8" x14ac:dyDescent="0.2">
      <c r="A165" s="856"/>
      <c r="B165" s="856"/>
      <c r="C165" s="856"/>
      <c r="D165" s="856"/>
      <c r="E165" s="856"/>
      <c r="F165" s="856"/>
      <c r="G165" s="856"/>
      <c r="H165" s="856"/>
    </row>
    <row r="166" spans="1:8" x14ac:dyDescent="0.2">
      <c r="A166" s="857" t="s">
        <v>616</v>
      </c>
      <c r="B166" s="856"/>
      <c r="C166" s="856"/>
      <c r="D166" s="856"/>
      <c r="E166" s="856"/>
      <c r="F166" s="856"/>
      <c r="G166" s="856"/>
      <c r="H166" s="856"/>
    </row>
    <row r="167" spans="1:8" x14ac:dyDescent="0.2">
      <c r="A167" s="857" t="s">
        <v>617</v>
      </c>
      <c r="B167" s="856"/>
      <c r="C167" s="856"/>
      <c r="D167" s="856"/>
      <c r="E167" s="856"/>
      <c r="F167" s="856"/>
      <c r="G167" s="856"/>
      <c r="H167" s="856"/>
    </row>
    <row r="168" spans="1:8" x14ac:dyDescent="0.2">
      <c r="A168" s="856"/>
      <c r="B168" s="856"/>
      <c r="C168" s="856"/>
      <c r="D168" s="856"/>
      <c r="E168" s="856"/>
      <c r="F168" s="856"/>
      <c r="G168" s="856"/>
      <c r="H168" s="856"/>
    </row>
    <row r="169" spans="1:8" x14ac:dyDescent="0.2">
      <c r="A169" s="857" t="s">
        <v>614</v>
      </c>
      <c r="B169" s="856"/>
      <c r="C169" s="856"/>
      <c r="D169" s="856"/>
      <c r="E169" s="856"/>
      <c r="F169" s="856"/>
      <c r="G169" s="856"/>
      <c r="H169" s="856"/>
    </row>
    <row r="170" spans="1:8" x14ac:dyDescent="0.2">
      <c r="A170" s="857" t="s">
        <v>615</v>
      </c>
      <c r="B170" s="856"/>
      <c r="C170" s="856"/>
      <c r="D170" s="856"/>
      <c r="E170" s="856"/>
      <c r="F170" s="856"/>
      <c r="G170" s="856"/>
      <c r="H170" s="856"/>
    </row>
    <row r="171" spans="1:8" x14ac:dyDescent="0.2">
      <c r="A171" s="856"/>
      <c r="B171" s="856"/>
      <c r="C171" s="856"/>
      <c r="D171" s="856"/>
      <c r="E171" s="856"/>
      <c r="F171" s="856"/>
      <c r="G171" s="856"/>
      <c r="H171" s="856"/>
    </row>
    <row r="172" spans="1:8" x14ac:dyDescent="0.2">
      <c r="A172" s="857" t="s">
        <v>611</v>
      </c>
      <c r="B172" s="856"/>
      <c r="C172" s="856"/>
      <c r="D172" s="856"/>
      <c r="E172" s="856"/>
      <c r="F172" s="856"/>
      <c r="G172" s="856"/>
      <c r="H172" s="856"/>
    </row>
    <row r="173" spans="1:8" x14ac:dyDescent="0.2">
      <c r="A173" s="857" t="s">
        <v>612</v>
      </c>
      <c r="B173" s="856"/>
      <c r="C173" s="856"/>
      <c r="D173" s="856"/>
      <c r="E173" s="856"/>
      <c r="F173" s="856"/>
      <c r="G173" s="856"/>
      <c r="H173" s="856"/>
    </row>
    <row r="174" spans="1:8" x14ac:dyDescent="0.2">
      <c r="A174" s="857" t="s">
        <v>613</v>
      </c>
      <c r="B174" s="856"/>
      <c r="C174" s="856"/>
      <c r="D174" s="856"/>
      <c r="E174" s="856"/>
      <c r="F174" s="856"/>
      <c r="G174" s="856"/>
      <c r="H174" s="856"/>
    </row>
    <row r="175" spans="1:8" x14ac:dyDescent="0.2">
      <c r="A175" s="856"/>
      <c r="B175" s="856"/>
      <c r="C175" s="856"/>
      <c r="D175" s="856"/>
      <c r="E175" s="856"/>
      <c r="F175" s="856"/>
      <c r="G175" s="856"/>
      <c r="H175" s="856"/>
    </row>
    <row r="176" spans="1:8" x14ac:dyDescent="0.2">
      <c r="A176" s="856"/>
      <c r="B176" s="856"/>
      <c r="C176" s="856"/>
      <c r="D176" s="856"/>
      <c r="E176" s="856"/>
      <c r="F176" s="856"/>
      <c r="G176" s="856"/>
      <c r="H176" s="856"/>
    </row>
    <row r="177" spans="1:8" x14ac:dyDescent="0.2">
      <c r="A177" s="857" t="s">
        <v>443</v>
      </c>
      <c r="B177" s="856"/>
      <c r="C177" s="856"/>
      <c r="D177" s="856"/>
      <c r="E177" s="856"/>
      <c r="F177" s="856"/>
      <c r="G177" s="856"/>
      <c r="H177" s="856"/>
    </row>
    <row r="178" spans="1:8" x14ac:dyDescent="0.2">
      <c r="A178" s="856"/>
      <c r="B178" s="856"/>
      <c r="C178" s="856"/>
      <c r="D178" s="856"/>
      <c r="E178" s="856"/>
      <c r="F178" s="856"/>
      <c r="G178" s="856"/>
      <c r="H178" s="856"/>
    </row>
    <row r="179" spans="1:8" ht="15.75" x14ac:dyDescent="0.2">
      <c r="A179" s="858" t="s">
        <v>444</v>
      </c>
      <c r="B179" s="856"/>
      <c r="C179" s="856"/>
      <c r="D179" s="856"/>
      <c r="E179" s="856"/>
      <c r="F179" s="856"/>
      <c r="G179" s="856"/>
      <c r="H179" s="856"/>
    </row>
    <row r="180" spans="1:8" x14ac:dyDescent="0.2">
      <c r="A180" s="856"/>
      <c r="B180" s="856"/>
      <c r="C180" s="856"/>
      <c r="D180" s="856"/>
      <c r="E180" s="856"/>
      <c r="F180" s="856"/>
      <c r="G180" s="856"/>
      <c r="H180" s="856"/>
    </row>
    <row r="181" spans="1:8" x14ac:dyDescent="0.2">
      <c r="A181" s="856"/>
      <c r="B181" s="856"/>
      <c r="C181" s="856"/>
      <c r="D181" s="856"/>
      <c r="E181" s="856"/>
      <c r="F181" s="856"/>
      <c r="G181" s="856"/>
      <c r="H181" s="856"/>
    </row>
    <row r="182" spans="1:8" x14ac:dyDescent="0.2">
      <c r="A182" s="856"/>
      <c r="B182" s="856"/>
      <c r="C182" s="856"/>
      <c r="D182" s="856"/>
      <c r="E182" s="856"/>
      <c r="F182" s="856"/>
      <c r="G182" s="856"/>
      <c r="H182" s="856"/>
    </row>
    <row r="183" spans="1:8" x14ac:dyDescent="0.2">
      <c r="A183" s="856"/>
      <c r="B183" s="856"/>
      <c r="C183" s="856"/>
      <c r="D183" s="856"/>
      <c r="E183" s="856"/>
      <c r="F183" s="856"/>
      <c r="G183" s="856"/>
      <c r="H183" s="856"/>
    </row>
    <row r="184" spans="1:8" x14ac:dyDescent="0.2">
      <c r="A184" s="856"/>
      <c r="B184" s="856"/>
      <c r="C184" s="856"/>
      <c r="D184" s="856"/>
      <c r="E184" s="856"/>
      <c r="F184" s="856"/>
      <c r="G184" s="856"/>
      <c r="H184" s="856"/>
    </row>
    <row r="185" spans="1:8" x14ac:dyDescent="0.2">
      <c r="A185" s="856"/>
      <c r="B185" s="856"/>
      <c r="C185" s="856"/>
      <c r="D185" s="856"/>
      <c r="E185" s="856"/>
      <c r="F185" s="856"/>
      <c r="G185" s="856"/>
      <c r="H185" s="856"/>
    </row>
    <row r="186" spans="1:8" x14ac:dyDescent="0.2">
      <c r="A186" s="856"/>
      <c r="B186" s="856"/>
      <c r="C186" s="856"/>
      <c r="D186" s="856"/>
      <c r="E186" s="856"/>
      <c r="F186" s="856"/>
      <c r="G186" s="856"/>
      <c r="H186" s="856"/>
    </row>
    <row r="187" spans="1:8" x14ac:dyDescent="0.2">
      <c r="A187" s="856"/>
      <c r="B187" s="856"/>
      <c r="C187" s="856"/>
      <c r="D187" s="856"/>
      <c r="E187" s="856"/>
      <c r="F187" s="856"/>
      <c r="G187" s="856"/>
      <c r="H187" s="856"/>
    </row>
    <row r="188" spans="1:8" x14ac:dyDescent="0.2">
      <c r="A188" s="856"/>
      <c r="B188" s="856"/>
      <c r="C188" s="856"/>
      <c r="D188" s="856"/>
      <c r="E188" s="856"/>
      <c r="F188" s="856"/>
      <c r="G188" s="856"/>
      <c r="H188" s="856"/>
    </row>
    <row r="189" spans="1:8" x14ac:dyDescent="0.2">
      <c r="A189" s="856"/>
      <c r="B189" s="856"/>
      <c r="C189" s="856"/>
      <c r="D189" s="856"/>
      <c r="E189" s="856"/>
      <c r="F189" s="856"/>
      <c r="G189" s="856"/>
      <c r="H189" s="856"/>
    </row>
    <row r="190" spans="1:8" x14ac:dyDescent="0.2">
      <c r="A190" s="856"/>
      <c r="B190" s="856"/>
      <c r="C190" s="856"/>
      <c r="D190" s="856"/>
      <c r="E190" s="856"/>
      <c r="F190" s="856"/>
      <c r="G190" s="856"/>
      <c r="H190" s="856"/>
    </row>
    <row r="191" spans="1:8" x14ac:dyDescent="0.2">
      <c r="A191" s="856"/>
      <c r="B191" s="856"/>
      <c r="C191" s="856"/>
      <c r="D191" s="856"/>
      <c r="E191" s="856"/>
      <c r="F191" s="856"/>
      <c r="G191" s="856"/>
      <c r="H191" s="856"/>
    </row>
    <row r="192" spans="1:8" x14ac:dyDescent="0.2">
      <c r="A192" s="856"/>
      <c r="B192" s="856"/>
      <c r="C192" s="856"/>
      <c r="D192" s="856"/>
      <c r="E192" s="856"/>
      <c r="F192" s="856"/>
      <c r="G192" s="856"/>
      <c r="H192" s="856"/>
    </row>
    <row r="193" spans="1:8" x14ac:dyDescent="0.2">
      <c r="A193" s="856"/>
      <c r="B193" s="856"/>
      <c r="C193" s="856"/>
      <c r="D193" s="856"/>
      <c r="E193" s="856"/>
      <c r="F193" s="856"/>
      <c r="G193" s="856"/>
      <c r="H193" s="856"/>
    </row>
    <row r="194" spans="1:8" x14ac:dyDescent="0.2">
      <c r="A194" s="856"/>
      <c r="B194" s="856"/>
      <c r="C194" s="856"/>
      <c r="D194" s="856"/>
      <c r="E194" s="856"/>
      <c r="F194" s="856"/>
      <c r="G194" s="856"/>
      <c r="H194" s="856"/>
    </row>
    <row r="195" spans="1:8" x14ac:dyDescent="0.2">
      <c r="A195" s="856"/>
      <c r="B195" s="856"/>
      <c r="C195" s="856"/>
      <c r="D195" s="856"/>
      <c r="E195" s="856"/>
      <c r="F195" s="856"/>
      <c r="G195" s="856"/>
      <c r="H195" s="856"/>
    </row>
    <row r="196" spans="1:8" x14ac:dyDescent="0.2">
      <c r="A196" s="856"/>
      <c r="B196" s="856"/>
      <c r="C196" s="856"/>
      <c r="D196" s="856"/>
      <c r="E196" s="856"/>
      <c r="F196" s="856"/>
      <c r="G196" s="856"/>
      <c r="H196" s="856"/>
    </row>
    <row r="197" spans="1:8" x14ac:dyDescent="0.2">
      <c r="A197" s="856"/>
      <c r="B197" s="856"/>
      <c r="C197" s="856"/>
      <c r="D197" s="856"/>
      <c r="E197" s="856"/>
      <c r="F197" s="856"/>
      <c r="G197" s="856"/>
      <c r="H197" s="856"/>
    </row>
    <row r="198" spans="1:8" x14ac:dyDescent="0.2">
      <c r="A198" s="856"/>
      <c r="B198" s="856"/>
      <c r="C198" s="856"/>
      <c r="D198" s="856"/>
      <c r="E198" s="856"/>
      <c r="F198" s="856"/>
      <c r="G198" s="856"/>
      <c r="H198" s="856"/>
    </row>
    <row r="199" spans="1:8" x14ac:dyDescent="0.2">
      <c r="A199" s="856"/>
      <c r="B199" s="856"/>
      <c r="C199" s="856"/>
      <c r="D199" s="856"/>
      <c r="E199" s="856"/>
      <c r="F199" s="856"/>
      <c r="G199" s="856"/>
      <c r="H199" s="856"/>
    </row>
    <row r="200" spans="1:8" x14ac:dyDescent="0.2">
      <c r="A200" s="856"/>
      <c r="B200" s="856"/>
      <c r="C200" s="856"/>
      <c r="D200" s="856"/>
      <c r="E200" s="856"/>
      <c r="F200" s="856"/>
      <c r="G200" s="856"/>
      <c r="H200" s="856"/>
    </row>
    <row r="201" spans="1:8" x14ac:dyDescent="0.2">
      <c r="A201" s="856"/>
      <c r="B201" s="856"/>
      <c r="C201" s="856"/>
      <c r="D201" s="856"/>
      <c r="E201" s="856"/>
      <c r="F201" s="856"/>
      <c r="G201" s="856"/>
      <c r="H201" s="856"/>
    </row>
    <row r="202" spans="1:8" x14ac:dyDescent="0.2">
      <c r="A202" s="856"/>
      <c r="B202" s="856"/>
      <c r="C202" s="856"/>
      <c r="D202" s="856"/>
      <c r="E202" s="856"/>
      <c r="F202" s="856"/>
      <c r="G202" s="856"/>
      <c r="H202" s="856"/>
    </row>
    <row r="203" spans="1:8" x14ac:dyDescent="0.2">
      <c r="A203" s="856"/>
      <c r="B203" s="856"/>
      <c r="C203" s="856"/>
      <c r="D203" s="856"/>
      <c r="E203" s="856"/>
      <c r="F203" s="856"/>
      <c r="G203" s="856"/>
      <c r="H203" s="856"/>
    </row>
    <row r="204" spans="1:8" x14ac:dyDescent="0.2">
      <c r="A204" s="856"/>
      <c r="B204" s="856"/>
      <c r="C204" s="856"/>
      <c r="D204" s="856"/>
      <c r="E204" s="856"/>
      <c r="F204" s="856"/>
      <c r="G204" s="856"/>
      <c r="H204" s="856"/>
    </row>
    <row r="205" spans="1:8" x14ac:dyDescent="0.2">
      <c r="A205" s="856"/>
      <c r="B205" s="856"/>
      <c r="C205" s="856"/>
      <c r="D205" s="856"/>
      <c r="E205" s="856"/>
      <c r="F205" s="856"/>
      <c r="G205" s="856"/>
      <c r="H205" s="856"/>
    </row>
    <row r="206" spans="1:8" ht="15.75" x14ac:dyDescent="0.2">
      <c r="A206" s="858" t="s">
        <v>445</v>
      </c>
      <c r="B206" s="856"/>
      <c r="C206" s="856"/>
      <c r="D206" s="856"/>
      <c r="E206" s="856"/>
      <c r="F206" s="856"/>
      <c r="G206" s="856"/>
      <c r="H206" s="856"/>
    </row>
    <row r="207" spans="1:8" x14ac:dyDescent="0.2">
      <c r="A207" s="856"/>
      <c r="B207" s="856"/>
      <c r="C207" s="856"/>
      <c r="D207" s="856"/>
      <c r="E207" s="856"/>
      <c r="F207" s="856"/>
      <c r="G207" s="856"/>
      <c r="H207" s="856"/>
    </row>
    <row r="208" spans="1:8" x14ac:dyDescent="0.2">
      <c r="A208" s="857" t="s">
        <v>606</v>
      </c>
      <c r="B208" s="856"/>
      <c r="C208" s="856"/>
      <c r="D208" s="856"/>
      <c r="E208" s="856"/>
      <c r="F208" s="856"/>
      <c r="G208" s="856"/>
      <c r="H208" s="856"/>
    </row>
    <row r="209" spans="1:8" x14ac:dyDescent="0.2">
      <c r="A209" s="857" t="s">
        <v>607</v>
      </c>
      <c r="B209" s="856"/>
      <c r="C209" s="856"/>
      <c r="D209" s="856"/>
      <c r="E209" s="856"/>
      <c r="F209" s="856"/>
      <c r="G209" s="856"/>
      <c r="H209" s="856"/>
    </row>
    <row r="210" spans="1:8" x14ac:dyDescent="0.2">
      <c r="A210" s="857" t="s">
        <v>608</v>
      </c>
      <c r="B210" s="856"/>
      <c r="C210" s="856"/>
      <c r="D210" s="856"/>
      <c r="E210" s="856"/>
      <c r="F210" s="856"/>
      <c r="G210" s="856"/>
      <c r="H210" s="856"/>
    </row>
    <row r="211" spans="1:8" x14ac:dyDescent="0.2">
      <c r="A211" s="857" t="s">
        <v>609</v>
      </c>
      <c r="B211" s="856"/>
      <c r="C211" s="856"/>
      <c r="D211" s="856"/>
      <c r="E211" s="856"/>
      <c r="F211" s="856"/>
      <c r="G211" s="856"/>
      <c r="H211" s="856"/>
    </row>
    <row r="212" spans="1:8" x14ac:dyDescent="0.2">
      <c r="A212" s="857" t="s">
        <v>610</v>
      </c>
      <c r="B212" s="856"/>
      <c r="C212" s="856"/>
      <c r="D212" s="856"/>
      <c r="E212" s="856"/>
      <c r="F212" s="856"/>
      <c r="G212" s="856"/>
      <c r="H212" s="856"/>
    </row>
    <row r="213" spans="1:8" x14ac:dyDescent="0.2">
      <c r="A213" s="856"/>
      <c r="B213" s="856"/>
      <c r="C213" s="856"/>
      <c r="D213" s="856"/>
      <c r="E213" s="856"/>
      <c r="F213" s="856"/>
      <c r="G213" s="856"/>
      <c r="H213" s="856"/>
    </row>
    <row r="214" spans="1:8" x14ac:dyDescent="0.2">
      <c r="A214" s="857" t="s">
        <v>603</v>
      </c>
      <c r="B214" s="856"/>
      <c r="C214" s="856"/>
      <c r="D214" s="856"/>
      <c r="E214" s="856"/>
      <c r="F214" s="856"/>
      <c r="G214" s="856"/>
      <c r="H214" s="856"/>
    </row>
    <row r="215" spans="1:8" x14ac:dyDescent="0.2">
      <c r="A215" s="857" t="s">
        <v>604</v>
      </c>
      <c r="B215" s="856"/>
      <c r="C215" s="856"/>
      <c r="D215" s="856"/>
      <c r="E215" s="856"/>
      <c r="F215" s="856"/>
      <c r="G215" s="856"/>
      <c r="H215" s="856"/>
    </row>
    <row r="216" spans="1:8" x14ac:dyDescent="0.2">
      <c r="A216" s="857" t="s">
        <v>605</v>
      </c>
      <c r="B216" s="856"/>
      <c r="C216" s="856"/>
      <c r="D216" s="856"/>
      <c r="E216" s="856"/>
      <c r="F216" s="856"/>
      <c r="G216" s="856"/>
      <c r="H216" s="856"/>
    </row>
    <row r="217" spans="1:8" ht="15.75" x14ac:dyDescent="0.2">
      <c r="A217" s="858" t="s">
        <v>446</v>
      </c>
      <c r="B217" s="856"/>
      <c r="C217" s="856"/>
      <c r="D217" s="856"/>
      <c r="E217" s="856"/>
      <c r="F217" s="856"/>
      <c r="G217" s="856"/>
      <c r="H217" s="856"/>
    </row>
    <row r="218" spans="1:8" x14ac:dyDescent="0.2">
      <c r="A218" s="856"/>
      <c r="B218" s="856"/>
      <c r="C218" s="856"/>
      <c r="D218" s="856"/>
      <c r="E218" s="856"/>
      <c r="F218" s="856"/>
      <c r="G218" s="856"/>
      <c r="H218" s="856"/>
    </row>
    <row r="219" spans="1:8" x14ac:dyDescent="0.2">
      <c r="A219" s="857" t="s">
        <v>601</v>
      </c>
      <c r="B219" s="856"/>
      <c r="C219" s="856"/>
      <c r="D219" s="856"/>
      <c r="E219" s="856"/>
      <c r="F219" s="856"/>
      <c r="G219" s="856"/>
      <c r="H219" s="856"/>
    </row>
    <row r="220" spans="1:8" x14ac:dyDescent="0.2">
      <c r="A220" s="857" t="s">
        <v>602</v>
      </c>
      <c r="B220" s="856"/>
      <c r="C220" s="856"/>
      <c r="D220" s="856"/>
      <c r="E220" s="856"/>
      <c r="F220" s="856"/>
      <c r="G220" s="856"/>
      <c r="H220" s="856"/>
    </row>
    <row r="221" spans="1:8" x14ac:dyDescent="0.2">
      <c r="A221" s="856"/>
      <c r="B221" s="856"/>
      <c r="C221" s="856"/>
      <c r="D221" s="856"/>
      <c r="E221" s="856"/>
      <c r="F221" s="856"/>
      <c r="G221" s="856"/>
      <c r="H221" s="856"/>
    </row>
    <row r="222" spans="1:8" x14ac:dyDescent="0.2">
      <c r="A222" s="857" t="s">
        <v>594</v>
      </c>
      <c r="B222" s="856"/>
      <c r="C222" s="856"/>
      <c r="D222" s="856"/>
      <c r="E222" s="856"/>
      <c r="F222" s="856"/>
      <c r="G222" s="856"/>
      <c r="H222" s="856"/>
    </row>
    <row r="223" spans="1:8" x14ac:dyDescent="0.2">
      <c r="A223" s="857" t="s">
        <v>595</v>
      </c>
      <c r="B223" s="856"/>
      <c r="C223" s="856"/>
      <c r="D223" s="856"/>
      <c r="E223" s="856"/>
      <c r="F223" s="856"/>
      <c r="G223" s="856"/>
      <c r="H223" s="856"/>
    </row>
    <row r="224" spans="1:8" x14ac:dyDescent="0.2">
      <c r="A224" s="857" t="s">
        <v>596</v>
      </c>
      <c r="B224" s="856"/>
      <c r="C224" s="856"/>
      <c r="D224" s="856"/>
      <c r="E224" s="856"/>
      <c r="F224" s="856"/>
      <c r="G224" s="856"/>
      <c r="H224" s="856"/>
    </row>
    <row r="225" spans="1:8" x14ac:dyDescent="0.2">
      <c r="A225" s="857" t="s">
        <v>597</v>
      </c>
      <c r="B225" s="856"/>
      <c r="C225" s="856"/>
      <c r="D225" s="856"/>
      <c r="E225" s="856"/>
      <c r="F225" s="856"/>
      <c r="G225" s="856"/>
      <c r="H225" s="856"/>
    </row>
    <row r="226" spans="1:8" x14ac:dyDescent="0.2">
      <c r="A226" s="857" t="s">
        <v>598</v>
      </c>
      <c r="B226" s="856"/>
      <c r="C226" s="856"/>
      <c r="D226" s="856"/>
      <c r="E226" s="856"/>
      <c r="F226" s="856"/>
      <c r="G226" s="856"/>
      <c r="H226" s="856"/>
    </row>
    <row r="227" spans="1:8" x14ac:dyDescent="0.2">
      <c r="A227" s="857" t="s">
        <v>599</v>
      </c>
      <c r="B227" s="856"/>
      <c r="C227" s="856"/>
      <c r="D227" s="856"/>
      <c r="E227" s="856"/>
      <c r="F227" s="856"/>
      <c r="G227" s="856"/>
      <c r="H227" s="856"/>
    </row>
    <row r="228" spans="1:8" x14ac:dyDescent="0.2">
      <c r="A228" s="857" t="s">
        <v>600</v>
      </c>
      <c r="B228" s="856"/>
      <c r="C228" s="856"/>
      <c r="D228" s="856"/>
      <c r="E228" s="856"/>
      <c r="F228" s="856"/>
      <c r="G228" s="856"/>
      <c r="H228" s="856"/>
    </row>
    <row r="229" spans="1:8" x14ac:dyDescent="0.2">
      <c r="A229" s="856"/>
      <c r="B229" s="856"/>
      <c r="C229" s="856"/>
      <c r="D229" s="856"/>
      <c r="E229" s="856"/>
      <c r="F229" s="856"/>
      <c r="G229" s="856"/>
      <c r="H229" s="856"/>
    </row>
    <row r="230" spans="1:8" x14ac:dyDescent="0.2">
      <c r="A230" s="857" t="s">
        <v>591</v>
      </c>
      <c r="B230" s="856"/>
      <c r="C230" s="856"/>
      <c r="D230" s="856"/>
      <c r="E230" s="856"/>
      <c r="F230" s="856"/>
      <c r="G230" s="856"/>
      <c r="H230" s="856"/>
    </row>
    <row r="231" spans="1:8" x14ac:dyDescent="0.2">
      <c r="A231" s="857" t="s">
        <v>592</v>
      </c>
      <c r="B231" s="856"/>
      <c r="C231" s="856"/>
      <c r="D231" s="856"/>
      <c r="E231" s="856"/>
      <c r="F231" s="856"/>
      <c r="G231" s="856"/>
      <c r="H231" s="856"/>
    </row>
    <row r="232" spans="1:8" x14ac:dyDescent="0.2">
      <c r="A232" s="857" t="s">
        <v>593</v>
      </c>
      <c r="B232" s="856"/>
      <c r="C232" s="856"/>
      <c r="D232" s="856"/>
      <c r="E232" s="856"/>
      <c r="F232" s="856"/>
      <c r="G232" s="856"/>
      <c r="H232" s="856"/>
    </row>
    <row r="233" spans="1:8" x14ac:dyDescent="0.2">
      <c r="A233" s="856"/>
      <c r="B233" s="856"/>
      <c r="C233" s="856"/>
      <c r="D233" s="856"/>
      <c r="E233" s="856"/>
      <c r="F233" s="856"/>
      <c r="G233" s="856"/>
      <c r="H233" s="856"/>
    </row>
    <row r="234" spans="1:8" x14ac:dyDescent="0.2">
      <c r="A234" s="857" t="s">
        <v>586</v>
      </c>
      <c r="B234" s="856"/>
      <c r="C234" s="856"/>
      <c r="D234" s="856"/>
      <c r="E234" s="856"/>
      <c r="F234" s="856"/>
      <c r="G234" s="856"/>
      <c r="H234" s="856"/>
    </row>
    <row r="235" spans="1:8" x14ac:dyDescent="0.2">
      <c r="A235" s="857" t="s">
        <v>587</v>
      </c>
      <c r="B235" s="856"/>
      <c r="C235" s="856"/>
      <c r="D235" s="856"/>
      <c r="E235" s="856"/>
      <c r="F235" s="856"/>
      <c r="G235" s="856"/>
      <c r="H235" s="856"/>
    </row>
    <row r="236" spans="1:8" x14ac:dyDescent="0.2">
      <c r="A236" s="857" t="s">
        <v>588</v>
      </c>
      <c r="B236" s="856"/>
      <c r="C236" s="856"/>
      <c r="D236" s="856"/>
      <c r="E236" s="856"/>
      <c r="F236" s="856"/>
      <c r="G236" s="856"/>
      <c r="H236" s="856"/>
    </row>
    <row r="237" spans="1:8" x14ac:dyDescent="0.2">
      <c r="A237" s="857" t="s">
        <v>589</v>
      </c>
      <c r="B237" s="856"/>
      <c r="C237" s="856"/>
      <c r="D237" s="856"/>
      <c r="E237" s="856"/>
      <c r="F237" s="856"/>
      <c r="G237" s="856"/>
      <c r="H237" s="856"/>
    </row>
    <row r="238" spans="1:8" x14ac:dyDescent="0.2">
      <c r="A238" s="857" t="s">
        <v>590</v>
      </c>
      <c r="B238" s="856"/>
      <c r="C238" s="856"/>
      <c r="D238" s="856"/>
      <c r="E238" s="856"/>
      <c r="F238" s="856"/>
      <c r="G238" s="856"/>
      <c r="H238" s="856"/>
    </row>
    <row r="239" spans="1:8" x14ac:dyDescent="0.2">
      <c r="A239" s="856"/>
      <c r="B239" s="856"/>
      <c r="C239" s="856"/>
      <c r="D239" s="856"/>
      <c r="E239" s="856"/>
      <c r="F239" s="856"/>
      <c r="G239" s="856"/>
      <c r="H239" s="856"/>
    </row>
    <row r="240" spans="1:8" x14ac:dyDescent="0.2">
      <c r="A240" s="857" t="s">
        <v>580</v>
      </c>
      <c r="B240" s="856"/>
      <c r="C240" s="856"/>
      <c r="D240" s="856"/>
      <c r="E240" s="856"/>
      <c r="F240" s="856"/>
      <c r="G240" s="856"/>
      <c r="H240" s="856"/>
    </row>
    <row r="241" spans="1:8" x14ac:dyDescent="0.2">
      <c r="A241" s="857" t="s">
        <v>581</v>
      </c>
      <c r="B241" s="856"/>
      <c r="C241" s="856"/>
      <c r="D241" s="856"/>
      <c r="E241" s="856"/>
      <c r="F241" s="856"/>
      <c r="G241" s="856"/>
      <c r="H241" s="856"/>
    </row>
    <row r="242" spans="1:8" x14ac:dyDescent="0.2">
      <c r="A242" s="857" t="s">
        <v>582</v>
      </c>
      <c r="B242" s="856"/>
      <c r="C242" s="856"/>
      <c r="D242" s="856"/>
      <c r="E242" s="856"/>
      <c r="F242" s="856"/>
      <c r="G242" s="856"/>
      <c r="H242" s="856"/>
    </row>
    <row r="243" spans="1:8" x14ac:dyDescent="0.2">
      <c r="A243" s="857" t="s">
        <v>583</v>
      </c>
      <c r="B243" s="856"/>
      <c r="C243" s="856"/>
      <c r="D243" s="856"/>
      <c r="E243" s="856"/>
      <c r="F243" s="856"/>
      <c r="G243" s="856"/>
      <c r="H243" s="856"/>
    </row>
    <row r="244" spans="1:8" x14ac:dyDescent="0.2">
      <c r="A244" s="857" t="s">
        <v>584</v>
      </c>
      <c r="B244" s="856"/>
      <c r="C244" s="856"/>
      <c r="D244" s="856"/>
      <c r="E244" s="856"/>
      <c r="F244" s="856"/>
      <c r="G244" s="856"/>
      <c r="H244" s="856"/>
    </row>
    <row r="245" spans="1:8" x14ac:dyDescent="0.2">
      <c r="A245" s="857" t="s">
        <v>585</v>
      </c>
      <c r="B245" s="856"/>
      <c r="C245" s="856"/>
      <c r="D245" s="856"/>
      <c r="E245" s="856"/>
      <c r="F245" s="856"/>
      <c r="G245" s="856"/>
      <c r="H245" s="856"/>
    </row>
    <row r="246" spans="1:8" x14ac:dyDescent="0.2">
      <c r="A246" s="856"/>
      <c r="B246" s="856"/>
      <c r="C246" s="856"/>
      <c r="D246" s="856"/>
      <c r="E246" s="856"/>
      <c r="F246" s="856"/>
      <c r="G246" s="856"/>
      <c r="H246" s="856"/>
    </row>
    <row r="247" spans="1:8" x14ac:dyDescent="0.2">
      <c r="A247" s="857" t="s">
        <v>570</v>
      </c>
      <c r="B247" s="856"/>
      <c r="C247" s="856"/>
      <c r="D247" s="856"/>
      <c r="E247" s="856"/>
      <c r="F247" s="856"/>
      <c r="G247" s="856"/>
      <c r="H247" s="856"/>
    </row>
    <row r="248" spans="1:8" x14ac:dyDescent="0.2">
      <c r="A248" s="857" t="s">
        <v>571</v>
      </c>
      <c r="B248" s="856"/>
      <c r="C248" s="856"/>
      <c r="D248" s="856"/>
      <c r="E248" s="856"/>
      <c r="F248" s="856"/>
      <c r="G248" s="856"/>
      <c r="H248" s="856"/>
    </row>
    <row r="249" spans="1:8" x14ac:dyDescent="0.2">
      <c r="A249" s="857" t="s">
        <v>572</v>
      </c>
      <c r="B249" s="856"/>
      <c r="C249" s="856"/>
      <c r="D249" s="856"/>
      <c r="E249" s="856"/>
      <c r="F249" s="856"/>
      <c r="G249" s="856"/>
      <c r="H249" s="856"/>
    </row>
    <row r="250" spans="1:8" x14ac:dyDescent="0.2">
      <c r="A250" s="857" t="s">
        <v>573</v>
      </c>
      <c r="B250" s="856"/>
      <c r="C250" s="856"/>
      <c r="D250" s="856"/>
      <c r="E250" s="856"/>
      <c r="F250" s="856"/>
      <c r="G250" s="856"/>
      <c r="H250" s="856"/>
    </row>
    <row r="251" spans="1:8" x14ac:dyDescent="0.2">
      <c r="A251" s="857" t="s">
        <v>574</v>
      </c>
      <c r="B251" s="856"/>
      <c r="C251" s="856"/>
      <c r="D251" s="856"/>
      <c r="E251" s="856"/>
      <c r="F251" s="856"/>
      <c r="G251" s="856"/>
      <c r="H251" s="856"/>
    </row>
    <row r="252" spans="1:8" x14ac:dyDescent="0.2">
      <c r="A252" s="857" t="s">
        <v>575</v>
      </c>
      <c r="B252" s="856"/>
      <c r="C252" s="856"/>
      <c r="D252" s="856"/>
      <c r="E252" s="856"/>
      <c r="F252" s="856"/>
      <c r="G252" s="856"/>
      <c r="H252" s="856"/>
    </row>
    <row r="253" spans="1:8" x14ac:dyDescent="0.2">
      <c r="A253" s="857" t="s">
        <v>576</v>
      </c>
      <c r="B253" s="856"/>
      <c r="C253" s="856"/>
      <c r="D253" s="856"/>
      <c r="E253" s="856"/>
      <c r="F253" s="856"/>
      <c r="G253" s="856"/>
      <c r="H253" s="856"/>
    </row>
    <row r="254" spans="1:8" x14ac:dyDescent="0.2">
      <c r="A254" s="857" t="s">
        <v>577</v>
      </c>
      <c r="B254" s="856"/>
      <c r="C254" s="856"/>
      <c r="D254" s="856"/>
      <c r="E254" s="856"/>
      <c r="F254" s="856"/>
      <c r="G254" s="856"/>
      <c r="H254" s="856"/>
    </row>
    <row r="255" spans="1:8" x14ac:dyDescent="0.2">
      <c r="A255" s="857" t="s">
        <v>578</v>
      </c>
      <c r="B255" s="856"/>
      <c r="C255" s="856"/>
      <c r="D255" s="856"/>
      <c r="E255" s="856"/>
      <c r="F255" s="856"/>
      <c r="G255" s="856"/>
      <c r="H255" s="856"/>
    </row>
    <row r="256" spans="1:8" x14ac:dyDescent="0.2">
      <c r="A256" s="857" t="s">
        <v>579</v>
      </c>
      <c r="B256" s="856"/>
      <c r="C256" s="856"/>
      <c r="D256" s="856"/>
      <c r="E256" s="856"/>
      <c r="F256" s="856"/>
      <c r="G256" s="856"/>
      <c r="H256" s="856"/>
    </row>
    <row r="257" spans="1:8" x14ac:dyDescent="0.2">
      <c r="A257" s="856"/>
      <c r="B257" s="856"/>
      <c r="C257" s="856"/>
      <c r="D257" s="856"/>
      <c r="E257" s="856"/>
      <c r="F257" s="856"/>
      <c r="G257" s="856"/>
      <c r="H257" s="856"/>
    </row>
    <row r="258" spans="1:8" x14ac:dyDescent="0.2">
      <c r="A258" s="857" t="s">
        <v>568</v>
      </c>
      <c r="B258" s="856"/>
      <c r="C258" s="856"/>
      <c r="D258" s="856"/>
      <c r="E258" s="856"/>
      <c r="F258" s="856"/>
      <c r="G258" s="856"/>
      <c r="H258" s="856"/>
    </row>
    <row r="259" spans="1:8" x14ac:dyDescent="0.2">
      <c r="A259" s="857" t="s">
        <v>569</v>
      </c>
      <c r="B259" s="856"/>
      <c r="C259" s="856"/>
      <c r="D259" s="856"/>
      <c r="E259" s="856"/>
      <c r="F259" s="856"/>
      <c r="G259" s="856"/>
      <c r="H259" s="856"/>
    </row>
    <row r="260" spans="1:8" x14ac:dyDescent="0.2">
      <c r="A260" s="856"/>
      <c r="B260" s="856"/>
      <c r="C260" s="856"/>
      <c r="D260" s="856"/>
      <c r="E260" s="856"/>
      <c r="F260" s="856"/>
      <c r="G260" s="856"/>
      <c r="H260" s="856"/>
    </row>
    <row r="261" spans="1:8" x14ac:dyDescent="0.2">
      <c r="A261" s="857" t="s">
        <v>552</v>
      </c>
      <c r="B261" s="856"/>
      <c r="C261" s="856"/>
      <c r="D261" s="856"/>
      <c r="E261" s="856"/>
      <c r="F261" s="856"/>
      <c r="G261" s="856"/>
      <c r="H261" s="856"/>
    </row>
    <row r="262" spans="1:8" x14ac:dyDescent="0.2">
      <c r="A262" s="857" t="s">
        <v>553</v>
      </c>
      <c r="B262" s="856"/>
      <c r="C262" s="856"/>
      <c r="D262" s="856"/>
      <c r="E262" s="856"/>
      <c r="F262" s="856"/>
      <c r="G262" s="856"/>
      <c r="H262" s="856"/>
    </row>
    <row r="263" spans="1:8" x14ac:dyDescent="0.2">
      <c r="A263" s="857" t="s">
        <v>554</v>
      </c>
      <c r="B263" s="856"/>
      <c r="C263" s="856"/>
      <c r="D263" s="856"/>
      <c r="E263" s="856"/>
      <c r="F263" s="856"/>
      <c r="G263" s="856"/>
      <c r="H263" s="856"/>
    </row>
    <row r="264" spans="1:8" x14ac:dyDescent="0.2">
      <c r="A264" s="857" t="s">
        <v>555</v>
      </c>
      <c r="B264" s="856"/>
      <c r="C264" s="856"/>
      <c r="D264" s="856"/>
      <c r="E264" s="856"/>
      <c r="F264" s="856"/>
      <c r="G264" s="856"/>
      <c r="H264" s="856"/>
    </row>
    <row r="265" spans="1:8" x14ac:dyDescent="0.2">
      <c r="A265" s="857" t="s">
        <v>556</v>
      </c>
      <c r="B265" s="856"/>
      <c r="C265" s="856"/>
      <c r="D265" s="856"/>
      <c r="E265" s="856"/>
      <c r="F265" s="856"/>
      <c r="G265" s="856"/>
      <c r="H265" s="856"/>
    </row>
    <row r="266" spans="1:8" x14ac:dyDescent="0.2">
      <c r="A266" s="857" t="s">
        <v>557</v>
      </c>
      <c r="B266" s="856"/>
      <c r="C266" s="856"/>
      <c r="D266" s="856"/>
      <c r="E266" s="856"/>
      <c r="F266" s="856"/>
      <c r="G266" s="856"/>
      <c r="H266" s="856"/>
    </row>
    <row r="267" spans="1:8" x14ac:dyDescent="0.2">
      <c r="A267" s="857" t="s">
        <v>558</v>
      </c>
      <c r="B267" s="856"/>
      <c r="C267" s="856"/>
      <c r="D267" s="856"/>
      <c r="E267" s="856"/>
      <c r="F267" s="856"/>
      <c r="G267" s="856"/>
      <c r="H267" s="856"/>
    </row>
    <row r="268" spans="1:8" x14ac:dyDescent="0.2">
      <c r="A268" s="857" t="s">
        <v>559</v>
      </c>
      <c r="B268" s="856"/>
      <c r="C268" s="856"/>
      <c r="D268" s="856"/>
      <c r="E268" s="856"/>
      <c r="F268" s="856"/>
      <c r="G268" s="856"/>
      <c r="H268" s="856"/>
    </row>
    <row r="269" spans="1:8" x14ac:dyDescent="0.2">
      <c r="A269" s="857" t="s">
        <v>560</v>
      </c>
      <c r="B269" s="856"/>
      <c r="C269" s="856"/>
      <c r="D269" s="856"/>
      <c r="E269" s="856"/>
      <c r="F269" s="856"/>
      <c r="G269" s="856"/>
      <c r="H269" s="856"/>
    </row>
    <row r="270" spans="1:8" x14ac:dyDescent="0.2">
      <c r="A270" s="857" t="s">
        <v>561</v>
      </c>
      <c r="B270" s="856"/>
      <c r="C270" s="856"/>
      <c r="D270" s="856"/>
      <c r="E270" s="856"/>
      <c r="F270" s="856"/>
      <c r="G270" s="856"/>
      <c r="H270" s="856"/>
    </row>
    <row r="271" spans="1:8" x14ac:dyDescent="0.2">
      <c r="A271" s="857" t="s">
        <v>562</v>
      </c>
      <c r="B271" s="856"/>
      <c r="C271" s="856"/>
      <c r="D271" s="856"/>
      <c r="E271" s="856"/>
      <c r="F271" s="856"/>
      <c r="G271" s="856"/>
      <c r="H271" s="856"/>
    </row>
    <row r="272" spans="1:8" x14ac:dyDescent="0.2">
      <c r="A272" s="857" t="s">
        <v>563</v>
      </c>
      <c r="B272" s="856"/>
      <c r="C272" s="856"/>
      <c r="D272" s="856"/>
      <c r="E272" s="856"/>
      <c r="F272" s="856"/>
      <c r="G272" s="856"/>
      <c r="H272" s="856"/>
    </row>
    <row r="273" spans="1:8" x14ac:dyDescent="0.2">
      <c r="A273" s="857" t="s">
        <v>564</v>
      </c>
      <c r="B273" s="856"/>
      <c r="C273" s="856"/>
      <c r="D273" s="856"/>
      <c r="E273" s="856"/>
      <c r="F273" s="856"/>
      <c r="G273" s="856"/>
      <c r="H273" s="856"/>
    </row>
    <row r="274" spans="1:8" x14ac:dyDescent="0.2">
      <c r="A274" s="857" t="s">
        <v>565</v>
      </c>
      <c r="B274" s="856"/>
      <c r="C274" s="856"/>
      <c r="D274" s="856"/>
      <c r="E274" s="856"/>
      <c r="F274" s="856"/>
      <c r="G274" s="856"/>
      <c r="H274" s="856"/>
    </row>
    <row r="275" spans="1:8" x14ac:dyDescent="0.2">
      <c r="A275" s="857" t="s">
        <v>566</v>
      </c>
      <c r="B275" s="856"/>
      <c r="C275" s="856"/>
      <c r="D275" s="856"/>
      <c r="E275" s="856"/>
      <c r="F275" s="856"/>
      <c r="G275" s="856"/>
      <c r="H275" s="856"/>
    </row>
    <row r="276" spans="1:8" x14ac:dyDescent="0.2">
      <c r="A276" s="857" t="s">
        <v>567</v>
      </c>
      <c r="B276" s="856"/>
      <c r="C276" s="856"/>
      <c r="D276" s="856"/>
      <c r="E276" s="856"/>
      <c r="F276" s="856"/>
      <c r="G276" s="856"/>
      <c r="H276" s="856"/>
    </row>
    <row r="277" spans="1:8" x14ac:dyDescent="0.2">
      <c r="A277" s="856"/>
      <c r="B277" s="856"/>
      <c r="C277" s="856"/>
      <c r="D277" s="856"/>
      <c r="E277" s="856"/>
      <c r="F277" s="856"/>
      <c r="G277" s="856"/>
      <c r="H277" s="856"/>
    </row>
    <row r="278" spans="1:8" x14ac:dyDescent="0.2">
      <c r="A278" s="857" t="s">
        <v>545</v>
      </c>
      <c r="B278" s="856"/>
      <c r="C278" s="856"/>
      <c r="D278" s="856"/>
      <c r="E278" s="856"/>
      <c r="F278" s="856"/>
      <c r="G278" s="856"/>
      <c r="H278" s="856"/>
    </row>
    <row r="279" spans="1:8" x14ac:dyDescent="0.2">
      <c r="A279" s="857" t="s">
        <v>546</v>
      </c>
      <c r="B279" s="856"/>
      <c r="C279" s="856"/>
      <c r="D279" s="856"/>
      <c r="E279" s="856"/>
      <c r="F279" s="856"/>
      <c r="G279" s="856"/>
      <c r="H279" s="856"/>
    </row>
    <row r="280" spans="1:8" x14ac:dyDescent="0.2">
      <c r="A280" s="857" t="s">
        <v>547</v>
      </c>
      <c r="B280" s="856"/>
      <c r="C280" s="856"/>
      <c r="D280" s="856"/>
      <c r="E280" s="856"/>
      <c r="F280" s="856"/>
      <c r="G280" s="856"/>
      <c r="H280" s="856"/>
    </row>
    <row r="281" spans="1:8" x14ac:dyDescent="0.2">
      <c r="A281" s="857" t="s">
        <v>548</v>
      </c>
      <c r="B281" s="856"/>
      <c r="C281" s="856"/>
      <c r="D281" s="856"/>
      <c r="E281" s="856"/>
      <c r="F281" s="856"/>
      <c r="G281" s="856"/>
      <c r="H281" s="856"/>
    </row>
    <row r="282" spans="1:8" x14ac:dyDescent="0.2">
      <c r="A282" s="857" t="s">
        <v>549</v>
      </c>
      <c r="B282" s="856"/>
      <c r="C282" s="856"/>
      <c r="D282" s="856"/>
      <c r="E282" s="856"/>
      <c r="F282" s="856"/>
      <c r="G282" s="856"/>
      <c r="H282" s="856"/>
    </row>
    <row r="283" spans="1:8" x14ac:dyDescent="0.2">
      <c r="A283" s="857" t="s">
        <v>550</v>
      </c>
      <c r="B283" s="856"/>
      <c r="C283" s="856"/>
      <c r="D283" s="856"/>
      <c r="E283" s="856"/>
      <c r="F283" s="856"/>
      <c r="G283" s="856"/>
      <c r="H283" s="856"/>
    </row>
    <row r="284" spans="1:8" x14ac:dyDescent="0.2">
      <c r="A284" s="857" t="s">
        <v>551</v>
      </c>
      <c r="B284" s="856"/>
      <c r="C284" s="856"/>
      <c r="D284" s="856"/>
      <c r="E284" s="856"/>
      <c r="F284" s="856"/>
      <c r="G284" s="856"/>
      <c r="H284" s="856"/>
    </row>
    <row r="285" spans="1:8" x14ac:dyDescent="0.2">
      <c r="A285" s="856"/>
      <c r="B285" s="856"/>
      <c r="C285" s="856"/>
      <c r="D285" s="856"/>
      <c r="E285" s="856"/>
      <c r="F285" s="856"/>
      <c r="G285" s="856"/>
      <c r="H285" s="856"/>
    </row>
    <row r="286" spans="1:8" x14ac:dyDescent="0.2">
      <c r="A286" s="857" t="s">
        <v>536</v>
      </c>
      <c r="B286" s="856"/>
      <c r="C286" s="856"/>
      <c r="D286" s="856"/>
      <c r="E286" s="856"/>
      <c r="F286" s="856"/>
      <c r="G286" s="856"/>
      <c r="H286" s="856"/>
    </row>
    <row r="287" spans="1:8" x14ac:dyDescent="0.2">
      <c r="A287" s="857" t="s">
        <v>537</v>
      </c>
      <c r="B287" s="856"/>
      <c r="C287" s="856"/>
      <c r="D287" s="856"/>
      <c r="E287" s="856"/>
      <c r="F287" s="856"/>
      <c r="G287" s="856"/>
      <c r="H287" s="856"/>
    </row>
    <row r="288" spans="1:8" x14ac:dyDescent="0.2">
      <c r="A288" s="857" t="s">
        <v>538</v>
      </c>
      <c r="B288" s="856"/>
      <c r="C288" s="856"/>
      <c r="D288" s="856"/>
      <c r="E288" s="856"/>
      <c r="F288" s="856"/>
      <c r="G288" s="856"/>
      <c r="H288" s="856"/>
    </row>
    <row r="289" spans="1:8" x14ac:dyDescent="0.2">
      <c r="A289" s="857" t="s">
        <v>539</v>
      </c>
      <c r="B289" s="856"/>
      <c r="C289" s="856"/>
      <c r="D289" s="856"/>
      <c r="E289" s="856"/>
      <c r="F289" s="856"/>
      <c r="G289" s="856"/>
      <c r="H289" s="856"/>
    </row>
    <row r="290" spans="1:8" x14ac:dyDescent="0.2">
      <c r="A290" s="857" t="s">
        <v>540</v>
      </c>
      <c r="B290" s="856"/>
      <c r="C290" s="856"/>
      <c r="D290" s="856"/>
      <c r="E290" s="856"/>
      <c r="F290" s="856"/>
      <c r="G290" s="856"/>
      <c r="H290" s="856"/>
    </row>
    <row r="291" spans="1:8" x14ac:dyDescent="0.2">
      <c r="A291" s="857" t="s">
        <v>541</v>
      </c>
      <c r="B291" s="856"/>
      <c r="C291" s="856"/>
      <c r="D291" s="856"/>
      <c r="E291" s="856"/>
      <c r="F291" s="856"/>
      <c r="G291" s="856"/>
      <c r="H291" s="856"/>
    </row>
    <row r="292" spans="1:8" x14ac:dyDescent="0.2">
      <c r="A292" s="857" t="s">
        <v>542</v>
      </c>
      <c r="B292" s="856"/>
      <c r="C292" s="856"/>
      <c r="D292" s="856"/>
      <c r="E292" s="856"/>
      <c r="F292" s="856"/>
      <c r="G292" s="856"/>
      <c r="H292" s="856"/>
    </row>
    <row r="293" spans="1:8" x14ac:dyDescent="0.2">
      <c r="A293" s="857" t="s">
        <v>543</v>
      </c>
      <c r="B293" s="856"/>
      <c r="C293" s="856"/>
      <c r="D293" s="856"/>
      <c r="E293" s="856"/>
      <c r="F293" s="856"/>
      <c r="G293" s="856"/>
      <c r="H293" s="856"/>
    </row>
    <row r="294" spans="1:8" x14ac:dyDescent="0.2">
      <c r="A294" s="857" t="s">
        <v>544</v>
      </c>
      <c r="B294" s="856"/>
      <c r="C294" s="856"/>
      <c r="D294" s="856"/>
      <c r="E294" s="856"/>
      <c r="F294" s="856"/>
      <c r="G294" s="856"/>
      <c r="H294" s="856"/>
    </row>
    <row r="295" spans="1:8" x14ac:dyDescent="0.2">
      <c r="A295" s="856"/>
      <c r="B295" s="856"/>
      <c r="C295" s="856"/>
      <c r="D295" s="856"/>
      <c r="E295" s="856"/>
      <c r="F295" s="856"/>
      <c r="G295" s="856"/>
      <c r="H295" s="856"/>
    </row>
    <row r="296" spans="1:8" x14ac:dyDescent="0.2">
      <c r="A296" s="857" t="s">
        <v>529</v>
      </c>
      <c r="B296" s="856"/>
      <c r="C296" s="856"/>
      <c r="D296" s="856"/>
      <c r="E296" s="856"/>
      <c r="F296" s="856"/>
      <c r="G296" s="856"/>
      <c r="H296" s="856"/>
    </row>
    <row r="297" spans="1:8" x14ac:dyDescent="0.2">
      <c r="A297" s="857" t="s">
        <v>530</v>
      </c>
      <c r="B297" s="856"/>
      <c r="C297" s="856"/>
      <c r="D297" s="856"/>
      <c r="E297" s="856"/>
      <c r="F297" s="856"/>
      <c r="G297" s="856"/>
      <c r="H297" s="856"/>
    </row>
    <row r="298" spans="1:8" x14ac:dyDescent="0.2">
      <c r="A298" s="857" t="s">
        <v>531</v>
      </c>
      <c r="B298" s="856"/>
      <c r="C298" s="856"/>
      <c r="D298" s="856"/>
      <c r="E298" s="856"/>
      <c r="F298" s="856"/>
      <c r="G298" s="856"/>
      <c r="H298" s="856"/>
    </row>
    <row r="299" spans="1:8" x14ac:dyDescent="0.2">
      <c r="A299" s="857" t="s">
        <v>532</v>
      </c>
      <c r="B299" s="856"/>
      <c r="C299" s="856"/>
      <c r="D299" s="856"/>
      <c r="E299" s="856"/>
      <c r="F299" s="856"/>
      <c r="G299" s="856"/>
      <c r="H299" s="856"/>
    </row>
    <row r="300" spans="1:8" x14ac:dyDescent="0.2">
      <c r="A300" s="857" t="s">
        <v>533</v>
      </c>
      <c r="B300" s="856"/>
      <c r="C300" s="856"/>
      <c r="D300" s="856"/>
      <c r="E300" s="856"/>
      <c r="F300" s="856"/>
      <c r="G300" s="856"/>
      <c r="H300" s="856"/>
    </row>
    <row r="301" spans="1:8" x14ac:dyDescent="0.2">
      <c r="A301" s="857" t="s">
        <v>534</v>
      </c>
      <c r="B301" s="856"/>
      <c r="C301" s="856"/>
      <c r="D301" s="856"/>
      <c r="E301" s="856"/>
      <c r="F301" s="856"/>
      <c r="G301" s="856"/>
      <c r="H301" s="856"/>
    </row>
    <row r="302" spans="1:8" x14ac:dyDescent="0.2">
      <c r="A302" s="857" t="s">
        <v>535</v>
      </c>
      <c r="B302" s="856"/>
      <c r="C302" s="856"/>
      <c r="D302" s="856"/>
      <c r="E302" s="856"/>
      <c r="F302" s="856"/>
      <c r="G302" s="856"/>
      <c r="H302" s="856"/>
    </row>
    <row r="303" spans="1:8" x14ac:dyDescent="0.2">
      <c r="A303" s="856"/>
      <c r="B303" s="856"/>
      <c r="C303" s="856"/>
      <c r="D303" s="856"/>
      <c r="E303" s="856"/>
      <c r="F303" s="856"/>
      <c r="G303" s="856"/>
      <c r="H303" s="856"/>
    </row>
    <row r="304" spans="1:8" x14ac:dyDescent="0.2">
      <c r="A304" s="857" t="s">
        <v>526</v>
      </c>
      <c r="B304" s="856"/>
      <c r="C304" s="856"/>
      <c r="D304" s="856"/>
      <c r="E304" s="856"/>
      <c r="F304" s="856"/>
      <c r="G304" s="856"/>
      <c r="H304" s="856"/>
    </row>
    <row r="305" spans="1:8" x14ac:dyDescent="0.2">
      <c r="A305" s="857" t="s">
        <v>527</v>
      </c>
      <c r="B305" s="856"/>
      <c r="C305" s="856"/>
      <c r="D305" s="856"/>
      <c r="E305" s="856"/>
      <c r="F305" s="856"/>
      <c r="G305" s="856"/>
      <c r="H305" s="856"/>
    </row>
    <row r="306" spans="1:8" x14ac:dyDescent="0.2">
      <c r="A306" s="857" t="s">
        <v>528</v>
      </c>
      <c r="B306" s="856"/>
      <c r="C306" s="856"/>
      <c r="D306" s="856"/>
      <c r="E306" s="856"/>
      <c r="F306" s="856"/>
      <c r="G306" s="856"/>
      <c r="H306" s="856"/>
    </row>
    <row r="307" spans="1:8" x14ac:dyDescent="0.2">
      <c r="A307" s="856"/>
      <c r="B307" s="856"/>
      <c r="C307" s="856"/>
      <c r="D307" s="856"/>
      <c r="E307" s="856"/>
      <c r="F307" s="856"/>
      <c r="G307" s="856"/>
      <c r="H307" s="856"/>
    </row>
    <row r="308" spans="1:8" x14ac:dyDescent="0.2">
      <c r="A308" s="857" t="s">
        <v>524</v>
      </c>
      <c r="B308" s="856"/>
      <c r="C308" s="856"/>
      <c r="D308" s="856"/>
      <c r="E308" s="856"/>
      <c r="F308" s="856"/>
      <c r="G308" s="856"/>
      <c r="H308" s="856"/>
    </row>
    <row r="309" spans="1:8" x14ac:dyDescent="0.2">
      <c r="A309" s="857" t="s">
        <v>525</v>
      </c>
      <c r="B309" s="856"/>
      <c r="C309" s="856"/>
      <c r="D309" s="856"/>
      <c r="E309" s="856"/>
      <c r="F309" s="856"/>
      <c r="G309" s="856"/>
      <c r="H309" s="856"/>
    </row>
    <row r="310" spans="1:8" x14ac:dyDescent="0.2">
      <c r="A310" s="856"/>
      <c r="B310" s="856"/>
      <c r="C310" s="856"/>
      <c r="D310" s="856"/>
      <c r="E310" s="856"/>
      <c r="F310" s="856"/>
      <c r="G310" s="856"/>
      <c r="H310" s="856"/>
    </row>
    <row r="311" spans="1:8" x14ac:dyDescent="0.2">
      <c r="A311" s="857" t="s">
        <v>511</v>
      </c>
      <c r="B311" s="856"/>
      <c r="C311" s="856"/>
      <c r="D311" s="856"/>
      <c r="E311" s="856"/>
      <c r="F311" s="856"/>
      <c r="G311" s="856"/>
      <c r="H311" s="856"/>
    </row>
    <row r="312" spans="1:8" x14ac:dyDescent="0.2">
      <c r="A312" s="857" t="s">
        <v>512</v>
      </c>
      <c r="B312" s="856"/>
      <c r="C312" s="856"/>
      <c r="D312" s="856"/>
      <c r="E312" s="856"/>
      <c r="F312" s="856"/>
      <c r="G312" s="856"/>
      <c r="H312" s="856"/>
    </row>
    <row r="313" spans="1:8" x14ac:dyDescent="0.2">
      <c r="A313" s="857" t="s">
        <v>513</v>
      </c>
      <c r="B313" s="856"/>
      <c r="C313" s="856"/>
      <c r="D313" s="856"/>
      <c r="E313" s="856"/>
      <c r="F313" s="856"/>
      <c r="G313" s="856"/>
      <c r="H313" s="856"/>
    </row>
    <row r="314" spans="1:8" x14ac:dyDescent="0.2">
      <c r="A314" s="857" t="s">
        <v>514</v>
      </c>
      <c r="B314" s="856"/>
      <c r="C314" s="856"/>
      <c r="D314" s="856"/>
      <c r="E314" s="856"/>
      <c r="F314" s="856"/>
      <c r="G314" s="856"/>
      <c r="H314" s="856"/>
    </row>
    <row r="315" spans="1:8" x14ac:dyDescent="0.2">
      <c r="A315" s="857" t="s">
        <v>515</v>
      </c>
      <c r="B315" s="856"/>
      <c r="C315" s="856"/>
      <c r="D315" s="856"/>
      <c r="E315" s="856"/>
      <c r="F315" s="856"/>
      <c r="G315" s="856"/>
      <c r="H315" s="856"/>
    </row>
    <row r="316" spans="1:8" x14ac:dyDescent="0.2">
      <c r="A316" s="857" t="s">
        <v>516</v>
      </c>
      <c r="B316" s="856"/>
      <c r="C316" s="856"/>
      <c r="D316" s="856"/>
      <c r="E316" s="856"/>
      <c r="F316" s="856"/>
      <c r="G316" s="856"/>
      <c r="H316" s="856"/>
    </row>
    <row r="317" spans="1:8" x14ac:dyDescent="0.2">
      <c r="A317" s="857" t="s">
        <v>517</v>
      </c>
      <c r="B317" s="856"/>
      <c r="C317" s="856"/>
      <c r="D317" s="856"/>
      <c r="E317" s="856"/>
      <c r="F317" s="856"/>
      <c r="G317" s="856"/>
      <c r="H317" s="856"/>
    </row>
    <row r="318" spans="1:8" x14ac:dyDescent="0.2">
      <c r="A318" s="857" t="s">
        <v>518</v>
      </c>
      <c r="B318" s="856"/>
      <c r="C318" s="856"/>
      <c r="D318" s="856"/>
      <c r="E318" s="856"/>
      <c r="F318" s="856"/>
      <c r="G318" s="856"/>
      <c r="H318" s="856"/>
    </row>
    <row r="319" spans="1:8" x14ac:dyDescent="0.2">
      <c r="A319" s="857" t="s">
        <v>519</v>
      </c>
      <c r="B319" s="856"/>
      <c r="C319" s="856"/>
      <c r="D319" s="856"/>
      <c r="E319" s="856"/>
      <c r="F319" s="856"/>
      <c r="G319" s="856"/>
      <c r="H319" s="856"/>
    </row>
    <row r="320" spans="1:8" x14ac:dyDescent="0.2">
      <c r="A320" s="857" t="s">
        <v>520</v>
      </c>
      <c r="B320" s="856"/>
      <c r="C320" s="856"/>
      <c r="D320" s="856"/>
      <c r="E320" s="856"/>
      <c r="F320" s="856"/>
      <c r="G320" s="856"/>
      <c r="H320" s="856"/>
    </row>
    <row r="321" spans="1:8" x14ac:dyDescent="0.2">
      <c r="A321" s="857" t="s">
        <v>521</v>
      </c>
      <c r="B321" s="856"/>
      <c r="C321" s="856"/>
      <c r="D321" s="856"/>
      <c r="E321" s="856"/>
      <c r="F321" s="856"/>
      <c r="G321" s="856"/>
      <c r="H321" s="856"/>
    </row>
    <row r="322" spans="1:8" x14ac:dyDescent="0.2">
      <c r="A322" s="857" t="s">
        <v>522</v>
      </c>
      <c r="B322" s="856"/>
      <c r="C322" s="856"/>
      <c r="D322" s="856"/>
      <c r="E322" s="856"/>
      <c r="F322" s="856"/>
      <c r="G322" s="856"/>
      <c r="H322" s="856"/>
    </row>
    <row r="323" spans="1:8" x14ac:dyDescent="0.2">
      <c r="A323" s="857" t="s">
        <v>523</v>
      </c>
      <c r="B323" s="856"/>
      <c r="C323" s="856"/>
      <c r="D323" s="856"/>
      <c r="E323" s="856"/>
      <c r="F323" s="856"/>
      <c r="G323" s="856"/>
      <c r="H323" s="856"/>
    </row>
    <row r="324" spans="1:8" x14ac:dyDescent="0.2">
      <c r="A324" s="856"/>
      <c r="B324" s="856"/>
      <c r="C324" s="856"/>
      <c r="D324" s="856"/>
      <c r="E324" s="856"/>
      <c r="F324" s="856"/>
      <c r="G324" s="856"/>
      <c r="H324" s="856"/>
    </row>
    <row r="325" spans="1:8" x14ac:dyDescent="0.2">
      <c r="A325" s="857" t="s">
        <v>503</v>
      </c>
      <c r="B325" s="856"/>
      <c r="C325" s="856"/>
      <c r="D325" s="856"/>
      <c r="E325" s="856"/>
      <c r="F325" s="856"/>
      <c r="G325" s="856"/>
      <c r="H325" s="856"/>
    </row>
    <row r="326" spans="1:8" x14ac:dyDescent="0.2">
      <c r="A326" s="857" t="s">
        <v>504</v>
      </c>
      <c r="B326" s="856"/>
      <c r="C326" s="856"/>
      <c r="D326" s="856"/>
      <c r="E326" s="856"/>
      <c r="F326" s="856"/>
      <c r="G326" s="856"/>
      <c r="H326" s="856"/>
    </row>
    <row r="327" spans="1:8" x14ac:dyDescent="0.2">
      <c r="A327" s="857" t="s">
        <v>505</v>
      </c>
      <c r="B327" s="856"/>
      <c r="C327" s="856"/>
      <c r="D327" s="856"/>
      <c r="E327" s="856"/>
      <c r="F327" s="856"/>
      <c r="G327" s="856"/>
      <c r="H327" s="856"/>
    </row>
    <row r="328" spans="1:8" x14ac:dyDescent="0.2">
      <c r="A328" s="857" t="s">
        <v>506</v>
      </c>
      <c r="B328" s="856"/>
      <c r="C328" s="856"/>
      <c r="D328" s="856"/>
      <c r="E328" s="856"/>
      <c r="F328" s="856"/>
      <c r="G328" s="856"/>
      <c r="H328" s="856"/>
    </row>
    <row r="329" spans="1:8" x14ac:dyDescent="0.2">
      <c r="A329" s="857" t="s">
        <v>507</v>
      </c>
      <c r="B329" s="856"/>
      <c r="C329" s="856"/>
      <c r="D329" s="856"/>
      <c r="E329" s="856"/>
      <c r="F329" s="856"/>
      <c r="G329" s="856"/>
      <c r="H329" s="856"/>
    </row>
    <row r="330" spans="1:8" x14ac:dyDescent="0.2">
      <c r="A330" s="857" t="s">
        <v>508</v>
      </c>
      <c r="B330" s="856"/>
      <c r="C330" s="856"/>
      <c r="D330" s="856"/>
      <c r="E330" s="856"/>
      <c r="F330" s="856"/>
      <c r="G330" s="856"/>
      <c r="H330" s="856"/>
    </row>
    <row r="331" spans="1:8" x14ac:dyDescent="0.2">
      <c r="A331" s="857" t="s">
        <v>509</v>
      </c>
      <c r="B331" s="856"/>
      <c r="C331" s="856"/>
      <c r="D331" s="856"/>
      <c r="E331" s="856"/>
      <c r="F331" s="856"/>
      <c r="G331" s="856"/>
      <c r="H331" s="856"/>
    </row>
    <row r="332" spans="1:8" x14ac:dyDescent="0.2">
      <c r="A332" s="857" t="s">
        <v>510</v>
      </c>
      <c r="B332" s="856"/>
      <c r="C332" s="856"/>
      <c r="D332" s="856"/>
      <c r="E332" s="856"/>
      <c r="F332" s="856"/>
      <c r="G332" s="856"/>
      <c r="H332" s="856"/>
    </row>
    <row r="333" spans="1:8" x14ac:dyDescent="0.2">
      <c r="A333" s="856"/>
      <c r="B333" s="856"/>
      <c r="C333" s="856"/>
      <c r="D333" s="856"/>
      <c r="E333" s="856"/>
      <c r="F333" s="856"/>
      <c r="G333" s="856"/>
      <c r="H333" s="856"/>
    </row>
    <row r="334" spans="1:8" x14ac:dyDescent="0.2">
      <c r="A334" s="857" t="s">
        <v>468</v>
      </c>
      <c r="B334" s="856"/>
      <c r="C334" s="856"/>
      <c r="D334" s="856"/>
      <c r="E334" s="856"/>
      <c r="F334" s="856"/>
      <c r="G334" s="856"/>
      <c r="H334" s="856"/>
    </row>
    <row r="335" spans="1:8" x14ac:dyDescent="0.2">
      <c r="A335" s="857" t="s">
        <v>469</v>
      </c>
      <c r="B335" s="856"/>
      <c r="C335" s="856"/>
      <c r="D335" s="856"/>
      <c r="E335" s="856"/>
      <c r="F335" s="856"/>
      <c r="G335" s="856"/>
      <c r="H335" s="856"/>
    </row>
    <row r="336" spans="1:8" x14ac:dyDescent="0.2">
      <c r="A336" s="857" t="s">
        <v>470</v>
      </c>
      <c r="B336" s="856"/>
      <c r="C336" s="856"/>
      <c r="D336" s="856"/>
      <c r="E336" s="856"/>
      <c r="F336" s="856"/>
      <c r="G336" s="856"/>
      <c r="H336" s="856"/>
    </row>
    <row r="337" spans="1:8" x14ac:dyDescent="0.2">
      <c r="A337" s="857" t="s">
        <v>471</v>
      </c>
      <c r="B337" s="856"/>
      <c r="C337" s="856"/>
      <c r="D337" s="856"/>
      <c r="E337" s="856"/>
      <c r="F337" s="856"/>
      <c r="G337" s="856"/>
      <c r="H337" s="856"/>
    </row>
    <row r="338" spans="1:8" x14ac:dyDescent="0.2">
      <c r="A338" s="857" t="s">
        <v>472</v>
      </c>
      <c r="B338" s="856"/>
      <c r="C338" s="856"/>
      <c r="D338" s="856"/>
      <c r="E338" s="856"/>
      <c r="F338" s="856"/>
      <c r="G338" s="856"/>
      <c r="H338" s="856"/>
    </row>
    <row r="339" spans="1:8" x14ac:dyDescent="0.2">
      <c r="A339" s="857" t="s">
        <v>473</v>
      </c>
      <c r="B339" s="856"/>
      <c r="C339" s="856"/>
      <c r="D339" s="856"/>
      <c r="E339" s="856"/>
      <c r="F339" s="856"/>
      <c r="G339" s="856"/>
      <c r="H339" s="856"/>
    </row>
    <row r="340" spans="1:8" x14ac:dyDescent="0.2">
      <c r="A340" s="857" t="s">
        <v>474</v>
      </c>
      <c r="B340" s="856"/>
      <c r="C340" s="856"/>
      <c r="D340" s="856"/>
      <c r="E340" s="856"/>
      <c r="F340" s="856"/>
      <c r="G340" s="856"/>
      <c r="H340" s="856"/>
    </row>
    <row r="341" spans="1:8" x14ac:dyDescent="0.2">
      <c r="A341" s="857" t="s">
        <v>475</v>
      </c>
      <c r="B341" s="856"/>
      <c r="C341" s="856"/>
      <c r="D341" s="856"/>
      <c r="E341" s="856"/>
      <c r="F341" s="856"/>
      <c r="G341" s="856"/>
      <c r="H341" s="856"/>
    </row>
    <row r="342" spans="1:8" x14ac:dyDescent="0.2">
      <c r="A342" s="857" t="s">
        <v>476</v>
      </c>
      <c r="B342" s="856"/>
      <c r="C342" s="856"/>
      <c r="D342" s="856"/>
      <c r="E342" s="856"/>
      <c r="F342" s="856"/>
      <c r="G342" s="856"/>
      <c r="H342" s="856"/>
    </row>
    <row r="343" spans="1:8" x14ac:dyDescent="0.2">
      <c r="A343" s="857" t="s">
        <v>477</v>
      </c>
      <c r="B343" s="856"/>
      <c r="C343" s="856"/>
      <c r="D343" s="856"/>
      <c r="E343" s="856"/>
      <c r="F343" s="856"/>
      <c r="G343" s="856"/>
      <c r="H343" s="856"/>
    </row>
    <row r="344" spans="1:8" x14ac:dyDescent="0.2">
      <c r="A344" s="857" t="s">
        <v>478</v>
      </c>
      <c r="B344" s="856"/>
      <c r="C344" s="856"/>
      <c r="D344" s="856"/>
      <c r="E344" s="856"/>
      <c r="F344" s="856"/>
      <c r="G344" s="856"/>
      <c r="H344" s="856"/>
    </row>
    <row r="345" spans="1:8" x14ac:dyDescent="0.2">
      <c r="A345" s="857" t="s">
        <v>479</v>
      </c>
      <c r="B345" s="856"/>
      <c r="C345" s="856"/>
      <c r="D345" s="856"/>
      <c r="E345" s="856"/>
      <c r="F345" s="856"/>
      <c r="G345" s="856"/>
      <c r="H345" s="856"/>
    </row>
    <row r="346" spans="1:8" x14ac:dyDescent="0.2">
      <c r="A346" s="857" t="s">
        <v>480</v>
      </c>
      <c r="B346" s="856"/>
      <c r="C346" s="856"/>
      <c r="D346" s="856"/>
      <c r="E346" s="856"/>
      <c r="F346" s="856"/>
      <c r="G346" s="856"/>
      <c r="H346" s="856"/>
    </row>
    <row r="347" spans="1:8" x14ac:dyDescent="0.2">
      <c r="A347" s="857" t="s">
        <v>481</v>
      </c>
      <c r="B347" s="856"/>
      <c r="C347" s="856"/>
      <c r="D347" s="856"/>
      <c r="E347" s="856"/>
      <c r="F347" s="856"/>
      <c r="G347" s="856"/>
      <c r="H347" s="856"/>
    </row>
    <row r="348" spans="1:8" x14ac:dyDescent="0.2">
      <c r="A348" s="857" t="s">
        <v>482</v>
      </c>
      <c r="B348" s="856"/>
      <c r="C348" s="856"/>
      <c r="D348" s="856"/>
      <c r="E348" s="856"/>
      <c r="F348" s="856"/>
      <c r="G348" s="856"/>
      <c r="H348" s="856"/>
    </row>
    <row r="349" spans="1:8" x14ac:dyDescent="0.2">
      <c r="A349" s="857" t="s">
        <v>483</v>
      </c>
      <c r="B349" s="856"/>
      <c r="C349" s="856"/>
      <c r="D349" s="856"/>
      <c r="E349" s="856"/>
      <c r="F349" s="856"/>
      <c r="G349" s="856"/>
      <c r="H349" s="856"/>
    </row>
    <row r="350" spans="1:8" x14ac:dyDescent="0.2">
      <c r="A350" s="857" t="s">
        <v>484</v>
      </c>
      <c r="B350" s="856"/>
      <c r="C350" s="856"/>
      <c r="D350" s="856"/>
      <c r="E350" s="856"/>
      <c r="F350" s="856"/>
      <c r="G350" s="856"/>
      <c r="H350" s="856"/>
    </row>
    <row r="351" spans="1:8" x14ac:dyDescent="0.2">
      <c r="A351" s="857" t="s">
        <v>485</v>
      </c>
      <c r="B351" s="856"/>
      <c r="C351" s="856"/>
      <c r="D351" s="856"/>
      <c r="E351" s="856"/>
      <c r="F351" s="856"/>
      <c r="G351" s="856"/>
      <c r="H351" s="856"/>
    </row>
    <row r="352" spans="1:8" x14ac:dyDescent="0.2">
      <c r="A352" s="857" t="s">
        <v>486</v>
      </c>
      <c r="B352" s="856"/>
      <c r="C352" s="856"/>
      <c r="D352" s="856"/>
      <c r="E352" s="856"/>
      <c r="F352" s="856"/>
      <c r="G352" s="856"/>
      <c r="H352" s="856"/>
    </row>
    <row r="353" spans="1:8" x14ac:dyDescent="0.2">
      <c r="A353" s="857" t="s">
        <v>487</v>
      </c>
      <c r="B353" s="856"/>
      <c r="C353" s="856"/>
      <c r="D353" s="856"/>
      <c r="E353" s="856"/>
      <c r="F353" s="856"/>
      <c r="G353" s="856"/>
      <c r="H353" s="856"/>
    </row>
    <row r="354" spans="1:8" x14ac:dyDescent="0.2">
      <c r="A354" s="857" t="s">
        <v>488</v>
      </c>
      <c r="B354" s="856"/>
      <c r="C354" s="856"/>
      <c r="D354" s="856"/>
      <c r="E354" s="856"/>
      <c r="F354" s="856"/>
      <c r="G354" s="856"/>
      <c r="H354" s="856"/>
    </row>
    <row r="355" spans="1:8" x14ac:dyDescent="0.2">
      <c r="A355" s="857" t="s">
        <v>489</v>
      </c>
      <c r="B355" s="856"/>
      <c r="C355" s="856"/>
      <c r="D355" s="856"/>
      <c r="E355" s="856"/>
      <c r="F355" s="856"/>
      <c r="G355" s="856"/>
      <c r="H355" s="856"/>
    </row>
    <row r="356" spans="1:8" x14ac:dyDescent="0.2">
      <c r="A356" s="857" t="s">
        <v>490</v>
      </c>
      <c r="B356" s="856"/>
      <c r="C356" s="856"/>
      <c r="D356" s="856"/>
      <c r="E356" s="856"/>
      <c r="F356" s="856"/>
      <c r="G356" s="856"/>
      <c r="H356" s="856"/>
    </row>
    <row r="357" spans="1:8" x14ac:dyDescent="0.2">
      <c r="A357" s="857" t="s">
        <v>491</v>
      </c>
      <c r="B357" s="856"/>
      <c r="C357" s="856"/>
      <c r="D357" s="856"/>
      <c r="E357" s="856"/>
      <c r="F357" s="856"/>
      <c r="G357" s="856"/>
      <c r="H357" s="856"/>
    </row>
    <row r="358" spans="1:8" x14ac:dyDescent="0.2">
      <c r="A358" s="857" t="s">
        <v>492</v>
      </c>
      <c r="B358" s="856"/>
      <c r="C358" s="856"/>
      <c r="D358" s="856"/>
      <c r="E358" s="856"/>
      <c r="F358" s="856"/>
      <c r="G358" s="856"/>
      <c r="H358" s="856"/>
    </row>
    <row r="359" spans="1:8" x14ac:dyDescent="0.2">
      <c r="A359" s="857" t="s">
        <v>493</v>
      </c>
      <c r="B359" s="856"/>
      <c r="C359" s="856"/>
      <c r="D359" s="856"/>
      <c r="E359" s="856"/>
      <c r="F359" s="856"/>
      <c r="G359" s="856"/>
      <c r="H359" s="856"/>
    </row>
    <row r="360" spans="1:8" x14ac:dyDescent="0.2">
      <c r="A360" s="857" t="s">
        <v>494</v>
      </c>
      <c r="B360" s="856"/>
      <c r="C360" s="856"/>
      <c r="D360" s="856"/>
      <c r="E360" s="856"/>
      <c r="F360" s="856"/>
      <c r="G360" s="856"/>
      <c r="H360" s="856"/>
    </row>
    <row r="361" spans="1:8" x14ac:dyDescent="0.2">
      <c r="A361" s="857" t="s">
        <v>495</v>
      </c>
      <c r="B361" s="856"/>
      <c r="C361" s="856"/>
      <c r="D361" s="856"/>
      <c r="E361" s="856"/>
      <c r="F361" s="856"/>
      <c r="G361" s="856"/>
      <c r="H361" s="856"/>
    </row>
    <row r="362" spans="1:8" x14ac:dyDescent="0.2">
      <c r="A362" s="857" t="s">
        <v>496</v>
      </c>
      <c r="B362" s="856"/>
      <c r="C362" s="856"/>
      <c r="D362" s="856"/>
      <c r="E362" s="856"/>
      <c r="F362" s="856"/>
      <c r="G362" s="856"/>
      <c r="H362" s="856"/>
    </row>
    <row r="363" spans="1:8" x14ac:dyDescent="0.2">
      <c r="A363" s="857" t="s">
        <v>497</v>
      </c>
      <c r="B363" s="856"/>
      <c r="C363" s="856"/>
      <c r="D363" s="856"/>
      <c r="E363" s="856"/>
      <c r="F363" s="856"/>
      <c r="G363" s="856"/>
      <c r="H363" s="856"/>
    </row>
    <row r="364" spans="1:8" x14ac:dyDescent="0.2">
      <c r="A364" s="857" t="s">
        <v>498</v>
      </c>
      <c r="B364" s="856"/>
      <c r="C364" s="856"/>
      <c r="D364" s="856"/>
      <c r="E364" s="856"/>
      <c r="F364" s="856"/>
      <c r="G364" s="856"/>
      <c r="H364" s="856"/>
    </row>
    <row r="365" spans="1:8" x14ac:dyDescent="0.2">
      <c r="A365" s="857" t="s">
        <v>499</v>
      </c>
      <c r="B365" s="856"/>
      <c r="C365" s="856"/>
      <c r="D365" s="856"/>
      <c r="E365" s="856"/>
      <c r="F365" s="856"/>
      <c r="G365" s="856"/>
      <c r="H365" s="856"/>
    </row>
    <row r="366" spans="1:8" x14ac:dyDescent="0.2">
      <c r="A366" s="857" t="s">
        <v>500</v>
      </c>
      <c r="B366" s="856"/>
      <c r="C366" s="856"/>
      <c r="D366" s="856"/>
      <c r="E366" s="856"/>
      <c r="F366" s="856"/>
      <c r="G366" s="856"/>
      <c r="H366" s="856"/>
    </row>
    <row r="367" spans="1:8" x14ac:dyDescent="0.2">
      <c r="A367" s="857" t="s">
        <v>501</v>
      </c>
      <c r="B367" s="856"/>
      <c r="C367" s="856"/>
      <c r="D367" s="856"/>
      <c r="E367" s="856"/>
      <c r="F367" s="856"/>
      <c r="G367" s="856"/>
      <c r="H367" s="856"/>
    </row>
    <row r="368" spans="1:8" x14ac:dyDescent="0.2">
      <c r="A368" s="857" t="s">
        <v>502</v>
      </c>
      <c r="B368" s="856"/>
      <c r="C368" s="856"/>
      <c r="D368" s="856"/>
      <c r="E368" s="856"/>
      <c r="F368" s="856"/>
      <c r="G368" s="856"/>
      <c r="H368" s="856"/>
    </row>
    <row r="369" spans="1:8" x14ac:dyDescent="0.2">
      <c r="A369" s="856"/>
      <c r="B369" s="856"/>
      <c r="C369" s="856"/>
      <c r="D369" s="856"/>
      <c r="E369" s="856"/>
      <c r="F369" s="856"/>
      <c r="G369" s="856"/>
      <c r="H369" s="856"/>
    </row>
    <row r="370" spans="1:8" x14ac:dyDescent="0.2">
      <c r="A370" s="857" t="s">
        <v>460</v>
      </c>
      <c r="B370" s="856"/>
      <c r="C370" s="856"/>
      <c r="D370" s="856"/>
      <c r="E370" s="856"/>
      <c r="F370" s="856"/>
      <c r="G370" s="856"/>
      <c r="H370" s="856"/>
    </row>
    <row r="371" spans="1:8" x14ac:dyDescent="0.2">
      <c r="A371" s="857" t="s">
        <v>464</v>
      </c>
      <c r="B371" s="856"/>
      <c r="C371" s="856"/>
      <c r="D371" s="856"/>
      <c r="E371" s="856"/>
      <c r="F371" s="856"/>
      <c r="G371" s="856"/>
      <c r="H371" s="856"/>
    </row>
    <row r="372" spans="1:8" x14ac:dyDescent="0.2">
      <c r="A372" s="857" t="s">
        <v>465</v>
      </c>
      <c r="B372" s="856"/>
      <c r="C372" s="856"/>
      <c r="D372" s="856"/>
      <c r="E372" s="856"/>
      <c r="F372" s="856"/>
      <c r="G372" s="856"/>
      <c r="H372" s="856"/>
    </row>
    <row r="373" spans="1:8" x14ac:dyDescent="0.2">
      <c r="A373" s="857" t="s">
        <v>466</v>
      </c>
      <c r="B373" s="856"/>
      <c r="C373" s="856"/>
      <c r="D373" s="856"/>
      <c r="E373" s="856"/>
      <c r="F373" s="856"/>
      <c r="G373" s="856"/>
      <c r="H373" s="856"/>
    </row>
    <row r="374" spans="1:8" x14ac:dyDescent="0.2">
      <c r="A374" s="857" t="s">
        <v>467</v>
      </c>
      <c r="B374" s="856"/>
      <c r="C374" s="856"/>
      <c r="D374" s="856"/>
      <c r="E374" s="856"/>
      <c r="F374" s="856"/>
      <c r="G374" s="856"/>
      <c r="H374" s="856"/>
    </row>
    <row r="375" spans="1:8" x14ac:dyDescent="0.2">
      <c r="A375" s="856"/>
      <c r="B375" s="856"/>
      <c r="C375" s="856"/>
      <c r="D375" s="856"/>
      <c r="E375" s="856"/>
      <c r="F375" s="856"/>
      <c r="G375" s="856"/>
      <c r="H375" s="856"/>
    </row>
    <row r="376" spans="1:8" x14ac:dyDescent="0.2">
      <c r="A376" s="857" t="s">
        <v>460</v>
      </c>
      <c r="B376" s="856"/>
      <c r="C376" s="856"/>
      <c r="D376" s="856"/>
      <c r="E376" s="856"/>
      <c r="F376" s="856"/>
      <c r="G376" s="856"/>
      <c r="H376" s="856"/>
    </row>
    <row r="377" spans="1:8" x14ac:dyDescent="0.2">
      <c r="A377" s="857" t="s">
        <v>461</v>
      </c>
      <c r="B377" s="856"/>
      <c r="C377" s="856"/>
      <c r="D377" s="856"/>
      <c r="E377" s="856"/>
      <c r="F377" s="856"/>
      <c r="G377" s="856"/>
      <c r="H377" s="856"/>
    </row>
    <row r="378" spans="1:8" x14ac:dyDescent="0.2">
      <c r="A378" s="857" t="s">
        <v>462</v>
      </c>
      <c r="B378" s="856"/>
      <c r="C378" s="856"/>
      <c r="D378" s="856"/>
      <c r="E378" s="856"/>
      <c r="F378" s="856"/>
      <c r="G378" s="856"/>
      <c r="H378" s="856"/>
    </row>
    <row r="379" spans="1:8" x14ac:dyDescent="0.2">
      <c r="A379" s="857" t="s">
        <v>463</v>
      </c>
      <c r="B379" s="856"/>
      <c r="C379" s="856"/>
      <c r="D379" s="856"/>
      <c r="E379" s="856"/>
      <c r="F379" s="856"/>
      <c r="G379" s="856"/>
      <c r="H379" s="856"/>
    </row>
    <row r="380" spans="1:8" x14ac:dyDescent="0.2">
      <c r="A380" s="856"/>
      <c r="B380" s="856"/>
      <c r="C380" s="856"/>
      <c r="D380" s="856"/>
      <c r="E380" s="856"/>
      <c r="F380" s="856"/>
      <c r="G380" s="856"/>
      <c r="H380" s="856"/>
    </row>
    <row r="381" spans="1:8" x14ac:dyDescent="0.2">
      <c r="A381" s="857" t="s">
        <v>454</v>
      </c>
      <c r="B381" s="856"/>
      <c r="C381" s="856"/>
      <c r="D381" s="856"/>
      <c r="E381" s="856"/>
      <c r="F381" s="856"/>
      <c r="G381" s="856"/>
      <c r="H381" s="856"/>
    </row>
    <row r="382" spans="1:8" x14ac:dyDescent="0.2">
      <c r="A382" s="857" t="s">
        <v>455</v>
      </c>
      <c r="B382" s="856"/>
      <c r="C382" s="856"/>
      <c r="D382" s="856"/>
      <c r="E382" s="856"/>
      <c r="F382" s="856"/>
      <c r="G382" s="856"/>
      <c r="H382" s="856"/>
    </row>
    <row r="383" spans="1:8" x14ac:dyDescent="0.2">
      <c r="A383" s="857" t="s">
        <v>456</v>
      </c>
      <c r="B383" s="856"/>
      <c r="C383" s="856"/>
      <c r="D383" s="856"/>
      <c r="E383" s="856"/>
      <c r="F383" s="856"/>
      <c r="G383" s="856"/>
      <c r="H383" s="856"/>
    </row>
    <row r="384" spans="1:8" x14ac:dyDescent="0.2">
      <c r="A384" s="857" t="s">
        <v>457</v>
      </c>
      <c r="B384" s="856"/>
      <c r="C384" s="856"/>
      <c r="D384" s="856"/>
      <c r="E384" s="856"/>
      <c r="F384" s="856"/>
      <c r="G384" s="856"/>
      <c r="H384" s="856"/>
    </row>
    <row r="385" spans="1:8" x14ac:dyDescent="0.2">
      <c r="A385" s="857" t="s">
        <v>458</v>
      </c>
      <c r="B385" s="856"/>
      <c r="C385" s="856"/>
      <c r="D385" s="856"/>
      <c r="E385" s="856"/>
      <c r="F385" s="856"/>
      <c r="G385" s="856"/>
      <c r="H385" s="856"/>
    </row>
    <row r="386" spans="1:8" x14ac:dyDescent="0.2">
      <c r="A386" s="857" t="s">
        <v>459</v>
      </c>
      <c r="B386" s="856"/>
      <c r="C386" s="856"/>
      <c r="D386" s="856"/>
      <c r="E386" s="856"/>
      <c r="F386" s="856"/>
      <c r="G386" s="856"/>
      <c r="H386" s="856"/>
    </row>
    <row r="387" spans="1:8" x14ac:dyDescent="0.2">
      <c r="A387" s="856"/>
      <c r="B387" s="856"/>
      <c r="C387" s="856"/>
      <c r="D387" s="856"/>
      <c r="E387" s="856"/>
      <c r="F387" s="856"/>
      <c r="G387" s="856"/>
      <c r="H387" s="856"/>
    </row>
    <row r="388" spans="1:8" x14ac:dyDescent="0.2">
      <c r="A388" s="857" t="s">
        <v>449</v>
      </c>
      <c r="B388" s="856"/>
      <c r="C388" s="856"/>
      <c r="D388" s="856"/>
      <c r="E388" s="856"/>
      <c r="F388" s="856"/>
      <c r="G388" s="856"/>
      <c r="H388" s="856"/>
    </row>
    <row r="389" spans="1:8" x14ac:dyDescent="0.2">
      <c r="A389" s="857" t="s">
        <v>450</v>
      </c>
      <c r="B389" s="856"/>
      <c r="C389" s="856"/>
      <c r="D389" s="856"/>
      <c r="E389" s="856"/>
      <c r="F389" s="856"/>
      <c r="G389" s="856"/>
      <c r="H389" s="856"/>
    </row>
    <row r="390" spans="1:8" x14ac:dyDescent="0.2">
      <c r="A390" s="857" t="s">
        <v>451</v>
      </c>
      <c r="B390" s="856"/>
      <c r="C390" s="856"/>
      <c r="D390" s="856"/>
      <c r="E390" s="856"/>
      <c r="F390" s="856"/>
      <c r="G390" s="856"/>
      <c r="H390" s="856"/>
    </row>
    <row r="391" spans="1:8" x14ac:dyDescent="0.2">
      <c r="A391" s="857" t="s">
        <v>452</v>
      </c>
      <c r="B391" s="856"/>
      <c r="C391" s="856"/>
      <c r="D391" s="856"/>
      <c r="E391" s="856"/>
      <c r="F391" s="856"/>
      <c r="G391" s="856"/>
      <c r="H391" s="856"/>
    </row>
    <row r="392" spans="1:8" x14ac:dyDescent="0.2">
      <c r="A392" s="857" t="s">
        <v>453</v>
      </c>
      <c r="B392" s="856"/>
      <c r="C392" s="856"/>
      <c r="D392" s="856"/>
      <c r="E392" s="856"/>
      <c r="F392" s="856"/>
      <c r="G392" s="856"/>
      <c r="H392" s="856"/>
    </row>
    <row r="393" spans="1:8" x14ac:dyDescent="0.2">
      <c r="A393" s="856"/>
      <c r="B393" s="856"/>
      <c r="C393" s="856"/>
      <c r="D393" s="856"/>
      <c r="E393" s="856"/>
      <c r="F393" s="856"/>
      <c r="G393" s="856"/>
      <c r="H393" s="856"/>
    </row>
    <row r="394" spans="1:8" x14ac:dyDescent="0.2">
      <c r="A394" s="857" t="s">
        <v>447</v>
      </c>
      <c r="B394" s="856"/>
      <c r="C394" s="856"/>
      <c r="D394" s="856"/>
      <c r="E394" s="856"/>
      <c r="F394" s="856"/>
      <c r="G394" s="856"/>
      <c r="H394" s="856"/>
    </row>
    <row r="395" spans="1:8" x14ac:dyDescent="0.2">
      <c r="A395" s="857" t="s">
        <v>448</v>
      </c>
      <c r="B395" s="856"/>
      <c r="C395" s="856"/>
      <c r="D395" s="856"/>
      <c r="E395" s="856"/>
      <c r="F395" s="856"/>
      <c r="G395" s="856"/>
      <c r="H395" s="856"/>
    </row>
    <row r="397" spans="1:8" x14ac:dyDescent="0.2">
      <c r="A397" s="852" t="s">
        <v>707</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2"/>
  <sheetViews>
    <sheetView workbookViewId="0"/>
  </sheetViews>
  <sheetFormatPr defaultRowHeight="12.75" x14ac:dyDescent="0.2"/>
  <sheetData>
    <row r="1" spans="1:2" x14ac:dyDescent="0.2">
      <c r="A1" t="s">
        <v>777</v>
      </c>
      <c r="B1" t="s">
        <v>778</v>
      </c>
    </row>
    <row r="2" spans="1:2" x14ac:dyDescent="0.2">
      <c r="A2" s="39" t="s">
        <v>779</v>
      </c>
      <c r="B2">
        <v>-1</v>
      </c>
    </row>
    <row r="3" spans="1:2" x14ac:dyDescent="0.2">
      <c r="A3" s="39" t="s">
        <v>780</v>
      </c>
      <c r="B3">
        <v>2</v>
      </c>
    </row>
    <row r="4" spans="1:2" x14ac:dyDescent="0.2">
      <c r="A4" s="39" t="s">
        <v>781</v>
      </c>
      <c r="B4">
        <v>-1</v>
      </c>
    </row>
    <row r="5" spans="1:2" x14ac:dyDescent="0.2">
      <c r="A5" s="39" t="s">
        <v>782</v>
      </c>
      <c r="B5">
        <v>-1</v>
      </c>
    </row>
    <row r="6" spans="1:2" x14ac:dyDescent="0.2">
      <c r="A6" s="39" t="s">
        <v>783</v>
      </c>
      <c r="B6">
        <v>-1</v>
      </c>
    </row>
    <row r="7" spans="1:2" x14ac:dyDescent="0.2">
      <c r="A7" s="39" t="s">
        <v>784</v>
      </c>
      <c r="B7">
        <v>-1</v>
      </c>
    </row>
    <row r="8" spans="1:2" x14ac:dyDescent="0.2">
      <c r="A8" s="39" t="s">
        <v>785</v>
      </c>
      <c r="B8">
        <v>-1</v>
      </c>
    </row>
    <row r="9" spans="1:2" x14ac:dyDescent="0.2">
      <c r="A9" s="39" t="s">
        <v>786</v>
      </c>
      <c r="B9">
        <v>-1</v>
      </c>
    </row>
    <row r="10" spans="1:2" x14ac:dyDescent="0.2">
      <c r="A10" s="39" t="s">
        <v>787</v>
      </c>
      <c r="B10">
        <v>2</v>
      </c>
    </row>
    <row r="11" spans="1:2" x14ac:dyDescent="0.2">
      <c r="A11" s="39" t="s">
        <v>788</v>
      </c>
      <c r="B11">
        <v>2</v>
      </c>
    </row>
    <row r="12" spans="1:2" x14ac:dyDescent="0.2">
      <c r="A12" s="39" t="s">
        <v>789</v>
      </c>
      <c r="B12">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B11"/>
  <sheetViews>
    <sheetView showGridLines="0" showRowColHeaders="0" workbookViewId="0">
      <selection activeCell="N1" sqref="N1"/>
    </sheetView>
  </sheetViews>
  <sheetFormatPr defaultRowHeight="12.75" x14ac:dyDescent="0.2"/>
  <cols>
    <col min="1" max="1" width="9.140625" style="840"/>
    <col min="2" max="2" width="88.28515625" style="840" customWidth="1"/>
    <col min="3" max="257" width="9.140625" style="840"/>
    <col min="258" max="258" width="88.28515625" style="840" customWidth="1"/>
    <col min="259" max="513" width="9.140625" style="840"/>
    <col min="514" max="514" width="88.28515625" style="840" customWidth="1"/>
    <col min="515" max="769" width="9.140625" style="840"/>
    <col min="770" max="770" width="88.28515625" style="840" customWidth="1"/>
    <col min="771" max="1025" width="9.140625" style="840"/>
    <col min="1026" max="1026" width="88.28515625" style="840" customWidth="1"/>
    <col min="1027" max="1281" width="9.140625" style="840"/>
    <col min="1282" max="1282" width="88.28515625" style="840" customWidth="1"/>
    <col min="1283" max="1537" width="9.140625" style="840"/>
    <col min="1538" max="1538" width="88.28515625" style="840" customWidth="1"/>
    <col min="1539" max="1793" width="9.140625" style="840"/>
    <col min="1794" max="1794" width="88.28515625" style="840" customWidth="1"/>
    <col min="1795" max="2049" width="9.140625" style="840"/>
    <col min="2050" max="2050" width="88.28515625" style="840" customWidth="1"/>
    <col min="2051" max="2305" width="9.140625" style="840"/>
    <col min="2306" max="2306" width="88.28515625" style="840" customWidth="1"/>
    <col min="2307" max="2561" width="9.140625" style="840"/>
    <col min="2562" max="2562" width="88.28515625" style="840" customWidth="1"/>
    <col min="2563" max="2817" width="9.140625" style="840"/>
    <col min="2818" max="2818" width="88.28515625" style="840" customWidth="1"/>
    <col min="2819" max="3073" width="9.140625" style="840"/>
    <col min="3074" max="3074" width="88.28515625" style="840" customWidth="1"/>
    <col min="3075" max="3329" width="9.140625" style="840"/>
    <col min="3330" max="3330" width="88.28515625" style="840" customWidth="1"/>
    <col min="3331" max="3585" width="9.140625" style="840"/>
    <col min="3586" max="3586" width="88.28515625" style="840" customWidth="1"/>
    <col min="3587" max="3841" width="9.140625" style="840"/>
    <col min="3842" max="3842" width="88.28515625" style="840" customWidth="1"/>
    <col min="3843" max="4097" width="9.140625" style="840"/>
    <col min="4098" max="4098" width="88.28515625" style="840" customWidth="1"/>
    <col min="4099" max="4353" width="9.140625" style="840"/>
    <col min="4354" max="4354" width="88.28515625" style="840" customWidth="1"/>
    <col min="4355" max="4609" width="9.140625" style="840"/>
    <col min="4610" max="4610" width="88.28515625" style="840" customWidth="1"/>
    <col min="4611" max="4865" width="9.140625" style="840"/>
    <col min="4866" max="4866" width="88.28515625" style="840" customWidth="1"/>
    <col min="4867" max="5121" width="9.140625" style="840"/>
    <col min="5122" max="5122" width="88.28515625" style="840" customWidth="1"/>
    <col min="5123" max="5377" width="9.140625" style="840"/>
    <col min="5378" max="5378" width="88.28515625" style="840" customWidth="1"/>
    <col min="5379" max="5633" width="9.140625" style="840"/>
    <col min="5634" max="5634" width="88.28515625" style="840" customWidth="1"/>
    <col min="5635" max="5889" width="9.140625" style="840"/>
    <col min="5890" max="5890" width="88.28515625" style="840" customWidth="1"/>
    <col min="5891" max="6145" width="9.140625" style="840"/>
    <col min="6146" max="6146" width="88.28515625" style="840" customWidth="1"/>
    <col min="6147" max="6401" width="9.140625" style="840"/>
    <col min="6402" max="6402" width="88.28515625" style="840" customWidth="1"/>
    <col min="6403" max="6657" width="9.140625" style="840"/>
    <col min="6658" max="6658" width="88.28515625" style="840" customWidth="1"/>
    <col min="6659" max="6913" width="9.140625" style="840"/>
    <col min="6914" max="6914" width="88.28515625" style="840" customWidth="1"/>
    <col min="6915" max="7169" width="9.140625" style="840"/>
    <col min="7170" max="7170" width="88.28515625" style="840" customWidth="1"/>
    <col min="7171" max="7425" width="9.140625" style="840"/>
    <col min="7426" max="7426" width="88.28515625" style="840" customWidth="1"/>
    <col min="7427" max="7681" width="9.140625" style="840"/>
    <col min="7682" max="7682" width="88.28515625" style="840" customWidth="1"/>
    <col min="7683" max="7937" width="9.140625" style="840"/>
    <col min="7938" max="7938" width="88.28515625" style="840" customWidth="1"/>
    <col min="7939" max="8193" width="9.140625" style="840"/>
    <col min="8194" max="8194" width="88.28515625" style="840" customWidth="1"/>
    <col min="8195" max="8449" width="9.140625" style="840"/>
    <col min="8450" max="8450" width="88.28515625" style="840" customWidth="1"/>
    <col min="8451" max="8705" width="9.140625" style="840"/>
    <col min="8706" max="8706" width="88.28515625" style="840" customWidth="1"/>
    <col min="8707" max="8961" width="9.140625" style="840"/>
    <col min="8962" max="8962" width="88.28515625" style="840" customWidth="1"/>
    <col min="8963" max="9217" width="9.140625" style="840"/>
    <col min="9218" max="9218" width="88.28515625" style="840" customWidth="1"/>
    <col min="9219" max="9473" width="9.140625" style="840"/>
    <col min="9474" max="9474" width="88.28515625" style="840" customWidth="1"/>
    <col min="9475" max="9729" width="9.140625" style="840"/>
    <col min="9730" max="9730" width="88.28515625" style="840" customWidth="1"/>
    <col min="9731" max="9985" width="9.140625" style="840"/>
    <col min="9986" max="9986" width="88.28515625" style="840" customWidth="1"/>
    <col min="9987" max="10241" width="9.140625" style="840"/>
    <col min="10242" max="10242" width="88.28515625" style="840" customWidth="1"/>
    <col min="10243" max="10497" width="9.140625" style="840"/>
    <col min="10498" max="10498" width="88.28515625" style="840" customWidth="1"/>
    <col min="10499" max="10753" width="9.140625" style="840"/>
    <col min="10754" max="10754" width="88.28515625" style="840" customWidth="1"/>
    <col min="10755" max="11009" width="9.140625" style="840"/>
    <col min="11010" max="11010" width="88.28515625" style="840" customWidth="1"/>
    <col min="11011" max="11265" width="9.140625" style="840"/>
    <col min="11266" max="11266" width="88.28515625" style="840" customWidth="1"/>
    <col min="11267" max="11521" width="9.140625" style="840"/>
    <col min="11522" max="11522" width="88.28515625" style="840" customWidth="1"/>
    <col min="11523" max="11777" width="9.140625" style="840"/>
    <col min="11778" max="11778" width="88.28515625" style="840" customWidth="1"/>
    <col min="11779" max="12033" width="9.140625" style="840"/>
    <col min="12034" max="12034" width="88.28515625" style="840" customWidth="1"/>
    <col min="12035" max="12289" width="9.140625" style="840"/>
    <col min="12290" max="12290" width="88.28515625" style="840" customWidth="1"/>
    <col min="12291" max="12545" width="9.140625" style="840"/>
    <col min="12546" max="12546" width="88.28515625" style="840" customWidth="1"/>
    <col min="12547" max="12801" width="9.140625" style="840"/>
    <col min="12802" max="12802" width="88.28515625" style="840" customWidth="1"/>
    <col min="12803" max="13057" width="9.140625" style="840"/>
    <col min="13058" max="13058" width="88.28515625" style="840" customWidth="1"/>
    <col min="13059" max="13313" width="9.140625" style="840"/>
    <col min="13314" max="13314" width="88.28515625" style="840" customWidth="1"/>
    <col min="13315" max="13569" width="9.140625" style="840"/>
    <col min="13570" max="13570" width="88.28515625" style="840" customWidth="1"/>
    <col min="13571" max="13825" width="9.140625" style="840"/>
    <col min="13826" max="13826" width="88.28515625" style="840" customWidth="1"/>
    <col min="13827" max="14081" width="9.140625" style="840"/>
    <col min="14082" max="14082" width="88.28515625" style="840" customWidth="1"/>
    <col min="14083" max="14337" width="9.140625" style="840"/>
    <col min="14338" max="14338" width="88.28515625" style="840" customWidth="1"/>
    <col min="14339" max="14593" width="9.140625" style="840"/>
    <col min="14594" max="14594" width="88.28515625" style="840" customWidth="1"/>
    <col min="14595" max="14849" width="9.140625" style="840"/>
    <col min="14850" max="14850" width="88.28515625" style="840" customWidth="1"/>
    <col min="14851" max="15105" width="9.140625" style="840"/>
    <col min="15106" max="15106" width="88.28515625" style="840" customWidth="1"/>
    <col min="15107" max="15361" width="9.140625" style="840"/>
    <col min="15362" max="15362" width="88.28515625" style="840" customWidth="1"/>
    <col min="15363" max="15617" width="9.140625" style="840"/>
    <col min="15618" max="15618" width="88.28515625" style="840" customWidth="1"/>
    <col min="15619" max="15873" width="9.140625" style="840"/>
    <col min="15874" max="15874" width="88.28515625" style="840" customWidth="1"/>
    <col min="15875" max="16129" width="9.140625" style="840"/>
    <col min="16130" max="16130" width="88.28515625" style="840" customWidth="1"/>
    <col min="16131" max="16384" width="9.140625" style="840"/>
  </cols>
  <sheetData>
    <row r="1" spans="2:2" ht="32.25" customHeight="1" x14ac:dyDescent="0.2"/>
    <row r="2" spans="2:2" ht="72" x14ac:dyDescent="0.25">
      <c r="B2" s="876" t="s">
        <v>770</v>
      </c>
    </row>
    <row r="3" spans="2:2" ht="72" hidden="1" x14ac:dyDescent="0.25">
      <c r="B3" s="876" t="s">
        <v>771</v>
      </c>
    </row>
    <row r="4" spans="2:2" ht="18" x14ac:dyDescent="0.25">
      <c r="B4" s="876"/>
    </row>
    <row r="5" spans="2:2" ht="54" x14ac:dyDescent="0.25">
      <c r="B5" s="876" t="s">
        <v>772</v>
      </c>
    </row>
    <row r="6" spans="2:2" ht="7.5" customHeight="1" x14ac:dyDescent="0.25">
      <c r="B6" s="876"/>
    </row>
    <row r="7" spans="2:2" ht="18" x14ac:dyDescent="0.25">
      <c r="B7" s="877" t="s">
        <v>773</v>
      </c>
    </row>
    <row r="8" spans="2:2" ht="18" x14ac:dyDescent="0.25">
      <c r="B8" s="877" t="s">
        <v>775</v>
      </c>
    </row>
    <row r="9" spans="2:2" ht="18" x14ac:dyDescent="0.25">
      <c r="B9" s="877" t="s">
        <v>776</v>
      </c>
    </row>
    <row r="10" spans="2:2" ht="18" x14ac:dyDescent="0.25">
      <c r="B10" s="878"/>
    </row>
    <row r="11" spans="2:2" ht="54" x14ac:dyDescent="0.25">
      <c r="B11" s="879" t="s">
        <v>774</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736577"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3736578"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J23"/>
  <sheetViews>
    <sheetView zoomScaleNormal="100" workbookViewId="0"/>
  </sheetViews>
  <sheetFormatPr defaultColWidth="9.140625" defaultRowHeight="11.25" customHeight="1" x14ac:dyDescent="0.2"/>
  <cols>
    <col min="1" max="1" width="6.5703125" style="2" customWidth="1"/>
    <col min="2" max="2" width="3.140625" style="2" customWidth="1"/>
    <col min="3" max="3" width="15.28515625" style="2" customWidth="1"/>
    <col min="4" max="7" width="9.140625" style="2"/>
    <col min="8" max="8" width="8.28515625" style="2" customWidth="1"/>
    <col min="9" max="10" width="9.140625" style="2"/>
    <col min="11" max="11" width="25" style="2" customWidth="1"/>
    <col min="12" max="16384" width="9.140625" style="2"/>
  </cols>
  <sheetData>
    <row r="1" spans="1:6" ht="11.25" customHeight="1" x14ac:dyDescent="0.2">
      <c r="A1" s="1"/>
      <c r="B1" s="1"/>
      <c r="C1" s="1"/>
      <c r="D1" s="1"/>
      <c r="E1" s="1"/>
      <c r="F1" s="1"/>
    </row>
    <row r="2" spans="1:6" ht="11.25" customHeight="1" x14ac:dyDescent="0.2">
      <c r="A2" s="1"/>
      <c r="B2" s="1"/>
      <c r="C2" s="1"/>
      <c r="D2" s="1"/>
      <c r="E2" s="1"/>
      <c r="F2" s="1"/>
    </row>
    <row r="3" spans="1:6" ht="11.25" customHeight="1" x14ac:dyDescent="0.2">
      <c r="A3" s="1"/>
      <c r="B3" s="1"/>
      <c r="C3" s="1"/>
      <c r="D3" s="1"/>
      <c r="E3" s="1"/>
      <c r="F3" s="1"/>
    </row>
    <row r="4" spans="1:6" ht="11.25" customHeight="1" x14ac:dyDescent="0.2">
      <c r="A4" s="1"/>
      <c r="B4" s="1"/>
      <c r="C4" s="1"/>
      <c r="D4" s="1"/>
      <c r="E4" s="1"/>
      <c r="F4" s="1"/>
    </row>
    <row r="5" spans="1:6" ht="11.25" customHeight="1" x14ac:dyDescent="0.2">
      <c r="A5" s="1"/>
      <c r="B5" s="1"/>
      <c r="C5" s="1"/>
      <c r="D5" s="1"/>
      <c r="E5" s="1"/>
      <c r="F5" s="1"/>
    </row>
    <row r="6" spans="1:6" ht="11.25" customHeight="1" x14ac:dyDescent="0.2">
      <c r="A6" s="1"/>
      <c r="B6" s="1"/>
      <c r="C6" s="1"/>
      <c r="D6" s="1"/>
      <c r="E6" s="1"/>
      <c r="F6" s="1"/>
    </row>
    <row r="7" spans="1:6" ht="11.25" customHeight="1" x14ac:dyDescent="0.2">
      <c r="A7" s="1"/>
      <c r="B7" s="1"/>
      <c r="C7" s="1"/>
      <c r="D7" s="1"/>
      <c r="E7" s="1"/>
      <c r="F7" s="1"/>
    </row>
    <row r="8" spans="1:6" ht="11.25" customHeight="1" x14ac:dyDescent="0.2">
      <c r="A8" s="1"/>
      <c r="B8" s="1"/>
      <c r="C8" s="1"/>
      <c r="D8" s="1"/>
      <c r="E8" s="1"/>
      <c r="F8" s="1"/>
    </row>
    <row r="9" spans="1:6" ht="11.25" customHeight="1" x14ac:dyDescent="0.2">
      <c r="A9" s="1"/>
      <c r="B9" s="1"/>
      <c r="C9" s="1"/>
      <c r="D9" s="1"/>
      <c r="E9" s="1"/>
      <c r="F9" s="3"/>
    </row>
    <row r="10" spans="1:6" ht="11.25" customHeight="1" x14ac:dyDescent="0.25">
      <c r="A10" s="1"/>
      <c r="B10" s="4"/>
      <c r="C10" s="4"/>
      <c r="D10" s="4"/>
      <c r="E10" s="4"/>
      <c r="F10" s="4"/>
    </row>
    <row r="11" spans="1:6" ht="11.25" customHeight="1" x14ac:dyDescent="0.2">
      <c r="A11" s="1"/>
      <c r="B11" s="3"/>
      <c r="C11" s="5"/>
      <c r="D11" s="5"/>
      <c r="E11" s="5"/>
      <c r="F11" s="6"/>
    </row>
    <row r="12" spans="1:6" ht="21" customHeight="1" x14ac:dyDescent="0.25">
      <c r="A12" s="1"/>
      <c r="B12" s="7" t="s">
        <v>178</v>
      </c>
      <c r="C12" s="8"/>
      <c r="D12" s="9"/>
      <c r="E12" s="9"/>
      <c r="F12" s="10"/>
    </row>
    <row r="13" spans="1:6" ht="11.25" customHeight="1" x14ac:dyDescent="0.2">
      <c r="A13" s="1"/>
      <c r="B13" s="8"/>
      <c r="C13" s="8"/>
      <c r="D13" s="9"/>
      <c r="E13" s="9"/>
      <c r="F13" s="10"/>
    </row>
    <row r="16" spans="1:6" ht="5.25" customHeight="1" x14ac:dyDescent="0.2"/>
    <row r="17" spans="2:10" ht="12.75" x14ac:dyDescent="0.2">
      <c r="B17" s="11" t="s">
        <v>21</v>
      </c>
    </row>
    <row r="18" spans="2:10" ht="5.25" customHeight="1" x14ac:dyDescent="0.25">
      <c r="B18" s="4"/>
    </row>
    <row r="19" spans="2:10" s="12" customFormat="1" ht="11.25" customHeight="1" x14ac:dyDescent="0.2">
      <c r="B19" s="13" t="s">
        <v>22</v>
      </c>
      <c r="C19" s="14"/>
      <c r="D19" s="15"/>
      <c r="E19" s="15" t="s">
        <v>23</v>
      </c>
      <c r="F19" s="15"/>
      <c r="G19" s="16" t="s">
        <v>24</v>
      </c>
    </row>
    <row r="20" spans="2:10" ht="3.75" customHeight="1" x14ac:dyDescent="0.2">
      <c r="B20" s="17"/>
      <c r="C20" s="8"/>
      <c r="D20" s="9"/>
      <c r="E20" s="9"/>
      <c r="F20" s="9"/>
      <c r="G20" s="10"/>
    </row>
    <row r="21" spans="2:10" ht="11.25" customHeight="1" x14ac:dyDescent="0.2">
      <c r="B21" s="8" t="s">
        <v>252</v>
      </c>
      <c r="C21" s="8"/>
      <c r="D21" s="9"/>
      <c r="E21" s="9" t="s">
        <v>303</v>
      </c>
      <c r="F21" s="9"/>
      <c r="G21" s="10" t="s">
        <v>304</v>
      </c>
    </row>
    <row r="22" spans="2:10" ht="11.25" customHeight="1" x14ac:dyDescent="0.2">
      <c r="B22" s="8" t="s">
        <v>389</v>
      </c>
      <c r="C22" s="738"/>
      <c r="D22" s="738"/>
      <c r="E22" s="546" t="s">
        <v>390</v>
      </c>
      <c r="F22" s="738"/>
      <c r="G22" s="739" t="s">
        <v>391</v>
      </c>
      <c r="H22" s="644"/>
    </row>
    <row r="23" spans="2:10" ht="11.25" customHeight="1" x14ac:dyDescent="0.2">
      <c r="B23" s="8" t="s">
        <v>399</v>
      </c>
      <c r="C23" s="738"/>
      <c r="D23" s="738"/>
      <c r="E23" s="546" t="s">
        <v>400</v>
      </c>
      <c r="F23" s="738"/>
      <c r="G23" s="739" t="s">
        <v>401</v>
      </c>
      <c r="I23" s="644"/>
      <c r="J23" s="644"/>
    </row>
  </sheetData>
  <phoneticPr fontId="3" type="noConversion"/>
  <hyperlinks>
    <hyperlink ref="G22" r:id="rId1" display="brandon.hoffman@morganstanley.com"/>
    <hyperlink ref="G23" r:id="rId2"/>
  </hyperlinks>
  <pageMargins left="0.75" right="0.75" top="1" bottom="1" header="0.5" footer="0.5"/>
  <pageSetup orientation="landscape" r:id="rId3"/>
  <headerFooter alignWithMargins="0"/>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U324"/>
  <sheetViews>
    <sheetView showGridLines="0" zoomScale="70" zoomScaleNormal="70" zoomScaleSheetLayoutView="70" workbookViewId="0">
      <pane xSplit="2" ySplit="4" topLeftCell="BJ5" activePane="bottomRight" state="frozen"/>
      <selection pane="topRight" activeCell="C1" sqref="C1"/>
      <selection pane="bottomLeft" activeCell="A5" sqref="A5"/>
      <selection pane="bottomRight" activeCell="B77" sqref="B77"/>
    </sheetView>
  </sheetViews>
  <sheetFormatPr defaultColWidth="9.140625" defaultRowHeight="14.25" outlineLevelRow="2" outlineLevelCol="2" x14ac:dyDescent="0.2"/>
  <cols>
    <col min="1" max="1" width="1.42578125" style="18" customWidth="1"/>
    <col min="2" max="2" width="49.28515625" style="18" customWidth="1"/>
    <col min="3" max="3" width="10.42578125" style="18" hidden="1" customWidth="1" outlineLevel="1"/>
    <col min="4" max="4" width="9.5703125" style="18" hidden="1" customWidth="1" outlineLevel="1"/>
    <col min="5" max="6" width="9.42578125" style="18" hidden="1" customWidth="1" outlineLevel="1"/>
    <col min="7" max="7" width="10.28515625" style="18" hidden="1" customWidth="1" collapsed="1"/>
    <col min="8" max="9" width="9.5703125" style="18" hidden="1" customWidth="1" outlineLevel="1"/>
    <col min="10" max="11" width="9.42578125" style="18" hidden="1" customWidth="1" outlineLevel="1"/>
    <col min="12" max="12" width="10.28515625" style="18" hidden="1" customWidth="1" collapsed="1"/>
    <col min="13" max="14" width="9.5703125" style="18" hidden="1" customWidth="1" outlineLevel="1"/>
    <col min="15" max="16" width="9.42578125" style="18" hidden="1" customWidth="1" outlineLevel="1"/>
    <col min="17" max="17" width="10.28515625" style="18" hidden="1" customWidth="1" collapsed="1"/>
    <col min="18" max="19" width="9.5703125" style="18" hidden="1" customWidth="1" outlineLevel="1"/>
    <col min="20" max="21" width="9.42578125" style="18" hidden="1" customWidth="1" outlineLevel="1"/>
    <col min="22" max="22" width="10.28515625" style="18" hidden="1" customWidth="1" collapsed="1"/>
    <col min="23" max="24" width="9.5703125" style="18" hidden="1" customWidth="1" outlineLevel="1"/>
    <col min="25" max="26" width="9.42578125" style="18" hidden="1" customWidth="1" outlineLevel="1"/>
    <col min="27" max="27" width="10.28515625" style="18" hidden="1" customWidth="1" collapsed="1"/>
    <col min="28" max="29" width="9.5703125" style="18" hidden="1" customWidth="1" outlineLevel="1"/>
    <col min="30" max="31" width="9.42578125" style="18" hidden="1" customWidth="1" outlineLevel="1"/>
    <col min="32" max="32" width="10.28515625" style="18" hidden="1" customWidth="1" collapsed="1"/>
    <col min="33" max="34" width="9.5703125" style="18" hidden="1" customWidth="1" outlineLevel="1"/>
    <col min="35" max="36" width="9.42578125" style="18" hidden="1" customWidth="1" outlineLevel="1"/>
    <col min="37" max="37" width="10.28515625" style="18" hidden="1" customWidth="1" collapsed="1"/>
    <col min="38" max="39" width="9.5703125" style="18" hidden="1" customWidth="1" outlineLevel="1"/>
    <col min="40" max="41" width="9.42578125" style="18" hidden="1" customWidth="1" outlineLevel="1"/>
    <col min="42" max="42" width="11.140625" style="18" hidden="1" customWidth="1" collapsed="1"/>
    <col min="43" max="44" width="9.5703125" style="18" hidden="1" customWidth="1" outlineLevel="1"/>
    <col min="45" max="46" width="9.42578125" style="18" hidden="1" customWidth="1" outlineLevel="1"/>
    <col min="47" max="47" width="11.140625" style="18" hidden="1" customWidth="1" collapsed="1"/>
    <col min="48" max="49" width="9.5703125" style="18" hidden="1" customWidth="1" outlineLevel="1"/>
    <col min="50" max="51" width="9.42578125" style="18" hidden="1" customWidth="1" outlineLevel="1"/>
    <col min="52" max="52" width="10.7109375" style="18" hidden="1" customWidth="1" collapsed="1"/>
    <col min="53" max="53" width="9.85546875" style="18" hidden="1" customWidth="1" outlineLevel="1"/>
    <col min="54" max="54" width="9.5703125" style="18" hidden="1" customWidth="1" outlineLevel="1"/>
    <col min="55" max="55" width="9.85546875" style="18" hidden="1" customWidth="1" outlineLevel="1"/>
    <col min="56" max="56" width="9.5703125" style="18" hidden="1" customWidth="1" outlineLevel="1"/>
    <col min="57" max="57" width="11.42578125" style="18" hidden="1" customWidth="1" collapsed="1"/>
    <col min="58" max="58" width="10.5703125" style="18" hidden="1" customWidth="1" outlineLevel="1"/>
    <col min="59" max="61" width="9.5703125" style="18" hidden="1" customWidth="1" outlineLevel="1"/>
    <col min="62" max="62" width="11.42578125" style="18" hidden="1" customWidth="1" collapsed="1"/>
    <col min="63" max="65" width="9.5703125" style="18" hidden="1" customWidth="1" outlineLevel="1"/>
    <col min="66" max="66" width="10" style="18" hidden="1" customWidth="1" outlineLevel="1"/>
    <col min="67" max="67" width="11.42578125" style="18" customWidth="1" collapsed="1"/>
    <col min="68" max="69" width="10.5703125" style="18" hidden="1" customWidth="1" outlineLevel="1"/>
    <col min="70" max="71" width="10.7109375" style="18" hidden="1" customWidth="1" outlineLevel="1"/>
    <col min="72" max="72" width="11.85546875" style="18" customWidth="1" collapsed="1"/>
    <col min="73" max="76" width="10.7109375" style="18" hidden="1" customWidth="1" outlineLevel="2"/>
    <col min="77" max="77" width="12.5703125" style="18" customWidth="1" collapsed="1"/>
    <col min="78" max="78" width="10.7109375" style="18" hidden="1" customWidth="1" outlineLevel="1"/>
    <col min="79" max="79" width="11.7109375" style="18" hidden="1" customWidth="1" outlineLevel="1"/>
    <col min="80" max="81" width="10.7109375" style="18" hidden="1" customWidth="1" outlineLevel="1"/>
    <col min="82" max="82" width="12.7109375" style="18" customWidth="1" collapsed="1"/>
    <col min="83" max="84" width="12.42578125" style="18" hidden="1" customWidth="1" outlineLevel="2"/>
    <col min="85" max="85" width="11.42578125" style="18" hidden="1" customWidth="1" outlineLevel="2"/>
    <col min="86" max="86" width="12.5703125" style="18" hidden="1" customWidth="1" outlineLevel="2"/>
    <col min="87" max="87" width="12.5703125" style="18" customWidth="1" collapsed="1"/>
    <col min="88" max="91" width="11.85546875" style="18" customWidth="1" outlineLevel="1"/>
    <col min="92" max="92" width="12.42578125" style="18" customWidth="1"/>
    <col min="93" max="96" width="11.85546875" style="18" customWidth="1" outlineLevel="1"/>
    <col min="97" max="97" width="12.85546875" style="18" customWidth="1"/>
    <col min="98" max="101" width="11.85546875" style="18" hidden="1" customWidth="1" outlineLevel="2"/>
    <col min="102" max="102" width="12.85546875" style="18" customWidth="1" collapsed="1"/>
    <col min="103" max="106" width="11.85546875" style="18" hidden="1" customWidth="1" outlineLevel="2"/>
    <col min="107" max="107" width="11.85546875" style="18" hidden="1" customWidth="1" outlineLevel="1" collapsed="1"/>
    <col min="108" max="111" width="11.85546875" style="18" hidden="1" customWidth="1" outlineLevel="2"/>
    <col min="112" max="112" width="11.85546875" style="18" hidden="1" customWidth="1" outlineLevel="1" collapsed="1"/>
    <col min="113" max="116" width="11.85546875" style="18" hidden="1" customWidth="1" outlineLevel="2"/>
    <col min="117" max="117" width="11.42578125" style="18" hidden="1" customWidth="1" outlineLevel="1" collapsed="1"/>
    <col min="118" max="118" width="10.7109375" style="18" customWidth="1" collapsed="1"/>
    <col min="119" max="124" width="9.140625" hidden="1" customWidth="1" outlineLevel="1"/>
    <col min="125" max="125" width="9.140625" style="18" customWidth="1" collapsed="1"/>
    <col min="126" max="16384" width="9.140625" style="18"/>
  </cols>
  <sheetData>
    <row r="1" spans="1:118" ht="15" x14ac:dyDescent="0.25">
      <c r="A1" s="187" t="s">
        <v>179</v>
      </c>
      <c r="C1" s="246"/>
      <c r="D1" s="246"/>
      <c r="E1" s="246"/>
      <c r="F1" s="246"/>
      <c r="G1" s="247"/>
      <c r="H1" s="246"/>
      <c r="I1" s="246"/>
      <c r="J1" s="246"/>
      <c r="K1" s="246"/>
      <c r="L1" s="247"/>
      <c r="M1" s="246"/>
      <c r="N1" s="246"/>
      <c r="O1" s="246"/>
      <c r="P1" s="246"/>
      <c r="Q1" s="247"/>
      <c r="R1" s="246"/>
      <c r="S1" s="246"/>
      <c r="T1" s="246"/>
      <c r="U1" s="246"/>
      <c r="V1" s="247"/>
      <c r="W1" s="246"/>
      <c r="X1" s="246"/>
      <c r="Y1" s="246"/>
      <c r="Z1" s="246"/>
      <c r="AA1" s="247"/>
      <c r="AB1" s="246"/>
      <c r="AC1" s="246"/>
      <c r="AD1" s="246"/>
      <c r="AE1" s="246"/>
      <c r="AF1" s="248"/>
      <c r="AG1" s="249"/>
      <c r="AH1" s="249"/>
      <c r="AI1" s="249"/>
      <c r="AJ1" s="249"/>
      <c r="AK1" s="248"/>
      <c r="AL1" s="249"/>
      <c r="AM1" s="249"/>
      <c r="AN1" s="249"/>
      <c r="AO1" s="249"/>
      <c r="AP1" s="248"/>
      <c r="AQ1" s="249"/>
      <c r="AR1" s="249"/>
      <c r="AS1" s="249"/>
      <c r="AT1" s="249"/>
      <c r="AU1" s="248"/>
      <c r="AV1" s="249"/>
      <c r="AW1" s="249"/>
      <c r="AX1" s="249"/>
      <c r="AY1" s="249"/>
      <c r="AZ1" s="248"/>
      <c r="BA1" s="210"/>
      <c r="BB1" s="204"/>
      <c r="BC1" s="208"/>
      <c r="BD1" s="250"/>
      <c r="BE1" s="210"/>
      <c r="BF1" s="251"/>
      <c r="BG1" s="252"/>
      <c r="BH1" s="253"/>
      <c r="BI1" s="254"/>
      <c r="BJ1" s="253"/>
      <c r="BK1" s="255"/>
      <c r="BL1" s="208"/>
      <c r="BM1" s="208"/>
      <c r="BN1" s="208"/>
      <c r="BO1" s="256"/>
      <c r="BP1" s="257"/>
      <c r="BQ1" s="224"/>
      <c r="BR1" s="224"/>
      <c r="BS1" s="224"/>
      <c r="BT1" s="224"/>
      <c r="BU1" s="232"/>
      <c r="BV1" s="232"/>
      <c r="BW1" s="232"/>
      <c r="BX1" s="232"/>
      <c r="BY1" s="232"/>
      <c r="BZ1" s="232"/>
      <c r="CA1" s="232"/>
      <c r="CB1" s="232"/>
      <c r="CC1" s="232"/>
      <c r="CD1" s="232"/>
      <c r="CE1" s="232"/>
      <c r="CF1" s="232"/>
      <c r="CG1" s="232"/>
      <c r="CH1" s="232"/>
      <c r="CI1" s="845"/>
      <c r="CJ1" s="845"/>
      <c r="CK1" s="845"/>
      <c r="CL1" s="845"/>
      <c r="CM1" s="845"/>
      <c r="CN1" s="845"/>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59"/>
    </row>
    <row r="2" spans="1:118" ht="15" x14ac:dyDescent="0.25">
      <c r="C2" s="204"/>
      <c r="D2" s="204"/>
      <c r="E2" s="204"/>
      <c r="F2" s="204"/>
      <c r="G2" s="247"/>
      <c r="H2" s="204"/>
      <c r="I2" s="204"/>
      <c r="J2" s="204"/>
      <c r="K2" s="204"/>
      <c r="L2" s="247"/>
      <c r="M2" s="204"/>
      <c r="N2" s="204"/>
      <c r="O2" s="204"/>
      <c r="P2" s="204"/>
      <c r="Q2" s="247"/>
      <c r="R2" s="204"/>
      <c r="S2" s="204"/>
      <c r="T2" s="204"/>
      <c r="U2" s="204"/>
      <c r="V2" s="247"/>
      <c r="W2" s="204"/>
      <c r="X2" s="204"/>
      <c r="Y2" s="204"/>
      <c r="Z2" s="204"/>
      <c r="AA2" s="247"/>
      <c r="AB2" s="204"/>
      <c r="AC2" s="204"/>
      <c r="AD2" s="204"/>
      <c r="AE2" s="204"/>
      <c r="AF2" s="248"/>
      <c r="AG2" s="204"/>
      <c r="AH2" s="204"/>
      <c r="AI2" s="204"/>
      <c r="AJ2" s="204"/>
      <c r="AK2" s="248"/>
      <c r="AL2" s="204"/>
      <c r="AM2" s="204"/>
      <c r="AN2" s="204"/>
      <c r="AO2" s="204"/>
      <c r="AP2" s="248"/>
      <c r="AQ2" s="204"/>
      <c r="AR2" s="204"/>
      <c r="AS2" s="204"/>
      <c r="AT2" s="204"/>
      <c r="AU2" s="248"/>
      <c r="AV2" s="204"/>
      <c r="AW2" s="204"/>
      <c r="AX2" s="204"/>
      <c r="AY2" s="204"/>
      <c r="AZ2" s="248"/>
      <c r="BA2" s="208"/>
      <c r="BB2" s="208"/>
      <c r="BC2" s="208"/>
      <c r="BD2" s="210"/>
      <c r="BE2" s="260"/>
      <c r="BF2" s="261"/>
      <c r="BG2" s="221"/>
      <c r="BH2" s="221"/>
      <c r="BI2" s="262"/>
      <c r="BJ2" s="262"/>
      <c r="BK2" s="263"/>
      <c r="BL2" s="264"/>
      <c r="BM2" s="265"/>
      <c r="BN2" s="266"/>
      <c r="BO2" s="263"/>
      <c r="BP2" s="224"/>
      <c r="BQ2" s="267"/>
      <c r="BR2" s="207"/>
      <c r="BS2" s="207"/>
      <c r="BT2" s="207"/>
      <c r="BU2" s="232"/>
      <c r="BY2" s="268"/>
      <c r="BZ2" s="232"/>
      <c r="CD2" s="232"/>
      <c r="CF2" s="532"/>
      <c r="CI2" s="372"/>
      <c r="CJ2" s="232"/>
      <c r="CK2" s="232"/>
      <c r="CL2" s="232"/>
      <c r="CM2" s="232"/>
      <c r="CN2" s="232"/>
      <c r="CO2" s="843"/>
      <c r="CP2" s="843"/>
      <c r="CQ2" s="843"/>
      <c r="CR2" s="843"/>
      <c r="CS2" s="843"/>
      <c r="CX2" s="843"/>
      <c r="DC2" s="843"/>
      <c r="DH2" s="843"/>
      <c r="DM2" s="843"/>
      <c r="DN2" s="259"/>
    </row>
    <row r="3" spans="1:118" ht="15" x14ac:dyDescent="0.25">
      <c r="A3" s="20"/>
      <c r="B3" s="269"/>
      <c r="C3" s="204"/>
      <c r="D3" s="204"/>
      <c r="E3" s="204"/>
      <c r="F3" s="204"/>
      <c r="G3" s="270"/>
      <c r="H3" s="204"/>
      <c r="I3" s="204"/>
      <c r="J3" s="204"/>
      <c r="K3" s="204"/>
      <c r="L3" s="270"/>
      <c r="M3" s="204"/>
      <c r="N3" s="204"/>
      <c r="O3" s="204"/>
      <c r="P3" s="204"/>
      <c r="Q3" s="270"/>
      <c r="R3" s="204"/>
      <c r="S3" s="204"/>
      <c r="T3" s="204"/>
      <c r="U3" s="204"/>
      <c r="V3" s="270"/>
      <c r="W3" s="204"/>
      <c r="X3" s="204"/>
      <c r="Y3" s="204"/>
      <c r="Z3" s="204"/>
      <c r="AA3" s="270"/>
      <c r="AB3" s="204"/>
      <c r="AC3" s="204"/>
      <c r="AD3" s="204"/>
      <c r="AE3" s="204"/>
      <c r="AF3" s="271"/>
      <c r="AG3" s="204"/>
      <c r="AH3" s="204"/>
      <c r="AI3" s="204"/>
      <c r="AJ3" s="204"/>
      <c r="AK3" s="271"/>
      <c r="AL3" s="272"/>
      <c r="AM3" s="272"/>
      <c r="AN3" s="272"/>
      <c r="AO3" s="272"/>
      <c r="AP3" s="271"/>
      <c r="AQ3" s="272"/>
      <c r="AR3" s="272"/>
      <c r="AS3" s="272"/>
      <c r="AT3" s="272"/>
      <c r="AU3" s="271"/>
      <c r="AV3" s="272"/>
      <c r="AW3" s="272"/>
      <c r="AX3" s="272"/>
      <c r="AY3" s="272"/>
      <c r="AZ3" s="271"/>
      <c r="BA3" s="204"/>
      <c r="BB3" s="204"/>
      <c r="BC3" s="273"/>
      <c r="BD3" s="274"/>
      <c r="BE3" s="271"/>
      <c r="BF3" s="228"/>
      <c r="BG3" s="228"/>
      <c r="BH3" s="228"/>
      <c r="BI3" s="228"/>
      <c r="BJ3" s="211"/>
      <c r="BK3" s="275"/>
      <c r="BL3" s="228"/>
      <c r="BM3" s="230"/>
      <c r="BN3" s="275"/>
      <c r="BO3" s="222"/>
      <c r="BP3" s="228"/>
      <c r="BQ3" s="228"/>
      <c r="BR3" s="228"/>
      <c r="BS3" s="228"/>
      <c r="BT3" s="276"/>
      <c r="BU3" s="250"/>
      <c r="BV3" s="207"/>
      <c r="BW3" s="277"/>
      <c r="BX3" s="207"/>
      <c r="BY3" s="276"/>
      <c r="BZ3" s="207"/>
      <c r="CA3" s="207"/>
      <c r="CB3" s="207"/>
      <c r="CC3" s="250"/>
      <c r="CD3" s="298"/>
      <c r="CE3" s="698"/>
      <c r="CF3" s="698"/>
      <c r="CG3" s="698"/>
      <c r="CH3" s="698"/>
      <c r="CI3" s="372"/>
      <c r="CJ3" s="698"/>
      <c r="CK3" s="698"/>
      <c r="CL3" s="698"/>
      <c r="CM3" s="698"/>
      <c r="CN3" s="698"/>
      <c r="CO3" s="698"/>
      <c r="CP3" s="698"/>
      <c r="CQ3" s="698"/>
      <c r="CR3" s="698"/>
      <c r="CS3" s="698"/>
      <c r="CT3" s="698"/>
      <c r="CU3" s="698"/>
      <c r="CV3" s="698"/>
      <c r="CW3" s="698"/>
      <c r="CX3" s="698"/>
      <c r="CY3" s="698"/>
      <c r="CZ3" s="698"/>
      <c r="DA3" s="698"/>
      <c r="DB3" s="698"/>
      <c r="DC3" s="698"/>
      <c r="DD3" s="698"/>
      <c r="DE3" s="698"/>
      <c r="DF3" s="698"/>
      <c r="DG3" s="698"/>
      <c r="DH3" s="698"/>
      <c r="DI3" s="698"/>
      <c r="DJ3" s="698"/>
      <c r="DK3" s="698"/>
      <c r="DL3" s="698"/>
      <c r="DM3" s="698"/>
      <c r="DN3" s="259"/>
    </row>
    <row r="4" spans="1:118" ht="16.5" customHeight="1" x14ac:dyDescent="0.25">
      <c r="A4" s="412" t="s">
        <v>25</v>
      </c>
      <c r="B4" s="413"/>
      <c r="C4" s="414">
        <v>36616</v>
      </c>
      <c r="D4" s="414">
        <v>36686</v>
      </c>
      <c r="E4" s="414">
        <v>36778</v>
      </c>
      <c r="F4" s="414">
        <v>36869</v>
      </c>
      <c r="G4" s="415" t="s">
        <v>242</v>
      </c>
      <c r="H4" s="414">
        <v>36981</v>
      </c>
      <c r="I4" s="414">
        <v>37051</v>
      </c>
      <c r="J4" s="414">
        <v>37143</v>
      </c>
      <c r="K4" s="414">
        <v>37234</v>
      </c>
      <c r="L4" s="415" t="s">
        <v>241</v>
      </c>
      <c r="M4" s="414">
        <v>37346</v>
      </c>
      <c r="N4" s="414">
        <v>37416</v>
      </c>
      <c r="O4" s="414">
        <v>37508</v>
      </c>
      <c r="P4" s="414">
        <v>37599</v>
      </c>
      <c r="Q4" s="415" t="s">
        <v>240</v>
      </c>
      <c r="R4" s="414">
        <v>37711</v>
      </c>
      <c r="S4" s="414">
        <v>37781</v>
      </c>
      <c r="T4" s="414">
        <v>37873</v>
      </c>
      <c r="U4" s="414">
        <v>37964</v>
      </c>
      <c r="V4" s="415" t="s">
        <v>239</v>
      </c>
      <c r="W4" s="414">
        <v>38077</v>
      </c>
      <c r="X4" s="414">
        <v>38147</v>
      </c>
      <c r="Y4" s="414">
        <v>38239</v>
      </c>
      <c r="Z4" s="414">
        <v>38330</v>
      </c>
      <c r="AA4" s="415" t="s">
        <v>238</v>
      </c>
      <c r="AB4" s="414">
        <v>38442</v>
      </c>
      <c r="AC4" s="414">
        <v>38512</v>
      </c>
      <c r="AD4" s="414">
        <v>38604</v>
      </c>
      <c r="AE4" s="414">
        <v>38695</v>
      </c>
      <c r="AF4" s="415" t="s">
        <v>18</v>
      </c>
      <c r="AG4" s="414">
        <v>38807</v>
      </c>
      <c r="AH4" s="414">
        <v>38877</v>
      </c>
      <c r="AI4" s="414">
        <v>38969</v>
      </c>
      <c r="AJ4" s="414">
        <v>39060</v>
      </c>
      <c r="AK4" s="415" t="s">
        <v>17</v>
      </c>
      <c r="AL4" s="414">
        <v>39172</v>
      </c>
      <c r="AM4" s="414">
        <v>39242</v>
      </c>
      <c r="AN4" s="414">
        <v>39334</v>
      </c>
      <c r="AO4" s="414">
        <v>39425</v>
      </c>
      <c r="AP4" s="416" t="s">
        <v>16</v>
      </c>
      <c r="AQ4" s="414">
        <v>39538</v>
      </c>
      <c r="AR4" s="414">
        <v>39608</v>
      </c>
      <c r="AS4" s="414">
        <v>39700</v>
      </c>
      <c r="AT4" s="414">
        <v>39791</v>
      </c>
      <c r="AU4" s="416" t="s">
        <v>15</v>
      </c>
      <c r="AV4" s="414">
        <v>39903</v>
      </c>
      <c r="AW4" s="414">
        <v>39973</v>
      </c>
      <c r="AX4" s="414">
        <v>40065</v>
      </c>
      <c r="AY4" s="414">
        <v>40156</v>
      </c>
      <c r="AZ4" s="416" t="s">
        <v>19</v>
      </c>
      <c r="BA4" s="414">
        <v>40247</v>
      </c>
      <c r="BB4" s="414">
        <v>40339</v>
      </c>
      <c r="BC4" s="414">
        <v>40431</v>
      </c>
      <c r="BD4" s="414">
        <v>40522</v>
      </c>
      <c r="BE4" s="416" t="s">
        <v>315</v>
      </c>
      <c r="BF4" s="414">
        <v>40613</v>
      </c>
      <c r="BG4" s="414">
        <v>40705</v>
      </c>
      <c r="BH4" s="414">
        <v>40797</v>
      </c>
      <c r="BI4" s="414">
        <v>40888</v>
      </c>
      <c r="BJ4" s="416" t="s">
        <v>265</v>
      </c>
      <c r="BK4" s="414">
        <v>40980</v>
      </c>
      <c r="BL4" s="414">
        <v>41072</v>
      </c>
      <c r="BM4" s="414">
        <v>41164</v>
      </c>
      <c r="BN4" s="414">
        <v>41274</v>
      </c>
      <c r="BO4" s="416" t="s">
        <v>340</v>
      </c>
      <c r="BP4" s="414">
        <v>41346</v>
      </c>
      <c r="BQ4" s="414">
        <v>41438</v>
      </c>
      <c r="BR4" s="414">
        <v>41530</v>
      </c>
      <c r="BS4" s="414">
        <v>41621</v>
      </c>
      <c r="BT4" s="416" t="s">
        <v>154</v>
      </c>
      <c r="BU4" s="414">
        <v>41712</v>
      </c>
      <c r="BV4" s="414">
        <v>41804</v>
      </c>
      <c r="BW4" s="414">
        <v>41896</v>
      </c>
      <c r="BX4" s="414">
        <v>41987</v>
      </c>
      <c r="BY4" s="416" t="s">
        <v>349</v>
      </c>
      <c r="BZ4" s="414">
        <v>42078</v>
      </c>
      <c r="CA4" s="414">
        <v>42170</v>
      </c>
      <c r="CB4" s="414">
        <v>42262</v>
      </c>
      <c r="CC4" s="414">
        <v>42353</v>
      </c>
      <c r="CD4" s="416" t="s">
        <v>358</v>
      </c>
      <c r="CE4" s="414">
        <v>42445</v>
      </c>
      <c r="CF4" s="414">
        <v>42537</v>
      </c>
      <c r="CG4" s="414">
        <v>42629</v>
      </c>
      <c r="CH4" s="414">
        <v>42720</v>
      </c>
      <c r="CI4" s="416" t="s">
        <v>387</v>
      </c>
      <c r="CJ4" s="414">
        <v>42811</v>
      </c>
      <c r="CK4" s="414">
        <v>42903</v>
      </c>
      <c r="CL4" s="414">
        <v>42995</v>
      </c>
      <c r="CM4" s="414">
        <v>43086</v>
      </c>
      <c r="CN4" s="416" t="s">
        <v>402</v>
      </c>
      <c r="CO4" s="414">
        <v>43177</v>
      </c>
      <c r="CP4" s="414" t="s">
        <v>131</v>
      </c>
      <c r="CQ4" s="414" t="s">
        <v>132</v>
      </c>
      <c r="CR4" s="414" t="s">
        <v>133</v>
      </c>
      <c r="CS4" s="416" t="s">
        <v>134</v>
      </c>
      <c r="CT4" s="414" t="s">
        <v>135</v>
      </c>
      <c r="CU4" s="414" t="s">
        <v>136</v>
      </c>
      <c r="CV4" s="414" t="s">
        <v>137</v>
      </c>
      <c r="CW4" s="414" t="s">
        <v>138</v>
      </c>
      <c r="CX4" s="416" t="s">
        <v>139</v>
      </c>
      <c r="CY4" s="414" t="s">
        <v>243</v>
      </c>
      <c r="CZ4" s="414" t="s">
        <v>244</v>
      </c>
      <c r="DA4" s="414" t="s">
        <v>245</v>
      </c>
      <c r="DB4" s="414" t="s">
        <v>246</v>
      </c>
      <c r="DC4" s="416" t="s">
        <v>247</v>
      </c>
      <c r="DD4" s="414" t="s">
        <v>149</v>
      </c>
      <c r="DE4" s="414" t="s">
        <v>150</v>
      </c>
      <c r="DF4" s="414" t="s">
        <v>151</v>
      </c>
      <c r="DG4" s="414" t="s">
        <v>152</v>
      </c>
      <c r="DH4" s="416" t="s">
        <v>153</v>
      </c>
      <c r="DI4" s="414" t="s">
        <v>230</v>
      </c>
      <c r="DJ4" s="414" t="s">
        <v>231</v>
      </c>
      <c r="DK4" s="414" t="s">
        <v>232</v>
      </c>
      <c r="DL4" s="414" t="s">
        <v>233</v>
      </c>
      <c r="DM4" s="416" t="s">
        <v>234</v>
      </c>
      <c r="DN4" s="207"/>
    </row>
    <row r="5" spans="1:118" ht="16.5" customHeight="1" x14ac:dyDescent="0.25">
      <c r="A5" s="417" t="s">
        <v>4</v>
      </c>
      <c r="B5" s="418"/>
      <c r="C5" s="419">
        <v>4256</v>
      </c>
      <c r="D5" s="419">
        <v>5487</v>
      </c>
      <c r="E5" s="419">
        <v>5414</v>
      </c>
      <c r="F5" s="419">
        <v>4732</v>
      </c>
      <c r="G5" s="420">
        <f>SUM(C5:F5)</f>
        <v>19889</v>
      </c>
      <c r="H5" s="419">
        <v>3959</v>
      </c>
      <c r="I5" s="419">
        <v>4653</v>
      </c>
      <c r="J5" s="419">
        <v>4695</v>
      </c>
      <c r="K5" s="419">
        <v>4238</v>
      </c>
      <c r="L5" s="420">
        <f>SUM(H5:K5)</f>
        <v>17545</v>
      </c>
      <c r="M5" s="419">
        <v>4079</v>
      </c>
      <c r="N5" s="419">
        <v>5368</v>
      </c>
      <c r="O5" s="419">
        <v>5322</v>
      </c>
      <c r="P5" s="419">
        <v>4795</v>
      </c>
      <c r="Q5" s="420">
        <f>SUM(M5:P5)</f>
        <v>19564</v>
      </c>
      <c r="R5" s="419">
        <v>4450</v>
      </c>
      <c r="S5" s="419">
        <v>5649</v>
      </c>
      <c r="T5" s="419">
        <v>5644</v>
      </c>
      <c r="U5" s="419">
        <v>5114</v>
      </c>
      <c r="V5" s="420">
        <f>SUM(R5:U5)</f>
        <v>20857</v>
      </c>
      <c r="W5" s="419">
        <v>5028</v>
      </c>
      <c r="X5" s="419">
        <v>5914</v>
      </c>
      <c r="Y5" s="419">
        <v>5596</v>
      </c>
      <c r="Z5" s="419">
        <v>5204</v>
      </c>
      <c r="AA5" s="420">
        <f>SUM(W5:Z5)</f>
        <v>21742</v>
      </c>
      <c r="AB5" s="419">
        <v>5206</v>
      </c>
      <c r="AC5" s="419">
        <v>6310</v>
      </c>
      <c r="AD5" s="419">
        <v>6037</v>
      </c>
      <c r="AE5" s="419">
        <v>5551</v>
      </c>
      <c r="AF5" s="420">
        <f>SUM(AB5:AE5)</f>
        <v>23104</v>
      </c>
      <c r="AG5" s="419">
        <v>5226</v>
      </c>
      <c r="AH5" s="419">
        <v>6476</v>
      </c>
      <c r="AI5" s="419">
        <v>6454</v>
      </c>
      <c r="AJ5" s="419">
        <v>5932</v>
      </c>
      <c r="AK5" s="420">
        <f>SUM(AG5:AJ5)</f>
        <v>24088</v>
      </c>
      <c r="AL5" s="419">
        <v>6103</v>
      </c>
      <c r="AM5" s="419">
        <v>7733</v>
      </c>
      <c r="AN5" s="419">
        <v>7690</v>
      </c>
      <c r="AO5" s="419">
        <v>7331</v>
      </c>
      <c r="AP5" s="420">
        <f>SUM(AL5:AO5)</f>
        <v>28857</v>
      </c>
      <c r="AQ5" s="419">
        <v>7379</v>
      </c>
      <c r="AR5" s="419">
        <v>9046</v>
      </c>
      <c r="AS5" s="419">
        <v>8393</v>
      </c>
      <c r="AT5" s="419">
        <v>7126</v>
      </c>
      <c r="AU5" s="420">
        <f>SUM(AQ5:AT5)</f>
        <v>31944</v>
      </c>
      <c r="AV5" s="419">
        <v>7169</v>
      </c>
      <c r="AW5" s="419">
        <v>8267</v>
      </c>
      <c r="AX5" s="419">
        <v>8044</v>
      </c>
      <c r="AY5" s="419">
        <v>7510</v>
      </c>
      <c r="AZ5" s="420">
        <f>SUM(AV5:AY5)</f>
        <v>30990</v>
      </c>
      <c r="BA5" s="419">
        <f>Segments!AA7</f>
        <v>7525</v>
      </c>
      <c r="BB5" s="419">
        <f>Segments!AB7</f>
        <v>8674</v>
      </c>
      <c r="BC5" s="419">
        <f>Segments!AC7</f>
        <v>8426</v>
      </c>
      <c r="BD5" s="421">
        <v>10498</v>
      </c>
      <c r="BE5" s="420">
        <f>SUM(BA5:BD5)</f>
        <v>35123</v>
      </c>
      <c r="BF5" s="421">
        <v>10545</v>
      </c>
      <c r="BG5" s="421">
        <v>12729</v>
      </c>
      <c r="BH5" s="419">
        <v>12243</v>
      </c>
      <c r="BI5" s="421">
        <v>11037</v>
      </c>
      <c r="BJ5" s="420">
        <f>SUM(BF5:BI5)</f>
        <v>46554</v>
      </c>
      <c r="BK5" s="421">
        <v>11139</v>
      </c>
      <c r="BL5" s="419">
        <v>13084</v>
      </c>
      <c r="BM5" s="421">
        <v>12344</v>
      </c>
      <c r="BN5" s="421">
        <v>11465</v>
      </c>
      <c r="BO5" s="420">
        <f>SUM(BK5:BN5)</f>
        <v>48032</v>
      </c>
      <c r="BP5" s="421">
        <v>11039</v>
      </c>
      <c r="BQ5" s="421">
        <v>12748</v>
      </c>
      <c r="BR5" s="421">
        <v>12115</v>
      </c>
      <c r="BS5" s="421">
        <v>11033</v>
      </c>
      <c r="BT5" s="420">
        <f>SUM(BP5:BS5)</f>
        <v>46935</v>
      </c>
      <c r="BU5" s="421">
        <v>10584</v>
      </c>
      <c r="BV5" s="421">
        <v>12546</v>
      </c>
      <c r="BW5" s="421">
        <v>11981</v>
      </c>
      <c r="BX5" s="536">
        <v>10901</v>
      </c>
      <c r="BY5" s="420">
        <f>SUM(BU5:BX5)</f>
        <v>46012</v>
      </c>
      <c r="BZ5" s="421">
        <v>10703</v>
      </c>
      <c r="CA5" s="421">
        <v>12149</v>
      </c>
      <c r="CB5" s="421">
        <v>11400</v>
      </c>
      <c r="CC5" s="421">
        <v>10005</v>
      </c>
      <c r="CD5" s="420">
        <f>SUM(BZ5:CC5)</f>
        <v>44257</v>
      </c>
      <c r="CE5" s="421">
        <v>10329</v>
      </c>
      <c r="CF5" s="421">
        <v>11524</v>
      </c>
      <c r="CG5" s="421">
        <v>10626</v>
      </c>
      <c r="CH5" s="421">
        <v>9375</v>
      </c>
      <c r="CI5" s="420">
        <f>SUM(CE5:CH5)</f>
        <v>41854</v>
      </c>
      <c r="CJ5" s="421">
        <f>Segments!BJ7</f>
        <v>9118</v>
      </c>
      <c r="CK5" s="421">
        <f>Segments!BK7</f>
        <v>9702</v>
      </c>
      <c r="CL5" s="421">
        <f>Segments!BL7</f>
        <v>9078</v>
      </c>
      <c r="CM5" s="421">
        <f>Segments!BM7</f>
        <v>7470</v>
      </c>
      <c r="CN5" s="420">
        <f>SUM(CJ5:CM5)</f>
        <v>35368</v>
      </c>
      <c r="CO5" s="421">
        <f>Segments!BO7</f>
        <v>7624</v>
      </c>
      <c r="CP5" s="421">
        <f>Segments!BP7</f>
        <v>8736.0677604688244</v>
      </c>
      <c r="CQ5" s="421">
        <f>Segments!BQ7</f>
        <v>8299.2925823292371</v>
      </c>
      <c r="CR5" s="421">
        <f>Segments!BR7</f>
        <v>7324.0425354453109</v>
      </c>
      <c r="CS5" s="420">
        <f>SUM(CO5:CR5)</f>
        <v>31983.402878243374</v>
      </c>
      <c r="CT5" s="421">
        <f>Segments!BT7</f>
        <v>7906.2860106610542</v>
      </c>
      <c r="CU5" s="421">
        <f>Segments!BU7</f>
        <v>9088.9783339981459</v>
      </c>
      <c r="CV5" s="421">
        <f>Segments!BV7</f>
        <v>8643.0785899048624</v>
      </c>
      <c r="CW5" s="421">
        <f>Segments!BW7</f>
        <v>7643.3323936744855</v>
      </c>
      <c r="CX5" s="420">
        <f>SUM(CT5:CW5)</f>
        <v>33281.675328238547</v>
      </c>
      <c r="CY5" s="421">
        <f>Segments!BY7</f>
        <v>8226.8513279775125</v>
      </c>
      <c r="CZ5" s="421">
        <f>Segments!BZ7</f>
        <v>9454.1997610688886</v>
      </c>
      <c r="DA5" s="421">
        <f>Segments!CA7</f>
        <v>8998.9225445112315</v>
      </c>
      <c r="DB5" s="421">
        <f>Segments!CB7</f>
        <v>7973.8937797534645</v>
      </c>
      <c r="DC5" s="420">
        <f>SUM(CY5:DB5)</f>
        <v>34653.867413311098</v>
      </c>
      <c r="DD5" s="421">
        <f>Segments!CD7</f>
        <v>8521.4839566162809</v>
      </c>
      <c r="DE5" s="421">
        <f>Segments!CE7</f>
        <v>9792.0420220745909</v>
      </c>
      <c r="DF5" s="421">
        <f>Segments!CF7</f>
        <v>9330.2797901327249</v>
      </c>
      <c r="DG5" s="421">
        <f>Segments!CG7</f>
        <v>8285.1978167364978</v>
      </c>
      <c r="DH5" s="420">
        <f>SUM(DD5:DG5)</f>
        <v>35929.003585560095</v>
      </c>
      <c r="DI5" s="421">
        <f>Segments!CI7</f>
        <v>8811.3654414223383</v>
      </c>
      <c r="DJ5" s="421">
        <f>Segments!CJ7</f>
        <v>10125.666090637345</v>
      </c>
      <c r="DK5" s="421">
        <f>Segments!CK7</f>
        <v>9656.3331576435685</v>
      </c>
      <c r="DL5" s="421">
        <f>Segments!CL7</f>
        <v>8588.9952041021334</v>
      </c>
      <c r="DM5" s="420">
        <f>SUM(DI5:DL5)</f>
        <v>37182.359893805384</v>
      </c>
      <c r="DN5" s="278"/>
    </row>
    <row r="6" spans="1:118" ht="16.5" customHeight="1" x14ac:dyDescent="0.2">
      <c r="A6" s="422"/>
      <c r="B6" s="422" t="s">
        <v>20</v>
      </c>
      <c r="C6" s="423"/>
      <c r="D6" s="423"/>
      <c r="E6" s="423"/>
      <c r="F6" s="423"/>
      <c r="G6" s="424"/>
      <c r="H6" s="423"/>
      <c r="I6" s="423"/>
      <c r="J6" s="423"/>
      <c r="K6" s="423"/>
      <c r="L6" s="424">
        <f>L5/G5-1</f>
        <v>-0.11785409020061344</v>
      </c>
      <c r="M6" s="423">
        <f t="shared" ref="M6:Z6" si="0">M5/H5-1</f>
        <v>3.031068451629193E-2</v>
      </c>
      <c r="N6" s="423">
        <f t="shared" si="0"/>
        <v>0.15366430260047292</v>
      </c>
      <c r="O6" s="423">
        <f t="shared" si="0"/>
        <v>0.13354632587859427</v>
      </c>
      <c r="P6" s="423">
        <f t="shared" si="0"/>
        <v>0.13142991977347807</v>
      </c>
      <c r="Q6" s="424">
        <f t="shared" si="0"/>
        <v>0.11507552009119415</v>
      </c>
      <c r="R6" s="423">
        <f t="shared" si="0"/>
        <v>9.0953665113998605E-2</v>
      </c>
      <c r="S6" s="423">
        <f t="shared" si="0"/>
        <v>5.2347242921013448E-2</v>
      </c>
      <c r="T6" s="423">
        <f t="shared" si="0"/>
        <v>6.0503570086433589E-2</v>
      </c>
      <c r="U6" s="423">
        <f t="shared" si="0"/>
        <v>6.6527632950990512E-2</v>
      </c>
      <c r="V6" s="424">
        <f t="shared" si="0"/>
        <v>6.6090778981803266E-2</v>
      </c>
      <c r="W6" s="423">
        <f t="shared" si="0"/>
        <v>0.12988764044943824</v>
      </c>
      <c r="X6" s="423">
        <f t="shared" si="0"/>
        <v>4.6910957691626898E-2</v>
      </c>
      <c r="Y6" s="423">
        <f t="shared" si="0"/>
        <v>-8.5046066619418603E-3</v>
      </c>
      <c r="Z6" s="423">
        <f t="shared" si="0"/>
        <v>1.759874853343768E-2</v>
      </c>
      <c r="AA6" s="424">
        <f t="shared" ref="AA6:AQ6" si="1">AA5/V5-1</f>
        <v>4.2431797478065025E-2</v>
      </c>
      <c r="AB6" s="423">
        <f t="shared" si="1"/>
        <v>3.5401750198886139E-2</v>
      </c>
      <c r="AC6" s="423">
        <f t="shared" si="1"/>
        <v>6.6959756509976431E-2</v>
      </c>
      <c r="AD6" s="423">
        <f t="shared" si="1"/>
        <v>7.8806290207291019E-2</v>
      </c>
      <c r="AE6" s="423">
        <f t="shared" si="1"/>
        <v>6.6679477325134462E-2</v>
      </c>
      <c r="AF6" s="424">
        <f t="shared" si="1"/>
        <v>6.2643731027504312E-2</v>
      </c>
      <c r="AG6" s="423">
        <f t="shared" si="1"/>
        <v>3.8417210910488553E-3</v>
      </c>
      <c r="AH6" s="423">
        <f t="shared" si="1"/>
        <v>2.6307448494453212E-2</v>
      </c>
      <c r="AI6" s="423">
        <f t="shared" si="1"/>
        <v>6.9074043399039331E-2</v>
      </c>
      <c r="AJ6" s="423">
        <f t="shared" si="1"/>
        <v>6.8636281751035755E-2</v>
      </c>
      <c r="AK6" s="424">
        <f t="shared" si="1"/>
        <v>4.259002770083109E-2</v>
      </c>
      <c r="AL6" s="423">
        <f t="shared" si="1"/>
        <v>0.16781477229238417</v>
      </c>
      <c r="AM6" s="423">
        <f t="shared" si="1"/>
        <v>0.19410129709697355</v>
      </c>
      <c r="AN6" s="423">
        <f t="shared" si="1"/>
        <v>0.19150914161760157</v>
      </c>
      <c r="AO6" s="423">
        <f t="shared" si="1"/>
        <v>0.23583951449763996</v>
      </c>
      <c r="AP6" s="424">
        <f t="shared" si="1"/>
        <v>0.19798239787446037</v>
      </c>
      <c r="AQ6" s="423">
        <f t="shared" si="1"/>
        <v>0.20907750286744231</v>
      </c>
      <c r="AR6" s="423">
        <f t="shared" ref="AR6:AZ6" si="2">AR5/AM5-1</f>
        <v>0.16979180137074867</v>
      </c>
      <c r="AS6" s="423">
        <f t="shared" si="2"/>
        <v>9.141742522756835E-2</v>
      </c>
      <c r="AT6" s="423">
        <f t="shared" si="2"/>
        <v>-2.7963442913654379E-2</v>
      </c>
      <c r="AU6" s="424">
        <f t="shared" si="2"/>
        <v>0.10697577710780748</v>
      </c>
      <c r="AV6" s="423">
        <f t="shared" si="2"/>
        <v>-2.8459140804987126E-2</v>
      </c>
      <c r="AW6" s="423">
        <f t="shared" si="2"/>
        <v>-8.6115410126022529E-2</v>
      </c>
      <c r="AX6" s="423">
        <f t="shared" si="2"/>
        <v>-4.1582270940069055E-2</v>
      </c>
      <c r="AY6" s="423">
        <f t="shared" si="2"/>
        <v>5.3887173730002846E-2</v>
      </c>
      <c r="AZ6" s="424">
        <f t="shared" si="2"/>
        <v>-2.9864763335837763E-2</v>
      </c>
      <c r="BA6" s="423">
        <f t="shared" ref="BA6:CF6" si="3">BA5/AV5-1</f>
        <v>4.965825080206443E-2</v>
      </c>
      <c r="BB6" s="423">
        <f t="shared" si="3"/>
        <v>4.9231885811056086E-2</v>
      </c>
      <c r="BC6" s="423">
        <f t="shared" si="3"/>
        <v>4.7488811536549047E-2</v>
      </c>
      <c r="BD6" s="423">
        <f t="shared" si="3"/>
        <v>0.39786950732356852</v>
      </c>
      <c r="BE6" s="424">
        <f t="shared" si="3"/>
        <v>0.13336560180703461</v>
      </c>
      <c r="BF6" s="423">
        <f t="shared" si="3"/>
        <v>0.40132890365448515</v>
      </c>
      <c r="BG6" s="423">
        <f t="shared" si="3"/>
        <v>0.46748904772884492</v>
      </c>
      <c r="BH6" s="423">
        <f t="shared" si="3"/>
        <v>0.45300261096605743</v>
      </c>
      <c r="BI6" s="423">
        <f t="shared" si="3"/>
        <v>5.1343112973899707E-2</v>
      </c>
      <c r="BJ6" s="424">
        <f t="shared" si="3"/>
        <v>0.32545625373686748</v>
      </c>
      <c r="BK6" s="423">
        <f t="shared" si="3"/>
        <v>5.6330014224751146E-2</v>
      </c>
      <c r="BL6" s="423">
        <f t="shared" si="3"/>
        <v>2.78890721973446E-2</v>
      </c>
      <c r="BM6" s="423">
        <f t="shared" si="3"/>
        <v>8.2496120231969616E-3</v>
      </c>
      <c r="BN6" s="423">
        <f t="shared" si="3"/>
        <v>3.8778653619643055E-2</v>
      </c>
      <c r="BO6" s="424">
        <f t="shared" si="3"/>
        <v>3.1748077501396299E-2</v>
      </c>
      <c r="BP6" s="423">
        <f t="shared" si="3"/>
        <v>-8.9774665589370528E-3</v>
      </c>
      <c r="BQ6" s="423">
        <f t="shared" si="3"/>
        <v>-2.5680220116172436E-2</v>
      </c>
      <c r="BR6" s="423">
        <f t="shared" si="3"/>
        <v>-1.8551523007128923E-2</v>
      </c>
      <c r="BS6" s="423">
        <f t="shared" si="3"/>
        <v>-3.7679895333624036E-2</v>
      </c>
      <c r="BT6" s="424">
        <f t="shared" si="3"/>
        <v>-2.2838940706195854E-2</v>
      </c>
      <c r="BU6" s="423">
        <f t="shared" ref="BU6:CD6" si="4">BU5/BP5-1</f>
        <v>-4.1217501585288474E-2</v>
      </c>
      <c r="BV6" s="423">
        <f t="shared" si="4"/>
        <v>-1.584562284279889E-2</v>
      </c>
      <c r="BW6" s="423">
        <f t="shared" si="4"/>
        <v>-1.1060668592653755E-2</v>
      </c>
      <c r="BX6" s="423">
        <f t="shared" si="4"/>
        <v>-1.1964107676969093E-2</v>
      </c>
      <c r="BY6" s="424">
        <f t="shared" si="3"/>
        <v>-1.9665494833280062E-2</v>
      </c>
      <c r="BZ6" s="423">
        <f t="shared" si="4"/>
        <v>1.1243386243386277E-2</v>
      </c>
      <c r="CA6" s="423">
        <f t="shared" si="4"/>
        <v>-3.1643551729634956E-2</v>
      </c>
      <c r="CB6" s="423">
        <f t="shared" si="4"/>
        <v>-4.8493447959268798E-2</v>
      </c>
      <c r="CC6" s="423">
        <f t="shared" si="4"/>
        <v>-8.219429410145862E-2</v>
      </c>
      <c r="CD6" s="424">
        <f t="shared" si="4"/>
        <v>-3.8142223767712813E-2</v>
      </c>
      <c r="CE6" s="423">
        <f t="shared" si="3"/>
        <v>-3.4943473792394708E-2</v>
      </c>
      <c r="CF6" s="423">
        <f t="shared" si="3"/>
        <v>-5.1444563338546412E-2</v>
      </c>
      <c r="CG6" s="423">
        <f t="shared" ref="CG6:DC6" si="5">CG5/CB5-1</f>
        <v>-6.789473684210523E-2</v>
      </c>
      <c r="CH6" s="423">
        <f t="shared" si="5"/>
        <v>-6.2968515742128917E-2</v>
      </c>
      <c r="CI6" s="424">
        <f t="shared" si="5"/>
        <v>-5.4296495469643213E-2</v>
      </c>
      <c r="CJ6" s="423">
        <f t="shared" si="5"/>
        <v>-0.11724271468680414</v>
      </c>
      <c r="CK6" s="423">
        <f t="shared" si="5"/>
        <v>-0.15810482471364107</v>
      </c>
      <c r="CL6" s="423">
        <f t="shared" si="5"/>
        <v>-0.14568040654997172</v>
      </c>
      <c r="CM6" s="423">
        <f t="shared" si="5"/>
        <v>-0.20320000000000005</v>
      </c>
      <c r="CN6" s="424">
        <f t="shared" si="5"/>
        <v>-0.15496726716681797</v>
      </c>
      <c r="CO6" s="423">
        <f t="shared" si="5"/>
        <v>-0.1638517218688309</v>
      </c>
      <c r="CP6" s="423">
        <f t="shared" si="5"/>
        <v>-9.9560115391792992E-2</v>
      </c>
      <c r="CQ6" s="423">
        <f t="shared" si="5"/>
        <v>-8.5779623008455874E-2</v>
      </c>
      <c r="CR6" s="423">
        <f t="shared" si="5"/>
        <v>-1.9539151881484473E-2</v>
      </c>
      <c r="CS6" s="424">
        <f t="shared" si="5"/>
        <v>-9.5696593580542499E-2</v>
      </c>
      <c r="CT6" s="423">
        <f t="shared" si="5"/>
        <v>3.7025972017451947E-2</v>
      </c>
      <c r="CU6" s="423">
        <f t="shared" si="5"/>
        <v>4.0396959273399924E-2</v>
      </c>
      <c r="CV6" s="423">
        <f t="shared" si="5"/>
        <v>4.1423531483588238E-2</v>
      </c>
      <c r="CW6" s="423">
        <f t="shared" si="5"/>
        <v>4.359475749682562E-2</v>
      </c>
      <c r="CX6" s="424">
        <f t="shared" si="5"/>
        <v>4.0592067546330934E-2</v>
      </c>
      <c r="CY6" s="423">
        <f t="shared" si="5"/>
        <v>4.0545626212383334E-2</v>
      </c>
      <c r="CZ6" s="423">
        <f t="shared" si="5"/>
        <v>4.0182891151208766E-2</v>
      </c>
      <c r="DA6" s="423">
        <f t="shared" si="5"/>
        <v>4.1170972924160942E-2</v>
      </c>
      <c r="DB6" s="423">
        <f t="shared" si="5"/>
        <v>4.3248333194634725E-2</v>
      </c>
      <c r="DC6" s="424">
        <f t="shared" si="5"/>
        <v>4.1229657808370179E-2</v>
      </c>
      <c r="DD6" s="423">
        <f t="shared" ref="DD6:DM6" si="6">DD5/CY5-1</f>
        <v>3.5813535080766012E-2</v>
      </c>
      <c r="DE6" s="423">
        <f t="shared" si="6"/>
        <v>3.57346226591162E-2</v>
      </c>
      <c r="DF6" s="423">
        <f t="shared" si="6"/>
        <v>3.6821879950905911E-2</v>
      </c>
      <c r="DG6" s="423">
        <f t="shared" si="6"/>
        <v>3.9040404297015607E-2</v>
      </c>
      <c r="DH6" s="424">
        <f t="shared" si="6"/>
        <v>3.679635975519413E-2</v>
      </c>
      <c r="DI6" s="423">
        <f>DI5/DD5-1</f>
        <v>3.4017723471859274E-2</v>
      </c>
      <c r="DJ6" s="423">
        <f>DJ5/DE5-1</f>
        <v>3.4070939218873164E-2</v>
      </c>
      <c r="DK6" s="423">
        <f>DK5/DF5-1</f>
        <v>3.4945722405416157E-2</v>
      </c>
      <c r="DL6" s="423">
        <f>DL5/DG5-1</f>
        <v>3.666748749824067E-2</v>
      </c>
      <c r="DM6" s="424">
        <f t="shared" si="6"/>
        <v>3.4884249023510838E-2</v>
      </c>
      <c r="DN6" s="279"/>
    </row>
    <row r="7" spans="1:118" ht="16.5" customHeight="1" x14ac:dyDescent="0.2">
      <c r="A7" s="422"/>
      <c r="B7" s="422" t="s">
        <v>248</v>
      </c>
      <c r="C7" s="423" t="s">
        <v>169</v>
      </c>
      <c r="D7" s="423" t="s">
        <v>169</v>
      </c>
      <c r="E7" s="423" t="s">
        <v>169</v>
      </c>
      <c r="F7" s="423" t="s">
        <v>169</v>
      </c>
      <c r="G7" s="424" t="s">
        <v>169</v>
      </c>
      <c r="H7" s="423" t="s">
        <v>169</v>
      </c>
      <c r="I7" s="423" t="s">
        <v>169</v>
      </c>
      <c r="J7" s="423" t="s">
        <v>169</v>
      </c>
      <c r="K7" s="423" t="s">
        <v>169</v>
      </c>
      <c r="L7" s="424" t="s">
        <v>169</v>
      </c>
      <c r="M7" s="423" t="s">
        <v>169</v>
      </c>
      <c r="N7" s="423" t="s">
        <v>169</v>
      </c>
      <c r="O7" s="423" t="s">
        <v>169</v>
      </c>
      <c r="P7" s="423" t="s">
        <v>169</v>
      </c>
      <c r="Q7" s="424" t="s">
        <v>169</v>
      </c>
      <c r="R7" s="423" t="s">
        <v>169</v>
      </c>
      <c r="S7" s="423" t="s">
        <v>169</v>
      </c>
      <c r="T7" s="423" t="s">
        <v>169</v>
      </c>
      <c r="U7" s="423" t="s">
        <v>169</v>
      </c>
      <c r="V7" s="424" t="s">
        <v>169</v>
      </c>
      <c r="W7" s="423" t="s">
        <v>169</v>
      </c>
      <c r="X7" s="423" t="s">
        <v>169</v>
      </c>
      <c r="Y7" s="423" t="s">
        <v>169</v>
      </c>
      <c r="Z7" s="423" t="s">
        <v>169</v>
      </c>
      <c r="AA7" s="424" t="s">
        <v>169</v>
      </c>
      <c r="AB7" s="423">
        <f>Segments!B15</f>
        <v>3.0000000000000002E-2</v>
      </c>
      <c r="AC7" s="423">
        <f>Segments!C15</f>
        <v>6.7000000000000004E-2</v>
      </c>
      <c r="AD7" s="423">
        <f>Segments!D15</f>
        <v>5.9000000000000004E-2</v>
      </c>
      <c r="AE7" s="423">
        <f>Segments!E15</f>
        <v>7.0000000000000007E-2</v>
      </c>
      <c r="AF7" s="424">
        <f>Segments!F15</f>
        <v>0.05</v>
      </c>
      <c r="AG7" s="423">
        <f>Segments!G15</f>
        <v>6.0000000000000005E-2</v>
      </c>
      <c r="AH7" s="423">
        <f>Segments!H15</f>
        <v>0.04</v>
      </c>
      <c r="AI7" s="423">
        <f>Segments!I15</f>
        <v>0.09</v>
      </c>
      <c r="AJ7" s="423">
        <f>Segments!J15</f>
        <v>7.0000000000000007E-2</v>
      </c>
      <c r="AK7" s="424">
        <f>Segments!K15</f>
        <v>0.06</v>
      </c>
      <c r="AL7" s="423">
        <f>Segments!L15</f>
        <v>0.08</v>
      </c>
      <c r="AM7" s="423">
        <f>Segments!M15</f>
        <v>8.0000000000000016E-2</v>
      </c>
      <c r="AN7" s="423">
        <f>Segments!N15</f>
        <v>5.9999999999999991E-2</v>
      </c>
      <c r="AO7" s="423">
        <f>Segments!O15</f>
        <v>7.0000000000000007E-2</v>
      </c>
      <c r="AP7" s="424">
        <f>Segments!P15</f>
        <v>7.0000000000000007E-2</v>
      </c>
      <c r="AQ7" s="423">
        <f>Segments!Q15</f>
        <v>0.05</v>
      </c>
      <c r="AR7" s="423">
        <f>Segments!R15</f>
        <v>4.9999999999999996E-2</v>
      </c>
      <c r="AS7" s="423">
        <f>Segments!S15</f>
        <v>0.02</v>
      </c>
      <c r="AT7" s="423">
        <f>Segments!T15</f>
        <v>7.0000000000000007E-2</v>
      </c>
      <c r="AU7" s="424">
        <f>Segments!U15</f>
        <v>0.05</v>
      </c>
      <c r="AV7" s="423">
        <f>Segments!V15</f>
        <v>8.0000000000000016E-2</v>
      </c>
      <c r="AW7" s="423">
        <f>Segments!W15</f>
        <v>9.9999999999999967E-3</v>
      </c>
      <c r="AX7" s="423">
        <f>Segments!X15</f>
        <v>0.03</v>
      </c>
      <c r="AY7" s="423">
        <f>Segments!Y15</f>
        <v>-0.01</v>
      </c>
      <c r="AZ7" s="424">
        <f>Segments!Z15</f>
        <v>1.9999999999999997E-2</v>
      </c>
      <c r="BA7" s="423">
        <f>Segments!AA15</f>
        <v>9.9999999999999985E-3</v>
      </c>
      <c r="BB7" s="423">
        <f>Segments!AB15</f>
        <v>0.05</v>
      </c>
      <c r="BC7" s="423">
        <f>Segments!AC15</f>
        <v>0.08</v>
      </c>
      <c r="BD7" s="423">
        <f>Segments!AD15</f>
        <v>0.08</v>
      </c>
      <c r="BE7" s="424">
        <f>Segments!AE15</f>
        <v>0.06</v>
      </c>
      <c r="BF7" s="423">
        <f>Segments!AF15</f>
        <v>5.5E-2</v>
      </c>
      <c r="BG7" s="423">
        <f>Segments!AG15</f>
        <v>0.08</v>
      </c>
      <c r="BH7" s="423">
        <f>Segments!AH15</f>
        <v>7.0000000000000007E-2</v>
      </c>
      <c r="BI7" s="423">
        <f>Segments!AI15</f>
        <v>6.0000000000000005E-2</v>
      </c>
      <c r="BJ7" s="424">
        <f>Segments!AJ15</f>
        <v>6.5000000000000002E-2</v>
      </c>
      <c r="BK7" s="423">
        <f>Segments!AK15</f>
        <v>0.06</v>
      </c>
      <c r="BL7" s="423">
        <f>Segments!AL15</f>
        <v>0.06</v>
      </c>
      <c r="BM7" s="423">
        <f>Segments!AM15</f>
        <v>0.05</v>
      </c>
      <c r="BN7" s="423">
        <f>Segments!AN15</f>
        <v>0.04</v>
      </c>
      <c r="BO7" s="424">
        <f>Segments!AO15</f>
        <v>5.2629013207344574E-2</v>
      </c>
      <c r="BP7" s="423">
        <f>Segments!AP15</f>
        <v>0.02</v>
      </c>
      <c r="BQ7" s="423">
        <f>Segments!AQ15</f>
        <v>0.01</v>
      </c>
      <c r="BR7" s="423">
        <f>Segments!AR15</f>
        <v>0.03</v>
      </c>
      <c r="BS7" s="423">
        <f>Segments!AS15</f>
        <v>0.03</v>
      </c>
      <c r="BT7" s="424">
        <f>Segments!AT15</f>
        <v>2.2231361932528119E-2</v>
      </c>
      <c r="BU7" s="423">
        <f>Segments!AU15</f>
        <v>1.35E-2</v>
      </c>
      <c r="BV7" s="423">
        <f>Segments!AV15</f>
        <v>3.7999999999999999E-2</v>
      </c>
      <c r="BW7" s="423">
        <f>Segments!AW15</f>
        <v>0.02</v>
      </c>
      <c r="BX7" s="423">
        <f>Segments!AX15</f>
        <v>0.04</v>
      </c>
      <c r="BY7" s="424">
        <f ca="1">Segments!AY15</f>
        <v>2.8079448926452387E-2</v>
      </c>
      <c r="BZ7" s="423">
        <f>Segments!AZ15</f>
        <v>0.08</v>
      </c>
      <c r="CA7" s="423">
        <f>Segments!BA15</f>
        <v>0.04</v>
      </c>
      <c r="CB7" s="423">
        <f>Segments!BB15</f>
        <v>0.03</v>
      </c>
      <c r="CC7" s="423">
        <f>Segments!BC15</f>
        <v>-9.9999999999999985E-3</v>
      </c>
      <c r="CD7" s="424">
        <f>Segments!BD15</f>
        <v>3.4775425018479064E-2</v>
      </c>
      <c r="CE7" s="423">
        <f>Segments!BE15</f>
        <v>0.02</v>
      </c>
      <c r="CF7" s="423">
        <f>Segments!BF15</f>
        <v>0.03</v>
      </c>
      <c r="CG7" s="423">
        <f>Segments!BG15</f>
        <v>0.02</v>
      </c>
      <c r="CH7" s="423">
        <f>Segments!BH15</f>
        <v>0.06</v>
      </c>
      <c r="CI7" s="424">
        <f>Segments!BI15</f>
        <v>3.1774958233620809E-2</v>
      </c>
      <c r="CJ7" s="423">
        <f>Segments!BJ15</f>
        <v>0</v>
      </c>
      <c r="CK7" s="423">
        <f>Segments!BK15</f>
        <v>0.03</v>
      </c>
      <c r="CL7" s="837">
        <f>Segments!BL15</f>
        <v>0.04</v>
      </c>
      <c r="CM7" s="837">
        <f>Segments!BM15</f>
        <v>0.06</v>
      </c>
      <c r="CN7" s="424">
        <f>Segments!BN15</f>
        <v>3.1855019830840541E-2</v>
      </c>
      <c r="CO7" s="423">
        <f>Segments!BO15</f>
        <v>0.05</v>
      </c>
      <c r="CP7" s="423">
        <f>Segments!BP15</f>
        <v>3.4597711811997528E-2</v>
      </c>
      <c r="CQ7" s="423">
        <f>Segments!BQ15</f>
        <v>3.2623705662040092E-2</v>
      </c>
      <c r="CR7" s="423">
        <f>Segments!BR15</f>
        <v>4.1944654758375575E-2</v>
      </c>
      <c r="CS7" s="424">
        <f>Segments!BS15</f>
        <v>3.9613536842486585E-2</v>
      </c>
      <c r="CT7" s="423">
        <f>Segments!BT15</f>
        <v>4.0727964323189925E-2</v>
      </c>
      <c r="CU7" s="423">
        <f>Segments!BU15</f>
        <v>4.0126528678677539E-2</v>
      </c>
      <c r="CV7" s="423">
        <f>Segments!BV15</f>
        <v>4.1119891146173863E-2</v>
      </c>
      <c r="CW7" s="423">
        <f>Segments!BW15</f>
        <v>4.3480066737462381E-2</v>
      </c>
      <c r="CX7" s="424">
        <f>Segments!BX15</f>
        <v>4.1295603984420844E-2</v>
      </c>
      <c r="CY7" s="423">
        <f>Segments!BY15</f>
        <v>4.0426101065085762E-2</v>
      </c>
      <c r="CZ7" s="423">
        <f>Segments!BZ15</f>
        <v>3.9909964436143475E-2</v>
      </c>
      <c r="DA7" s="423">
        <f>Segments!CA15</f>
        <v>4.0864832007764564E-2</v>
      </c>
      <c r="DB7" s="423">
        <f>Segments!CB15</f>
        <v>4.3132938500989093E-2</v>
      </c>
      <c r="DC7" s="424">
        <f>Segments!CC15</f>
        <v>4.1020725267221891E-2</v>
      </c>
      <c r="DD7" s="423">
        <f>Segments!CD15</f>
        <v>3.5692923930710774E-2</v>
      </c>
      <c r="DE7" s="423">
        <f>Segments!CE15</f>
        <v>3.5459120097733089E-2</v>
      </c>
      <c r="DF7" s="423">
        <f>Segments!CF15</f>
        <v>3.6513142989757608E-2</v>
      </c>
      <c r="DG7" s="423">
        <f>Segments!CG15</f>
        <v>3.8924262795061934E-2</v>
      </c>
      <c r="DH7" s="424">
        <f>Segments!CH15</f>
        <v>3.6585667362252314E-2</v>
      </c>
      <c r="DI7" s="423">
        <f>Segments!CI15</f>
        <v>3.3895460435831276E-2</v>
      </c>
      <c r="DJ7" s="423">
        <f>Segments!CJ15</f>
        <v>3.3791642106347067E-2</v>
      </c>
      <c r="DK7" s="423">
        <f>Segments!CK15</f>
        <v>3.463306136355928E-2</v>
      </c>
      <c r="DL7" s="423">
        <f>Segments!CL15</f>
        <v>3.6550120958356969E-2</v>
      </c>
      <c r="DM7" s="424">
        <f>Segments!CM15</f>
        <v>3.4670873455100094E-2</v>
      </c>
      <c r="DN7" s="279"/>
    </row>
    <row r="8" spans="1:118" ht="16.5" customHeight="1" x14ac:dyDescent="0.25">
      <c r="A8" s="422"/>
      <c r="B8" s="422"/>
      <c r="C8" s="423"/>
      <c r="D8" s="423"/>
      <c r="E8" s="423"/>
      <c r="F8" s="423"/>
      <c r="G8" s="424"/>
      <c r="H8" s="423"/>
      <c r="I8" s="423"/>
      <c r="J8" s="423"/>
      <c r="K8" s="423"/>
      <c r="L8" s="424"/>
      <c r="M8" s="423"/>
      <c r="N8" s="423"/>
      <c r="O8" s="423"/>
      <c r="P8" s="423"/>
      <c r="Q8" s="424"/>
      <c r="R8" s="423"/>
      <c r="S8" s="423"/>
      <c r="T8" s="423"/>
      <c r="U8" s="423"/>
      <c r="V8" s="424"/>
      <c r="W8" s="423"/>
      <c r="X8" s="423"/>
      <c r="Y8" s="423"/>
      <c r="Z8" s="423"/>
      <c r="AA8" s="424"/>
      <c r="AB8" s="423"/>
      <c r="AC8" s="423"/>
      <c r="AD8" s="423"/>
      <c r="AE8" s="423"/>
      <c r="AF8" s="424"/>
      <c r="AG8" s="423"/>
      <c r="AH8" s="423"/>
      <c r="AI8" s="423"/>
      <c r="AJ8" s="423"/>
      <c r="AK8" s="424"/>
      <c r="AL8" s="423"/>
      <c r="AM8" s="423"/>
      <c r="AN8" s="423"/>
      <c r="AO8" s="423"/>
      <c r="AP8" s="424"/>
      <c r="AQ8" s="423"/>
      <c r="AR8" s="423"/>
      <c r="AS8" s="423"/>
      <c r="AT8" s="423"/>
      <c r="AU8" s="424"/>
      <c r="AV8" s="423"/>
      <c r="AW8" s="423"/>
      <c r="AX8" s="423"/>
      <c r="AY8" s="423"/>
      <c r="AZ8" s="424"/>
      <c r="BA8" s="423"/>
      <c r="BB8" s="423"/>
      <c r="BC8" s="423"/>
      <c r="BD8" s="425"/>
      <c r="BE8" s="424"/>
      <c r="BF8" s="426"/>
      <c r="BG8" s="426"/>
      <c r="BH8" s="426"/>
      <c r="BI8" s="426"/>
      <c r="BJ8" s="427"/>
      <c r="BK8" s="426"/>
      <c r="BL8" s="426"/>
      <c r="BM8" s="426"/>
      <c r="BN8" s="426"/>
      <c r="BO8" s="428"/>
      <c r="BP8" s="418"/>
      <c r="BQ8" s="418"/>
      <c r="BR8" s="418"/>
      <c r="BS8" s="418"/>
      <c r="BT8" s="427"/>
      <c r="BU8" s="423"/>
      <c r="BV8" s="423"/>
      <c r="BW8" s="423"/>
      <c r="BX8" s="423"/>
      <c r="BY8" s="424"/>
      <c r="BZ8" s="423"/>
      <c r="CA8" s="423"/>
      <c r="CB8" s="423"/>
      <c r="CC8" s="423"/>
      <c r="CD8" s="424"/>
      <c r="CE8" s="423"/>
      <c r="CF8" s="702"/>
      <c r="CG8" s="702"/>
      <c r="CH8" s="702"/>
      <c r="CI8" s="703"/>
      <c r="CJ8" s="665"/>
      <c r="CK8" s="665"/>
      <c r="CL8" s="665"/>
      <c r="CM8" s="665"/>
      <c r="CN8" s="666"/>
      <c r="CO8" s="665"/>
      <c r="CP8" s="665"/>
      <c r="CQ8" s="665"/>
      <c r="CR8" s="665"/>
      <c r="CS8" s="666"/>
      <c r="CT8" s="665"/>
      <c r="CU8" s="665"/>
      <c r="CV8" s="665"/>
      <c r="CW8" s="665"/>
      <c r="CX8" s="666"/>
      <c r="CY8" s="665"/>
      <c r="CZ8" s="665"/>
      <c r="DA8" s="665"/>
      <c r="DB8" s="665"/>
      <c r="DC8" s="666"/>
      <c r="DD8" s="665"/>
      <c r="DE8" s="665"/>
      <c r="DF8" s="665"/>
      <c r="DG8" s="665"/>
      <c r="DH8" s="666"/>
      <c r="DI8" s="665"/>
      <c r="DJ8" s="665"/>
      <c r="DK8" s="665"/>
      <c r="DL8" s="665"/>
      <c r="DM8" s="666"/>
      <c r="DN8" s="279"/>
    </row>
    <row r="9" spans="1:118" ht="16.5" customHeight="1" x14ac:dyDescent="0.2">
      <c r="A9" s="418" t="s">
        <v>5</v>
      </c>
      <c r="B9" s="418"/>
      <c r="C9" s="429">
        <v>-1398</v>
      </c>
      <c r="D9" s="429">
        <v>-1677</v>
      </c>
      <c r="E9" s="429">
        <v>-1736</v>
      </c>
      <c r="F9" s="429">
        <v>-1393</v>
      </c>
      <c r="G9" s="430">
        <f>SUM(C9:F9)</f>
        <v>-6204</v>
      </c>
      <c r="H9" s="429">
        <v>-1345</v>
      </c>
      <c r="I9" s="429">
        <v>-1579</v>
      </c>
      <c r="J9" s="429">
        <v>-1692</v>
      </c>
      <c r="K9" s="429">
        <v>-1428</v>
      </c>
      <c r="L9" s="430">
        <f>SUM(H9:K9)</f>
        <v>-6044</v>
      </c>
      <c r="M9" s="429">
        <v>-1394</v>
      </c>
      <c r="N9" s="429">
        <v>-1927</v>
      </c>
      <c r="O9" s="429">
        <v>-2083</v>
      </c>
      <c r="P9" s="429">
        <v>-1701</v>
      </c>
      <c r="Q9" s="430">
        <f>SUM(M9:P9)</f>
        <v>-7105</v>
      </c>
      <c r="R9" s="429">
        <v>-1669</v>
      </c>
      <c r="S9" s="429">
        <v>-2127</v>
      </c>
      <c r="T9" s="429">
        <v>-2168</v>
      </c>
      <c r="U9" s="429">
        <v>-1850</v>
      </c>
      <c r="V9" s="430">
        <f>SUM(R9:U9)</f>
        <v>-7814</v>
      </c>
      <c r="W9" s="429">
        <v>-1753</v>
      </c>
      <c r="X9" s="429">
        <v>-2039</v>
      </c>
      <c r="Y9" s="429">
        <v>-2052</v>
      </c>
      <c r="Z9" s="429">
        <v>-1813</v>
      </c>
      <c r="AA9" s="430">
        <f>SUM(W9:Z9)</f>
        <v>-7657</v>
      </c>
      <c r="AB9" s="429">
        <v>-1818</v>
      </c>
      <c r="AC9" s="429">
        <v>-2188</v>
      </c>
      <c r="AD9" s="429">
        <v>-2235</v>
      </c>
      <c r="AE9" s="429">
        <v>-2001</v>
      </c>
      <c r="AF9" s="430">
        <f>SUM(AB9:AE9)</f>
        <v>-8242</v>
      </c>
      <c r="AG9" s="429">
        <v>-1726</v>
      </c>
      <c r="AH9" s="429">
        <v>-2110</v>
      </c>
      <c r="AI9" s="429">
        <v>-2265</v>
      </c>
      <c r="AJ9" s="429">
        <v>-2059</v>
      </c>
      <c r="AK9" s="430">
        <f>SUM(AG9:AJ9)</f>
        <v>-8160</v>
      </c>
      <c r="AL9" s="429">
        <v>-2141</v>
      </c>
      <c r="AM9" s="429">
        <v>-2730</v>
      </c>
      <c r="AN9" s="429">
        <v>-2881</v>
      </c>
      <c r="AO9" s="429">
        <v>-2641</v>
      </c>
      <c r="AP9" s="430">
        <f>SUM(AL9:AO9)</f>
        <v>-10393</v>
      </c>
      <c r="AQ9" s="429">
        <v>-2624</v>
      </c>
      <c r="AR9" s="429">
        <v>-3162</v>
      </c>
      <c r="AS9" s="429">
        <v>-3020</v>
      </c>
      <c r="AT9" s="429">
        <v>-2568</v>
      </c>
      <c r="AU9" s="430">
        <f>SUM(AQ9:AT9)</f>
        <v>-11374</v>
      </c>
      <c r="AV9" s="429">
        <v>-2590</v>
      </c>
      <c r="AW9" s="429">
        <v>-2913</v>
      </c>
      <c r="AX9" s="429">
        <v>-2934</v>
      </c>
      <c r="AY9" s="429">
        <v>-2651</v>
      </c>
      <c r="AZ9" s="430">
        <f>SUM(AV9:AY9)</f>
        <v>-11088</v>
      </c>
      <c r="BA9" s="429">
        <v>-2541</v>
      </c>
      <c r="BB9" s="429">
        <v>-2955</v>
      </c>
      <c r="BC9" s="429">
        <v>-2918</v>
      </c>
      <c r="BD9" s="431">
        <v>-4046</v>
      </c>
      <c r="BE9" s="432">
        <f>SUM(BA9:BD9)</f>
        <v>-12460</v>
      </c>
      <c r="BF9" s="431">
        <v>-3956</v>
      </c>
      <c r="BG9" s="431">
        <v>-4968</v>
      </c>
      <c r="BH9" s="433">
        <v>-4778</v>
      </c>
      <c r="BI9" s="431">
        <v>-4385</v>
      </c>
      <c r="BJ9" s="432">
        <f>SUM(BF9:BI9)</f>
        <v>-18087</v>
      </c>
      <c r="BK9" s="434">
        <v>-4378</v>
      </c>
      <c r="BL9" s="429">
        <v>-5192</v>
      </c>
      <c r="BM9" s="434">
        <v>-4905</v>
      </c>
      <c r="BN9" s="431">
        <v>-4558</v>
      </c>
      <c r="BO9" s="432">
        <f>SUM(BK9:BN9)</f>
        <v>-19033</v>
      </c>
      <c r="BP9" s="434">
        <v>-4249</v>
      </c>
      <c r="BQ9" s="434">
        <v>-4951</v>
      </c>
      <c r="BR9" s="434">
        <v>-4843</v>
      </c>
      <c r="BS9" s="431">
        <v>-4328</v>
      </c>
      <c r="BT9" s="432">
        <f>SUM(BP9:BS9)</f>
        <v>-18371</v>
      </c>
      <c r="BU9" s="431">
        <v>-4139</v>
      </c>
      <c r="BV9" s="431">
        <v>-4832</v>
      </c>
      <c r="BW9" s="431">
        <v>-4649</v>
      </c>
      <c r="BX9" s="431">
        <v>-4282</v>
      </c>
      <c r="BY9" s="432">
        <f>SUM(BU9:BX9)</f>
        <v>-17902</v>
      </c>
      <c r="BZ9" s="431">
        <v>-4106</v>
      </c>
      <c r="CA9" s="431">
        <v>-4772</v>
      </c>
      <c r="CB9" s="431">
        <v>-4484</v>
      </c>
      <c r="CC9" s="431">
        <v>-4054</v>
      </c>
      <c r="CD9" s="432">
        <f>SUM(BZ9:CC9)</f>
        <v>-17416</v>
      </c>
      <c r="CE9" s="431">
        <v>-4117</v>
      </c>
      <c r="CF9" s="431">
        <v>-4553</v>
      </c>
      <c r="CG9" s="431">
        <v>-4133</v>
      </c>
      <c r="CH9" s="431">
        <v>-3810</v>
      </c>
      <c r="CI9" s="432">
        <f>SUM(CE9:CH9)</f>
        <v>-16613</v>
      </c>
      <c r="CJ9" s="431">
        <v>-3531</v>
      </c>
      <c r="CK9" s="431">
        <v>-3631</v>
      </c>
      <c r="CL9" s="838">
        <v>-3373</v>
      </c>
      <c r="CM9" s="838">
        <v>-2690</v>
      </c>
      <c r="CN9" s="432">
        <f>SUM(CJ9:CM9)</f>
        <v>-13225</v>
      </c>
      <c r="CO9" s="838">
        <v>-2747</v>
      </c>
      <c r="CP9" s="434">
        <f>CP5*-CP10</f>
        <v>-2963.7348493959908</v>
      </c>
      <c r="CQ9" s="434">
        <f>CQ5*-CQ10</f>
        <v>-2768.2922134639675</v>
      </c>
      <c r="CR9" s="431">
        <f>CS9-SUM(CO9:CQ9)</f>
        <v>-2424.9331920553377</v>
      </c>
      <c r="CS9" s="432">
        <f>-CS10*CS5</f>
        <v>-10903.960254915295</v>
      </c>
      <c r="CT9" s="434">
        <f>CT5*-CT10</f>
        <v>-2809.1789150786353</v>
      </c>
      <c r="CU9" s="434">
        <f>CU5*-CU10</f>
        <v>-3038.0158337342059</v>
      </c>
      <c r="CV9" s="434">
        <f>CV5*-CV10</f>
        <v>-2839.7492601746399</v>
      </c>
      <c r="CW9" s="431">
        <f>CX9-SUM(CT9:CV9)</f>
        <v>-2493.2221604766528</v>
      </c>
      <c r="CX9" s="432">
        <f>-CX10*CX5</f>
        <v>-11180.166169464133</v>
      </c>
      <c r="CY9" s="434">
        <f>CY5*-CY10</f>
        <v>-2894.2848536852007</v>
      </c>
      <c r="CZ9" s="434">
        <f>CZ5*-CZ10</f>
        <v>-3127.0023941330555</v>
      </c>
      <c r="DA9" s="434">
        <f>DA5*-DA10</f>
        <v>-2925.1682711709068</v>
      </c>
      <c r="DB9" s="431">
        <f>DC9-SUM(CY9:DA9)</f>
        <v>-2573.3765399361037</v>
      </c>
      <c r="DC9" s="432">
        <f>-DC10*DC5</f>
        <v>-11519.832058925267</v>
      </c>
      <c r="DD9" s="434">
        <f>DD5*-DD10</f>
        <v>-2976.6357159348445</v>
      </c>
      <c r="DE9" s="434">
        <f>DE5*-DE10</f>
        <v>-3214.2645396863663</v>
      </c>
      <c r="DF9" s="434">
        <f>DF5*-DF10</f>
        <v>-3009.5527666128291</v>
      </c>
      <c r="DG9" s="431">
        <f>DH9-SUM(DD9:DF9)</f>
        <v>-2653.4444124869606</v>
      </c>
      <c r="DH9" s="432">
        <f>-DH10*DH5</f>
        <v>-11853.897434721001</v>
      </c>
      <c r="DI9" s="434">
        <f>DI5*-DI10</f>
        <v>-3060.271355713131</v>
      </c>
      <c r="DJ9" s="434">
        <f>DJ5*-DJ10</f>
        <v>-3303.5262192701248</v>
      </c>
      <c r="DK9" s="434">
        <f>DK5*-DK10</f>
        <v>-3095.4110958440465</v>
      </c>
      <c r="DL9" s="431">
        <f>DM9-SUM(DI9:DK9)</f>
        <v>-2733.8383541180501</v>
      </c>
      <c r="DM9" s="432">
        <f>-DM10*DM5</f>
        <v>-12193.047024945352</v>
      </c>
      <c r="DN9" s="278"/>
    </row>
    <row r="10" spans="1:118" ht="16.5" customHeight="1" x14ac:dyDescent="0.2">
      <c r="A10" s="418"/>
      <c r="B10" s="435" t="s">
        <v>27</v>
      </c>
      <c r="C10" s="423">
        <f t="shared" ref="C10:AH10" si="7">-C9/C5</f>
        <v>0.32847744360902253</v>
      </c>
      <c r="D10" s="423">
        <f t="shared" si="7"/>
        <v>0.30563149261891742</v>
      </c>
      <c r="E10" s="423">
        <f t="shared" si="7"/>
        <v>0.32065016623568526</v>
      </c>
      <c r="F10" s="423">
        <f t="shared" si="7"/>
        <v>0.29437869822485208</v>
      </c>
      <c r="G10" s="424">
        <f t="shared" si="7"/>
        <v>0.31193121826135051</v>
      </c>
      <c r="H10" s="423">
        <f t="shared" si="7"/>
        <v>0.33973225562010606</v>
      </c>
      <c r="I10" s="423">
        <f t="shared" si="7"/>
        <v>0.33935095637223295</v>
      </c>
      <c r="J10" s="423">
        <f t="shared" si="7"/>
        <v>0.36038338658146962</v>
      </c>
      <c r="K10" s="423">
        <f t="shared" si="7"/>
        <v>0.33695139216611608</v>
      </c>
      <c r="L10" s="424">
        <f t="shared" si="7"/>
        <v>0.34448560843545167</v>
      </c>
      <c r="M10" s="423">
        <f t="shared" si="7"/>
        <v>0.34175042902672226</v>
      </c>
      <c r="N10" s="423">
        <f t="shared" si="7"/>
        <v>0.35897913561847988</v>
      </c>
      <c r="O10" s="423">
        <f t="shared" si="7"/>
        <v>0.39139421270199171</v>
      </c>
      <c r="P10" s="423">
        <f t="shared" si="7"/>
        <v>0.35474452554744523</v>
      </c>
      <c r="Q10" s="424">
        <f t="shared" si="7"/>
        <v>0.36316704150480472</v>
      </c>
      <c r="R10" s="423">
        <f t="shared" si="7"/>
        <v>0.37505617977528088</v>
      </c>
      <c r="S10" s="423">
        <f t="shared" si="7"/>
        <v>0.37652681890600104</v>
      </c>
      <c r="T10" s="423">
        <f t="shared" si="7"/>
        <v>0.38412473423104182</v>
      </c>
      <c r="U10" s="423">
        <f t="shared" si="7"/>
        <v>0.36175205318732889</v>
      </c>
      <c r="V10" s="424">
        <f t="shared" si="7"/>
        <v>0.37464640168768282</v>
      </c>
      <c r="W10" s="423">
        <f t="shared" si="7"/>
        <v>0.34864757358790771</v>
      </c>
      <c r="X10" s="423">
        <f t="shared" si="7"/>
        <v>0.34477510990869126</v>
      </c>
      <c r="Y10" s="423">
        <f t="shared" si="7"/>
        <v>0.36669049320943531</v>
      </c>
      <c r="Z10" s="423">
        <f t="shared" si="7"/>
        <v>0.34838585703305147</v>
      </c>
      <c r="AA10" s="424">
        <f t="shared" si="7"/>
        <v>0.35217551283230614</v>
      </c>
      <c r="AB10" s="423">
        <f t="shared" si="7"/>
        <v>0.34921244717633498</v>
      </c>
      <c r="AC10" s="423">
        <f t="shared" si="7"/>
        <v>0.3467511885895404</v>
      </c>
      <c r="AD10" s="423">
        <f t="shared" si="7"/>
        <v>0.37021699519628953</v>
      </c>
      <c r="AE10" s="423">
        <f t="shared" si="7"/>
        <v>0.3604755899837867</v>
      </c>
      <c r="AF10" s="424">
        <f t="shared" si="7"/>
        <v>0.35673476454293629</v>
      </c>
      <c r="AG10" s="423">
        <f t="shared" si="7"/>
        <v>0.33027171833141983</v>
      </c>
      <c r="AH10" s="423">
        <f t="shared" si="7"/>
        <v>0.32581840642371834</v>
      </c>
      <c r="AI10" s="423">
        <f t="shared" ref="AI10:BT10" si="8">-AI9/AI5</f>
        <v>0.35094515029439105</v>
      </c>
      <c r="AJ10" s="423">
        <f t="shared" si="8"/>
        <v>0.34710047201618344</v>
      </c>
      <c r="AK10" s="424">
        <f t="shared" si="8"/>
        <v>0.33875788774493526</v>
      </c>
      <c r="AL10" s="423">
        <f t="shared" si="8"/>
        <v>0.35081107651974441</v>
      </c>
      <c r="AM10" s="423">
        <f t="shared" si="8"/>
        <v>0.35303245829561619</v>
      </c>
      <c r="AN10" s="423">
        <f t="shared" si="8"/>
        <v>0.37464239271781535</v>
      </c>
      <c r="AO10" s="423">
        <f t="shared" si="8"/>
        <v>0.36025098895102986</v>
      </c>
      <c r="AP10" s="424">
        <f t="shared" si="8"/>
        <v>0.36015524829330836</v>
      </c>
      <c r="AQ10" s="423">
        <f t="shared" si="8"/>
        <v>0.3556037403442201</v>
      </c>
      <c r="AR10" s="423">
        <f t="shared" si="8"/>
        <v>0.34954676099933674</v>
      </c>
      <c r="AS10" s="423">
        <f t="shared" si="8"/>
        <v>0.35982366257595616</v>
      </c>
      <c r="AT10" s="423">
        <f t="shared" si="8"/>
        <v>0.36037047431939379</v>
      </c>
      <c r="AU10" s="424">
        <f t="shared" si="8"/>
        <v>0.35606060606060608</v>
      </c>
      <c r="AV10" s="423">
        <f t="shared" si="8"/>
        <v>0.36127772353187332</v>
      </c>
      <c r="AW10" s="423">
        <f t="shared" si="8"/>
        <v>0.3523648239990323</v>
      </c>
      <c r="AX10" s="423">
        <f t="shared" si="8"/>
        <v>0.36474390850323224</v>
      </c>
      <c r="AY10" s="423">
        <f t="shared" si="8"/>
        <v>0.35299600532623171</v>
      </c>
      <c r="AZ10" s="424">
        <f t="shared" si="8"/>
        <v>0.35779283639883835</v>
      </c>
      <c r="BA10" s="423">
        <f t="shared" si="8"/>
        <v>0.33767441860465114</v>
      </c>
      <c r="BB10" s="423">
        <f t="shared" si="8"/>
        <v>0.34067327645838136</v>
      </c>
      <c r="BC10" s="423">
        <f t="shared" si="8"/>
        <v>0.34630904343698077</v>
      </c>
      <c r="BD10" s="436">
        <f t="shared" si="8"/>
        <v>0.38540674414174131</v>
      </c>
      <c r="BE10" s="424">
        <f t="shared" si="8"/>
        <v>0.35475329556131308</v>
      </c>
      <c r="BF10" s="436">
        <f t="shared" si="8"/>
        <v>0.37515410146989092</v>
      </c>
      <c r="BG10" s="436">
        <f t="shared" si="8"/>
        <v>0.3902898892293189</v>
      </c>
      <c r="BH10" s="423">
        <f t="shared" si="8"/>
        <v>0.39026382422608835</v>
      </c>
      <c r="BI10" s="436">
        <f>-BI9/BI5</f>
        <v>0.39729999093956692</v>
      </c>
      <c r="BJ10" s="424">
        <f t="shared" si="8"/>
        <v>0.38851656141255314</v>
      </c>
      <c r="BK10" s="436">
        <f t="shared" si="8"/>
        <v>0.39303348595026483</v>
      </c>
      <c r="BL10" s="423">
        <f t="shared" si="8"/>
        <v>0.39682054417609292</v>
      </c>
      <c r="BM10" s="423">
        <f t="shared" si="8"/>
        <v>0.39735904082955281</v>
      </c>
      <c r="BN10" s="423">
        <f t="shared" si="8"/>
        <v>0.39755778456170954</v>
      </c>
      <c r="BO10" s="424">
        <f t="shared" si="8"/>
        <v>0.39625666222518319</v>
      </c>
      <c r="BP10" s="423">
        <f t="shared" si="8"/>
        <v>0.38490805326569438</v>
      </c>
      <c r="BQ10" s="423">
        <f t="shared" si="8"/>
        <v>0.38837464700345153</v>
      </c>
      <c r="BR10" s="423">
        <f t="shared" si="8"/>
        <v>0.39975237309120926</v>
      </c>
      <c r="BS10" s="436">
        <f>-BS9/BS5</f>
        <v>0.39227771231759268</v>
      </c>
      <c r="BT10" s="424">
        <f t="shared" si="8"/>
        <v>0.39141365718546928</v>
      </c>
      <c r="BU10" s="436">
        <f t="shared" ref="BU10:BZ10" si="9">-BU9/BU5</f>
        <v>0.39106198034769463</v>
      </c>
      <c r="BV10" s="436">
        <f t="shared" si="9"/>
        <v>0.38514267495616133</v>
      </c>
      <c r="BW10" s="436">
        <f t="shared" si="9"/>
        <v>0.38803104916117187</v>
      </c>
      <c r="BX10" s="436">
        <f t="shared" si="9"/>
        <v>0.39280799926612237</v>
      </c>
      <c r="BY10" s="424">
        <f t="shared" si="9"/>
        <v>0.38907241589150654</v>
      </c>
      <c r="BZ10" s="436">
        <f t="shared" si="9"/>
        <v>0.38363075773147715</v>
      </c>
      <c r="CA10" s="436">
        <f t="shared" ref="CA10:CF10" si="10">-CA9/CA5</f>
        <v>0.39278953000246936</v>
      </c>
      <c r="CB10" s="436">
        <f t="shared" si="10"/>
        <v>0.39333333333333331</v>
      </c>
      <c r="CC10" s="436">
        <f t="shared" si="10"/>
        <v>0.40519740129935033</v>
      </c>
      <c r="CD10" s="424">
        <f t="shared" si="10"/>
        <v>0.39351966920487153</v>
      </c>
      <c r="CE10" s="436">
        <f t="shared" si="10"/>
        <v>0.39858650401781393</v>
      </c>
      <c r="CF10" s="436">
        <f t="shared" si="10"/>
        <v>0.39508851093370356</v>
      </c>
      <c r="CG10" s="436">
        <f t="shared" ref="CG10:CI10" si="11">-CG9/CG5</f>
        <v>0.38895162808206285</v>
      </c>
      <c r="CH10" s="436">
        <f t="shared" si="11"/>
        <v>0.40639999999999998</v>
      </c>
      <c r="CI10" s="424">
        <f t="shared" si="11"/>
        <v>0.39692741434510442</v>
      </c>
      <c r="CJ10" s="436">
        <f t="shared" ref="CJ10:CK10" si="12">-CJ9/CJ5</f>
        <v>0.38725597718797983</v>
      </c>
      <c r="CK10" s="436">
        <f t="shared" si="12"/>
        <v>0.37425273139558851</v>
      </c>
      <c r="CL10" s="436">
        <f t="shared" ref="CL10" si="13">-CL9/CL5</f>
        <v>0.37155761180876845</v>
      </c>
      <c r="CM10" s="436">
        <f>-CM9/CM5</f>
        <v>0.36010709504685406</v>
      </c>
      <c r="CN10" s="424">
        <f t="shared" ref="CN10:CO10" si="14">-CN9/CN5</f>
        <v>0.37392558244741009</v>
      </c>
      <c r="CO10" s="436">
        <f t="shared" si="14"/>
        <v>0.36030954879328436</v>
      </c>
      <c r="CP10" s="436">
        <f>CK10+CP11/10000</f>
        <v>0.33925273139558854</v>
      </c>
      <c r="CQ10" s="436">
        <f>CL10+CQ11/10000</f>
        <v>0.33355761180876847</v>
      </c>
      <c r="CR10" s="436">
        <f>-CR9/CR5</f>
        <v>0.33109217762180826</v>
      </c>
      <c r="CS10" s="424">
        <f>+CN10+CS11/10000</f>
        <v>0.34092558244741011</v>
      </c>
      <c r="CT10" s="436">
        <f>CO10+CT11/10000</f>
        <v>0.35530954879328436</v>
      </c>
      <c r="CU10" s="436">
        <f>CP10+CU11/10000</f>
        <v>0.33425273139558853</v>
      </c>
      <c r="CV10" s="436">
        <f>CQ10+CV11/10000</f>
        <v>0.32855761180876847</v>
      </c>
      <c r="CW10" s="436">
        <f>-CW9/CW5</f>
        <v>0.32619569999860382</v>
      </c>
      <c r="CX10" s="424">
        <f>+CS10+CX11/10000</f>
        <v>0.33592558244741011</v>
      </c>
      <c r="CY10" s="436">
        <f>CT10+CY11/10000</f>
        <v>0.35180954879328435</v>
      </c>
      <c r="CZ10" s="436">
        <f>CU10+CZ11/10000</f>
        <v>0.33075273139558853</v>
      </c>
      <c r="DA10" s="436">
        <f>CV10+DA11/10000</f>
        <v>0.32505761180876847</v>
      </c>
      <c r="DB10" s="436">
        <f>-DB9/DB5</f>
        <v>0.3227252094165301</v>
      </c>
      <c r="DC10" s="424">
        <f>+CX10+DC11/10000</f>
        <v>0.33242558244741011</v>
      </c>
      <c r="DD10" s="436">
        <f>CY10+DD11/10000</f>
        <v>0.34930954879328435</v>
      </c>
      <c r="DE10" s="436">
        <f>CZ10+DE11/10000</f>
        <v>0.32825273139558853</v>
      </c>
      <c r="DF10" s="436">
        <f>DA10+DF11/10000</f>
        <v>0.32255761180876846</v>
      </c>
      <c r="DG10" s="436">
        <f>-DG9/DG5</f>
        <v>0.32026325395959471</v>
      </c>
      <c r="DH10" s="424">
        <f>+DC10+DH11/10000</f>
        <v>0.3299255824474101</v>
      </c>
      <c r="DI10" s="436">
        <f>DD10+DI11/10000</f>
        <v>0.34730954879328435</v>
      </c>
      <c r="DJ10" s="436">
        <f>DE10+DJ11/10000</f>
        <v>0.32625273139558852</v>
      </c>
      <c r="DK10" s="436">
        <f>DF10+DK11/10000</f>
        <v>0.32055761180876846</v>
      </c>
      <c r="DL10" s="436">
        <f>-DL9/DL5</f>
        <v>0.31829548033888289</v>
      </c>
      <c r="DM10" s="424">
        <f>+DH10+DM11/10000</f>
        <v>0.3279255824474101</v>
      </c>
      <c r="DN10" s="279"/>
    </row>
    <row r="11" spans="1:118" ht="16.5" customHeight="1" x14ac:dyDescent="0.2">
      <c r="A11" s="418"/>
      <c r="B11" s="435" t="s">
        <v>26</v>
      </c>
      <c r="C11" s="437"/>
      <c r="D11" s="437"/>
      <c r="E11" s="437"/>
      <c r="F11" s="437"/>
      <c r="G11" s="438"/>
      <c r="H11" s="437"/>
      <c r="I11" s="437"/>
      <c r="J11" s="437"/>
      <c r="K11" s="437"/>
      <c r="L11" s="438">
        <f>(L10-G10)*10000</f>
        <v>325.54390174101167</v>
      </c>
      <c r="M11" s="437">
        <f>(M10-H10)*10000</f>
        <v>20.181734066161972</v>
      </c>
      <c r="N11" s="437">
        <f>(N10-I10)*10000</f>
        <v>196.28179246246935</v>
      </c>
      <c r="O11" s="437">
        <f>(O10-J10)*10000</f>
        <v>310.10826120522086</v>
      </c>
      <c r="P11" s="437">
        <f>(P10-K10)*10000</f>
        <v>177.9313338132915</v>
      </c>
      <c r="Q11" s="438">
        <f t="shared" ref="Q11:BE11" si="15">(Q10-L10)*10000</f>
        <v>186.81433069353048</v>
      </c>
      <c r="R11" s="437">
        <f t="shared" si="15"/>
        <v>333.05750748558626</v>
      </c>
      <c r="S11" s="437">
        <f t="shared" si="15"/>
        <v>175.47683287521153</v>
      </c>
      <c r="T11" s="437">
        <f t="shared" si="15"/>
        <v>-72.694784709498862</v>
      </c>
      <c r="U11" s="437">
        <f t="shared" si="15"/>
        <v>70.075276398836593</v>
      </c>
      <c r="V11" s="438">
        <f t="shared" si="15"/>
        <v>114.79360182878095</v>
      </c>
      <c r="W11" s="437">
        <f t="shared" si="15"/>
        <v>-264.08606187373175</v>
      </c>
      <c r="X11" s="437">
        <f t="shared" si="15"/>
        <v>-317.51708997309782</v>
      </c>
      <c r="Y11" s="437">
        <f t="shared" si="15"/>
        <v>-174.3424102160651</v>
      </c>
      <c r="Z11" s="437">
        <f t="shared" si="15"/>
        <v>-133.66196154277421</v>
      </c>
      <c r="AA11" s="438">
        <f t="shared" si="15"/>
        <v>-224.7088885537668</v>
      </c>
      <c r="AB11" s="437">
        <f t="shared" si="15"/>
        <v>5.6487358842727264</v>
      </c>
      <c r="AC11" s="437">
        <f t="shared" si="15"/>
        <v>19.760786808491471</v>
      </c>
      <c r="AD11" s="437">
        <f t="shared" si="15"/>
        <v>35.265019868542247</v>
      </c>
      <c r="AE11" s="437">
        <f t="shared" si="15"/>
        <v>120.89732950735232</v>
      </c>
      <c r="AF11" s="438">
        <f t="shared" si="15"/>
        <v>45.592517106301521</v>
      </c>
      <c r="AG11" s="437">
        <f t="shared" si="15"/>
        <v>-189.40728844915157</v>
      </c>
      <c r="AH11" s="437">
        <f t="shared" si="15"/>
        <v>-209.32782165822061</v>
      </c>
      <c r="AI11" s="437">
        <f t="shared" si="15"/>
        <v>-192.71844901898481</v>
      </c>
      <c r="AJ11" s="437">
        <f t="shared" si="15"/>
        <v>-133.75117967603268</v>
      </c>
      <c r="AK11" s="438">
        <f t="shared" si="15"/>
        <v>-179.7687679800103</v>
      </c>
      <c r="AL11" s="437">
        <f t="shared" si="15"/>
        <v>205.39358188324584</v>
      </c>
      <c r="AM11" s="437">
        <f t="shared" si="15"/>
        <v>272.14051871897851</v>
      </c>
      <c r="AN11" s="437">
        <f t="shared" si="15"/>
        <v>236.97242423424302</v>
      </c>
      <c r="AO11" s="437">
        <f t="shared" si="15"/>
        <v>131.50516934846422</v>
      </c>
      <c r="AP11" s="438">
        <f t="shared" si="15"/>
        <v>213.97360548373101</v>
      </c>
      <c r="AQ11" s="437">
        <f t="shared" si="15"/>
        <v>47.926638244756845</v>
      </c>
      <c r="AR11" s="437">
        <f t="shared" si="15"/>
        <v>-34.856972962794551</v>
      </c>
      <c r="AS11" s="437">
        <f t="shared" si="15"/>
        <v>-148.18730141859194</v>
      </c>
      <c r="AT11" s="437">
        <f t="shared" si="15"/>
        <v>1.194853683639252</v>
      </c>
      <c r="AU11" s="438">
        <f t="shared" si="15"/>
        <v>-40.946422327022837</v>
      </c>
      <c r="AV11" s="437">
        <f t="shared" si="15"/>
        <v>56.7398318765322</v>
      </c>
      <c r="AW11" s="437">
        <f t="shared" si="15"/>
        <v>28.180629996955588</v>
      </c>
      <c r="AX11" s="437">
        <f t="shared" si="15"/>
        <v>49.202459272760791</v>
      </c>
      <c r="AY11" s="437">
        <f t="shared" si="15"/>
        <v>-73.744689931620755</v>
      </c>
      <c r="AZ11" s="438">
        <f t="shared" si="15"/>
        <v>17.322303382322769</v>
      </c>
      <c r="BA11" s="437">
        <f t="shared" si="15"/>
        <v>-236.0330492722218</v>
      </c>
      <c r="BB11" s="437">
        <f t="shared" si="15"/>
        <v>-116.91547540650937</v>
      </c>
      <c r="BC11" s="437">
        <f t="shared" si="15"/>
        <v>-184.3486506625147</v>
      </c>
      <c r="BD11" s="439">
        <f>(BD10-AY10)*10000</f>
        <v>324.10738815509598</v>
      </c>
      <c r="BE11" s="438">
        <f t="shared" si="15"/>
        <v>-30.395408375252785</v>
      </c>
      <c r="BF11" s="439">
        <f t="shared" ref="BF11:BT11" si="16">(BF10-BA10)*10000</f>
        <v>374.79682865239783</v>
      </c>
      <c r="BG11" s="439">
        <f t="shared" si="16"/>
        <v>496.16612770937542</v>
      </c>
      <c r="BH11" s="440">
        <f t="shared" si="16"/>
        <v>439.54780789107582</v>
      </c>
      <c r="BI11" s="439">
        <f t="shared" si="16"/>
        <v>118.93246797825607</v>
      </c>
      <c r="BJ11" s="438">
        <f t="shared" si="16"/>
        <v>337.63265851240067</v>
      </c>
      <c r="BK11" s="439">
        <f t="shared" si="16"/>
        <v>178.79384480373906</v>
      </c>
      <c r="BL11" s="440">
        <f t="shared" si="16"/>
        <v>65.306549467740169</v>
      </c>
      <c r="BM11" s="440">
        <f t="shared" si="16"/>
        <v>70.952166034644605</v>
      </c>
      <c r="BN11" s="440">
        <f t="shared" si="16"/>
        <v>2.5779362214262136</v>
      </c>
      <c r="BO11" s="438">
        <f t="shared" si="16"/>
        <v>77.401008126300468</v>
      </c>
      <c r="BP11" s="440">
        <f t="shared" si="16"/>
        <v>-81.254326845704441</v>
      </c>
      <c r="BQ11" s="440">
        <f t="shared" si="16"/>
        <v>-84.458971726413807</v>
      </c>
      <c r="BR11" s="440">
        <f t="shared" si="16"/>
        <v>23.933322616564446</v>
      </c>
      <c r="BS11" s="439">
        <f>(BS10-BN10)*10000</f>
        <v>-52.800722441168624</v>
      </c>
      <c r="BT11" s="438">
        <f t="shared" si="16"/>
        <v>-48.430050397139098</v>
      </c>
      <c r="BU11" s="439">
        <f t="shared" ref="BU11:CD11" si="17">(BU10-BP10)*10000</f>
        <v>61.539270820002436</v>
      </c>
      <c r="BV11" s="439">
        <f t="shared" si="17"/>
        <v>-32.319720472901992</v>
      </c>
      <c r="BW11" s="439">
        <f t="shared" si="17"/>
        <v>-117.21323930037386</v>
      </c>
      <c r="BX11" s="439">
        <f t="shared" si="17"/>
        <v>5.3028694852969016</v>
      </c>
      <c r="BY11" s="438">
        <f t="shared" si="17"/>
        <v>-23.412412939627369</v>
      </c>
      <c r="BZ11" s="439">
        <f t="shared" si="17"/>
        <v>-74.312226162174809</v>
      </c>
      <c r="CA11" s="439">
        <f t="shared" si="17"/>
        <v>76.468550463080206</v>
      </c>
      <c r="CB11" s="439">
        <f t="shared" si="17"/>
        <v>53.022841721614419</v>
      </c>
      <c r="CC11" s="439">
        <f>(CC10-BX10)*10000</f>
        <v>123.89402033227969</v>
      </c>
      <c r="CD11" s="438">
        <f t="shared" si="17"/>
        <v>44.472533133649847</v>
      </c>
      <c r="CE11" s="439">
        <f>(CE10-BZ10)*10000</f>
        <v>149.55746286336779</v>
      </c>
      <c r="CF11" s="439">
        <f>(CF10-CA10)*10000</f>
        <v>22.989809312342068</v>
      </c>
      <c r="CG11" s="439">
        <f>(CG10-CB10)*10000</f>
        <v>-43.81705251270462</v>
      </c>
      <c r="CH11" s="439">
        <f>(CH10-CC10)*10000</f>
        <v>12.025987006496486</v>
      </c>
      <c r="CI11" s="438">
        <f t="shared" ref="CI11" si="18">(CI10-CD10)*10000</f>
        <v>34.077451402328983</v>
      </c>
      <c r="CJ11" s="439">
        <f>(CJ10-CE10)*10000</f>
        <v>-113.30526829834098</v>
      </c>
      <c r="CK11" s="439">
        <f>(CK10-CF10)*10000</f>
        <v>-208.35779538115051</v>
      </c>
      <c r="CL11" s="439">
        <f>(CL10-CG10)*10000</f>
        <v>-173.940162732944</v>
      </c>
      <c r="CM11" s="439">
        <f>(CM10-CH10)*10000</f>
        <v>-462.92904953145921</v>
      </c>
      <c r="CN11" s="438">
        <f t="shared" ref="CN11" si="19">(CN10-CI10)*10000</f>
        <v>-230.01831897694336</v>
      </c>
      <c r="CO11" s="439">
        <f>(CO10-CJ10)*10000</f>
        <v>-269.46428394695465</v>
      </c>
      <c r="CP11" s="441">
        <v>-350</v>
      </c>
      <c r="CQ11" s="441">
        <v>-380</v>
      </c>
      <c r="CR11" s="439">
        <f>(CR10-CM10)*10000</f>
        <v>-290.14917425045803</v>
      </c>
      <c r="CS11" s="442">
        <v>-330</v>
      </c>
      <c r="CT11" s="441">
        <f>CX11</f>
        <v>-50</v>
      </c>
      <c r="CU11" s="441">
        <f>CT11</f>
        <v>-50</v>
      </c>
      <c r="CV11" s="441">
        <f>CU11</f>
        <v>-50</v>
      </c>
      <c r="CW11" s="439">
        <f>(CW10-CR10)*10000</f>
        <v>-48.964776232044429</v>
      </c>
      <c r="CX11" s="442">
        <v>-50</v>
      </c>
      <c r="CY11" s="441">
        <f>DC11</f>
        <v>-35</v>
      </c>
      <c r="CZ11" s="441">
        <f>CY11</f>
        <v>-35</v>
      </c>
      <c r="DA11" s="441">
        <f>CZ11</f>
        <v>-35</v>
      </c>
      <c r="DB11" s="439">
        <f>(DB10-CW10)*10000</f>
        <v>-34.704905820737153</v>
      </c>
      <c r="DC11" s="442">
        <v>-35</v>
      </c>
      <c r="DD11" s="441">
        <f>DH11</f>
        <v>-25</v>
      </c>
      <c r="DE11" s="441">
        <f>DD11</f>
        <v>-25</v>
      </c>
      <c r="DF11" s="441">
        <f>DE11</f>
        <v>-25</v>
      </c>
      <c r="DG11" s="439">
        <f>(DG10-DB10)*10000</f>
        <v>-24.619554569353941</v>
      </c>
      <c r="DH11" s="442">
        <v>-25</v>
      </c>
      <c r="DI11" s="441">
        <f>DM11</f>
        <v>-20</v>
      </c>
      <c r="DJ11" s="441">
        <f>DI11</f>
        <v>-20</v>
      </c>
      <c r="DK11" s="441">
        <f>DJ11</f>
        <v>-20</v>
      </c>
      <c r="DL11" s="439">
        <f>(DL10-DG10)*10000</f>
        <v>-19.677736207118212</v>
      </c>
      <c r="DM11" s="442">
        <v>-20</v>
      </c>
      <c r="DN11" s="279"/>
    </row>
    <row r="12" spans="1:118" ht="16.5" customHeight="1" x14ac:dyDescent="0.25">
      <c r="A12" s="418"/>
      <c r="B12" s="418"/>
      <c r="C12" s="422"/>
      <c r="D12" s="422"/>
      <c r="E12" s="422"/>
      <c r="F12" s="422"/>
      <c r="G12" s="443"/>
      <c r="H12" s="422"/>
      <c r="I12" s="422"/>
      <c r="J12" s="422"/>
      <c r="K12" s="422"/>
      <c r="L12" s="443"/>
      <c r="M12" s="422"/>
      <c r="N12" s="422"/>
      <c r="O12" s="422"/>
      <c r="P12" s="422"/>
      <c r="Q12" s="443"/>
      <c r="R12" s="422"/>
      <c r="S12" s="422"/>
      <c r="T12" s="422"/>
      <c r="U12" s="422"/>
      <c r="V12" s="443"/>
      <c r="W12" s="422"/>
      <c r="X12" s="422"/>
      <c r="Y12" s="422"/>
      <c r="Z12" s="422"/>
      <c r="AA12" s="443"/>
      <c r="AB12" s="422"/>
      <c r="AC12" s="422"/>
      <c r="AD12" s="422"/>
      <c r="AE12" s="422"/>
      <c r="AF12" s="443"/>
      <c r="AG12" s="422"/>
      <c r="AH12" s="422"/>
      <c r="AI12" s="422"/>
      <c r="AJ12" s="422"/>
      <c r="AK12" s="443"/>
      <c r="AL12" s="422"/>
      <c r="AM12" s="422"/>
      <c r="AN12" s="422"/>
      <c r="AO12" s="422"/>
      <c r="AP12" s="443"/>
      <c r="AQ12" s="422"/>
      <c r="AR12" s="422"/>
      <c r="AS12" s="422"/>
      <c r="AT12" s="422"/>
      <c r="AU12" s="443"/>
      <c r="AV12" s="422"/>
      <c r="AW12" s="422"/>
      <c r="AX12" s="422"/>
      <c r="AY12" s="422"/>
      <c r="AZ12" s="443"/>
      <c r="BA12" s="422"/>
      <c r="BB12" s="422"/>
      <c r="BC12" s="444"/>
      <c r="BD12" s="445"/>
      <c r="BE12" s="446"/>
      <c r="BF12" s="447"/>
      <c r="BG12" s="448"/>
      <c r="BH12" s="449"/>
      <c r="BI12" s="449"/>
      <c r="BJ12" s="450"/>
      <c r="BK12" s="451"/>
      <c r="BL12" s="451"/>
      <c r="BM12" s="451"/>
      <c r="BN12" s="451"/>
      <c r="BO12" s="428"/>
      <c r="BP12" s="452"/>
      <c r="BQ12" s="452"/>
      <c r="BR12" s="452"/>
      <c r="BS12" s="418"/>
      <c r="BT12" s="428"/>
      <c r="BU12" s="453"/>
      <c r="BV12" s="453"/>
      <c r="BW12" s="453"/>
      <c r="BX12" s="453"/>
      <c r="BY12" s="443"/>
      <c r="BZ12" s="418"/>
      <c r="CA12" s="418"/>
      <c r="CB12" s="418"/>
      <c r="CC12" s="418"/>
      <c r="CD12" s="443"/>
      <c r="CE12" s="453"/>
      <c r="CF12" s="453"/>
      <c r="CG12" s="453"/>
      <c r="CH12" s="453"/>
      <c r="CI12" s="443"/>
      <c r="CJ12" s="418"/>
      <c r="CK12" s="418"/>
      <c r="CL12" s="418"/>
      <c r="CM12" s="418"/>
      <c r="CN12" s="443"/>
      <c r="CO12" s="418"/>
      <c r="CP12" s="418"/>
      <c r="CQ12" s="418"/>
      <c r="CR12" s="418"/>
      <c r="CS12" s="443"/>
      <c r="CT12" s="418"/>
      <c r="CU12" s="418"/>
      <c r="CV12" s="418"/>
      <c r="CW12" s="418"/>
      <c r="CX12" s="443"/>
      <c r="CY12" s="418"/>
      <c r="CZ12" s="418"/>
      <c r="DA12" s="418"/>
      <c r="DB12" s="418"/>
      <c r="DC12" s="443"/>
      <c r="DD12" s="418"/>
      <c r="DE12" s="418"/>
      <c r="DF12" s="418"/>
      <c r="DG12" s="418"/>
      <c r="DH12" s="443"/>
      <c r="DI12" s="418"/>
      <c r="DJ12" s="418"/>
      <c r="DK12" s="418"/>
      <c r="DL12" s="418"/>
      <c r="DM12" s="443"/>
      <c r="DN12" s="207"/>
    </row>
    <row r="13" spans="1:118" ht="16.5" customHeight="1" x14ac:dyDescent="0.25">
      <c r="A13" s="417" t="s">
        <v>28</v>
      </c>
      <c r="B13" s="418"/>
      <c r="C13" s="419">
        <f t="shared" ref="C13:AH13" si="20">C5+C9</f>
        <v>2858</v>
      </c>
      <c r="D13" s="419">
        <f t="shared" si="20"/>
        <v>3810</v>
      </c>
      <c r="E13" s="419">
        <f t="shared" si="20"/>
        <v>3678</v>
      </c>
      <c r="F13" s="419">
        <f t="shared" si="20"/>
        <v>3339</v>
      </c>
      <c r="G13" s="420">
        <f t="shared" si="20"/>
        <v>13685</v>
      </c>
      <c r="H13" s="419">
        <f t="shared" si="20"/>
        <v>2614</v>
      </c>
      <c r="I13" s="419">
        <f t="shared" si="20"/>
        <v>3074</v>
      </c>
      <c r="J13" s="419">
        <f t="shared" si="20"/>
        <v>3003</v>
      </c>
      <c r="K13" s="419">
        <f t="shared" si="20"/>
        <v>2810</v>
      </c>
      <c r="L13" s="420">
        <f t="shared" si="20"/>
        <v>11501</v>
      </c>
      <c r="M13" s="419">
        <f t="shared" si="20"/>
        <v>2685</v>
      </c>
      <c r="N13" s="419">
        <f t="shared" si="20"/>
        <v>3441</v>
      </c>
      <c r="O13" s="419">
        <f t="shared" si="20"/>
        <v>3239</v>
      </c>
      <c r="P13" s="419">
        <f t="shared" si="20"/>
        <v>3094</v>
      </c>
      <c r="Q13" s="420">
        <f t="shared" si="20"/>
        <v>12459</v>
      </c>
      <c r="R13" s="419">
        <f t="shared" si="20"/>
        <v>2781</v>
      </c>
      <c r="S13" s="419">
        <f t="shared" si="20"/>
        <v>3522</v>
      </c>
      <c r="T13" s="419">
        <f t="shared" si="20"/>
        <v>3476</v>
      </c>
      <c r="U13" s="419">
        <f t="shared" si="20"/>
        <v>3264</v>
      </c>
      <c r="V13" s="420">
        <f t="shared" si="20"/>
        <v>13043</v>
      </c>
      <c r="W13" s="419">
        <f t="shared" si="20"/>
        <v>3275</v>
      </c>
      <c r="X13" s="419">
        <f t="shared" si="20"/>
        <v>3875</v>
      </c>
      <c r="Y13" s="419">
        <f t="shared" si="20"/>
        <v>3544</v>
      </c>
      <c r="Z13" s="419">
        <f t="shared" si="20"/>
        <v>3391</v>
      </c>
      <c r="AA13" s="420">
        <f t="shared" si="20"/>
        <v>14085</v>
      </c>
      <c r="AB13" s="419">
        <f t="shared" si="20"/>
        <v>3388</v>
      </c>
      <c r="AC13" s="419">
        <f t="shared" si="20"/>
        <v>4122</v>
      </c>
      <c r="AD13" s="419">
        <f t="shared" si="20"/>
        <v>3802</v>
      </c>
      <c r="AE13" s="419">
        <f t="shared" si="20"/>
        <v>3550</v>
      </c>
      <c r="AF13" s="420">
        <f t="shared" si="20"/>
        <v>14862</v>
      </c>
      <c r="AG13" s="419">
        <f t="shared" si="20"/>
        <v>3500</v>
      </c>
      <c r="AH13" s="419">
        <f t="shared" si="20"/>
        <v>4366</v>
      </c>
      <c r="AI13" s="419">
        <f t="shared" ref="AI13:BD13" si="21">AI5+AI9</f>
        <v>4189</v>
      </c>
      <c r="AJ13" s="419">
        <f t="shared" si="21"/>
        <v>3873</v>
      </c>
      <c r="AK13" s="420">
        <f t="shared" si="21"/>
        <v>15928</v>
      </c>
      <c r="AL13" s="419">
        <f t="shared" si="21"/>
        <v>3962</v>
      </c>
      <c r="AM13" s="419">
        <f t="shared" si="21"/>
        <v>5003</v>
      </c>
      <c r="AN13" s="419">
        <f t="shared" si="21"/>
        <v>4809</v>
      </c>
      <c r="AO13" s="419">
        <f t="shared" si="21"/>
        <v>4690</v>
      </c>
      <c r="AP13" s="420">
        <f t="shared" si="21"/>
        <v>18464</v>
      </c>
      <c r="AQ13" s="419">
        <f t="shared" si="21"/>
        <v>4755</v>
      </c>
      <c r="AR13" s="419">
        <f t="shared" si="21"/>
        <v>5884</v>
      </c>
      <c r="AS13" s="419">
        <f t="shared" si="21"/>
        <v>5373</v>
      </c>
      <c r="AT13" s="419">
        <f t="shared" si="21"/>
        <v>4558</v>
      </c>
      <c r="AU13" s="420">
        <f t="shared" si="21"/>
        <v>20570</v>
      </c>
      <c r="AV13" s="419">
        <f t="shared" si="21"/>
        <v>4579</v>
      </c>
      <c r="AW13" s="419">
        <f t="shared" si="21"/>
        <v>5354</v>
      </c>
      <c r="AX13" s="419">
        <f t="shared" si="21"/>
        <v>5110</v>
      </c>
      <c r="AY13" s="419">
        <f t="shared" si="21"/>
        <v>4859</v>
      </c>
      <c r="AZ13" s="420">
        <f t="shared" si="21"/>
        <v>19902</v>
      </c>
      <c r="BA13" s="419">
        <f t="shared" si="21"/>
        <v>4984</v>
      </c>
      <c r="BB13" s="419">
        <f t="shared" si="21"/>
        <v>5719</v>
      </c>
      <c r="BC13" s="419">
        <f t="shared" si="21"/>
        <v>5508</v>
      </c>
      <c r="BD13" s="421">
        <f t="shared" si="21"/>
        <v>6452</v>
      </c>
      <c r="BE13" s="420">
        <f>SUM(BA13:BD13)</f>
        <v>22663</v>
      </c>
      <c r="BF13" s="421">
        <f>BF5+BF9</f>
        <v>6589</v>
      </c>
      <c r="BG13" s="421">
        <f>BG5+BG9</f>
        <v>7761</v>
      </c>
      <c r="BH13" s="419">
        <f>BH5+BH9</f>
        <v>7465</v>
      </c>
      <c r="BI13" s="421">
        <f>BI5+BI9</f>
        <v>6652</v>
      </c>
      <c r="BJ13" s="420">
        <f>SUM(BF13:BI13)</f>
        <v>28467</v>
      </c>
      <c r="BK13" s="421">
        <f>BK5+BK9</f>
        <v>6761</v>
      </c>
      <c r="BL13" s="419">
        <f>BL5+BL9</f>
        <v>7892</v>
      </c>
      <c r="BM13" s="421">
        <f>BM5+BM9</f>
        <v>7439</v>
      </c>
      <c r="BN13" s="421">
        <f>BN5+BN9</f>
        <v>6907</v>
      </c>
      <c r="BO13" s="420">
        <f>SUM(BK13:BN13)</f>
        <v>28999</v>
      </c>
      <c r="BP13" s="421">
        <f>BP5+BP9</f>
        <v>6790</v>
      </c>
      <c r="BQ13" s="421">
        <f>BQ5+BQ9</f>
        <v>7797</v>
      </c>
      <c r="BR13" s="421">
        <f>BR5+BR9</f>
        <v>7272</v>
      </c>
      <c r="BS13" s="421">
        <f>BS5+BS9</f>
        <v>6705</v>
      </c>
      <c r="BT13" s="420">
        <f>SUM(BP13:BS13)</f>
        <v>28564</v>
      </c>
      <c r="BU13" s="421">
        <f>BU5+BU9</f>
        <v>6445</v>
      </c>
      <c r="BV13" s="421">
        <f>BV5+BV9</f>
        <v>7714</v>
      </c>
      <c r="BW13" s="421">
        <f>BW5+BW9</f>
        <v>7332</v>
      </c>
      <c r="BX13" s="421">
        <f>BX5+BX9</f>
        <v>6619</v>
      </c>
      <c r="BY13" s="420">
        <f>SUM(BU13:BX13)</f>
        <v>28110</v>
      </c>
      <c r="BZ13" s="421">
        <f>BZ5+BZ9</f>
        <v>6597</v>
      </c>
      <c r="CA13" s="421">
        <f>CA5+CA9</f>
        <v>7377</v>
      </c>
      <c r="CB13" s="421">
        <f>CB5+CB9</f>
        <v>6916</v>
      </c>
      <c r="CC13" s="421">
        <f>CC5+CC9</f>
        <v>5951</v>
      </c>
      <c r="CD13" s="420">
        <f>SUM(BZ13:CC13)</f>
        <v>26841</v>
      </c>
      <c r="CE13" s="421">
        <f>CE5+CE9</f>
        <v>6212</v>
      </c>
      <c r="CF13" s="421">
        <f>CF5+CF9</f>
        <v>6971</v>
      </c>
      <c r="CG13" s="421">
        <f>CG5+CG9</f>
        <v>6493</v>
      </c>
      <c r="CH13" s="421">
        <f>CH5+CH9</f>
        <v>5565</v>
      </c>
      <c r="CI13" s="420">
        <f>SUM(CE13:CH13)</f>
        <v>25241</v>
      </c>
      <c r="CJ13" s="421">
        <f>CJ5+CJ9</f>
        <v>5587</v>
      </c>
      <c r="CK13" s="421">
        <f>CK5+CK9</f>
        <v>6071</v>
      </c>
      <c r="CL13" s="421">
        <f>CL5+CL9</f>
        <v>5705</v>
      </c>
      <c r="CM13" s="421">
        <f>CM5+CM9</f>
        <v>4780</v>
      </c>
      <c r="CN13" s="420">
        <f>SUM(CJ13:CM13)</f>
        <v>22143</v>
      </c>
      <c r="CO13" s="421">
        <f>CO5+CO9</f>
        <v>4877</v>
      </c>
      <c r="CP13" s="421">
        <f>CP5+CP9</f>
        <v>5772.3329110728337</v>
      </c>
      <c r="CQ13" s="421">
        <f>CQ5+CQ9</f>
        <v>5531.0003688652696</v>
      </c>
      <c r="CR13" s="421">
        <f>CR5+CR9</f>
        <v>4899.1093433899732</v>
      </c>
      <c r="CS13" s="420">
        <f>SUM(CO13:CR13)</f>
        <v>21079.442623328076</v>
      </c>
      <c r="CT13" s="421">
        <f>CT5+CT9</f>
        <v>5097.1070955824189</v>
      </c>
      <c r="CU13" s="421">
        <f>CU5+CU9</f>
        <v>6050.9625002639405</v>
      </c>
      <c r="CV13" s="421">
        <f>CV5+CV9</f>
        <v>5803.3293297302225</v>
      </c>
      <c r="CW13" s="421">
        <f>CW5+CW9</f>
        <v>5150.1102331978327</v>
      </c>
      <c r="CX13" s="420">
        <f>SUM(CT13:CW13)</f>
        <v>22101.509158774414</v>
      </c>
      <c r="CY13" s="421">
        <f>CY5+CY9</f>
        <v>5332.5664742923118</v>
      </c>
      <c r="CZ13" s="421">
        <f>CZ5+CZ9</f>
        <v>6327.1973669358331</v>
      </c>
      <c r="DA13" s="421">
        <f>DA5+DA9</f>
        <v>6073.7542733403243</v>
      </c>
      <c r="DB13" s="421">
        <f>DB5+DB9</f>
        <v>5400.5172398173609</v>
      </c>
      <c r="DC13" s="420">
        <f>SUM(CY13:DB13)</f>
        <v>23134.035354385829</v>
      </c>
      <c r="DD13" s="421">
        <f>DD5+DD9</f>
        <v>5544.8482406814364</v>
      </c>
      <c r="DE13" s="421">
        <f>DE5+DE9</f>
        <v>6577.7774823882246</v>
      </c>
      <c r="DF13" s="421">
        <f>DF5+DF9</f>
        <v>6320.7270235198957</v>
      </c>
      <c r="DG13" s="421">
        <f>DG5+DG9</f>
        <v>5631.7534042495372</v>
      </c>
      <c r="DH13" s="420">
        <f>SUM(DD13:DG13)</f>
        <v>24075.106150839092</v>
      </c>
      <c r="DI13" s="421">
        <f>DI5+DI9</f>
        <v>5751.0940857092073</v>
      </c>
      <c r="DJ13" s="421">
        <f>DJ5+DJ9</f>
        <v>6822.1398713672206</v>
      </c>
      <c r="DK13" s="421">
        <f>DK5+DK9</f>
        <v>6560.9220617995215</v>
      </c>
      <c r="DL13" s="421">
        <f>DL5+DL9</f>
        <v>5855.1568499840832</v>
      </c>
      <c r="DM13" s="420">
        <f>SUM(DI13:DL13)</f>
        <v>24989.31286886003</v>
      </c>
      <c r="DN13" s="278"/>
    </row>
    <row r="14" spans="1:118" ht="16.5" customHeight="1" x14ac:dyDescent="0.2">
      <c r="A14" s="418"/>
      <c r="B14" s="454" t="s">
        <v>29</v>
      </c>
      <c r="C14" s="423">
        <f t="shared" ref="C14:AH14" si="22">C13/C5</f>
        <v>0.67152255639097747</v>
      </c>
      <c r="D14" s="423">
        <f t="shared" si="22"/>
        <v>0.69436850738108258</v>
      </c>
      <c r="E14" s="423">
        <f t="shared" si="22"/>
        <v>0.67934983376431479</v>
      </c>
      <c r="F14" s="423">
        <f t="shared" si="22"/>
        <v>0.70562130177514792</v>
      </c>
      <c r="G14" s="424">
        <f t="shared" si="22"/>
        <v>0.68806878173864949</v>
      </c>
      <c r="H14" s="423">
        <f t="shared" si="22"/>
        <v>0.66026774437989388</v>
      </c>
      <c r="I14" s="423">
        <f t="shared" si="22"/>
        <v>0.660649043627767</v>
      </c>
      <c r="J14" s="423">
        <f t="shared" si="22"/>
        <v>0.63961661341853038</v>
      </c>
      <c r="K14" s="423">
        <f t="shared" si="22"/>
        <v>0.66304860783388386</v>
      </c>
      <c r="L14" s="424">
        <f t="shared" si="22"/>
        <v>0.65551439156454827</v>
      </c>
      <c r="M14" s="423">
        <f t="shared" si="22"/>
        <v>0.65824957097327774</v>
      </c>
      <c r="N14" s="423">
        <f t="shared" si="22"/>
        <v>0.64102086438152017</v>
      </c>
      <c r="O14" s="423">
        <f t="shared" si="22"/>
        <v>0.60860578729800829</v>
      </c>
      <c r="P14" s="423">
        <f t="shared" si="22"/>
        <v>0.64525547445255471</v>
      </c>
      <c r="Q14" s="424">
        <f t="shared" si="22"/>
        <v>0.63683295849519528</v>
      </c>
      <c r="R14" s="423">
        <f t="shared" si="22"/>
        <v>0.62494382022471906</v>
      </c>
      <c r="S14" s="423">
        <f t="shared" si="22"/>
        <v>0.62347318109399896</v>
      </c>
      <c r="T14" s="423">
        <f t="shared" si="22"/>
        <v>0.61587526576895824</v>
      </c>
      <c r="U14" s="423">
        <f t="shared" si="22"/>
        <v>0.63824794681267105</v>
      </c>
      <c r="V14" s="424">
        <f t="shared" si="22"/>
        <v>0.62535359831231718</v>
      </c>
      <c r="W14" s="423">
        <f t="shared" si="22"/>
        <v>0.65135242641209223</v>
      </c>
      <c r="X14" s="423">
        <f t="shared" si="22"/>
        <v>0.6552248900913088</v>
      </c>
      <c r="Y14" s="423">
        <f t="shared" si="22"/>
        <v>0.63330950679056464</v>
      </c>
      <c r="Z14" s="423">
        <f t="shared" si="22"/>
        <v>0.65161414296694853</v>
      </c>
      <c r="AA14" s="424">
        <f t="shared" si="22"/>
        <v>0.64782448716769392</v>
      </c>
      <c r="AB14" s="423">
        <f t="shared" si="22"/>
        <v>0.65078755282366496</v>
      </c>
      <c r="AC14" s="423">
        <f t="shared" si="22"/>
        <v>0.65324881141045954</v>
      </c>
      <c r="AD14" s="423">
        <f t="shared" si="22"/>
        <v>0.62978300480371041</v>
      </c>
      <c r="AE14" s="423">
        <f t="shared" si="22"/>
        <v>0.6395244100162133</v>
      </c>
      <c r="AF14" s="424">
        <f t="shared" si="22"/>
        <v>0.64326523545706371</v>
      </c>
      <c r="AG14" s="423">
        <f t="shared" si="22"/>
        <v>0.66972828166858023</v>
      </c>
      <c r="AH14" s="423">
        <f t="shared" si="22"/>
        <v>0.6741815935762816</v>
      </c>
      <c r="AI14" s="423">
        <f t="shared" ref="AI14:BN14" si="23">AI13/AI5</f>
        <v>0.64905484970560889</v>
      </c>
      <c r="AJ14" s="423">
        <f t="shared" si="23"/>
        <v>0.65289952798381656</v>
      </c>
      <c r="AK14" s="424">
        <f t="shared" si="23"/>
        <v>0.6612421122550648</v>
      </c>
      <c r="AL14" s="423">
        <f t="shared" si="23"/>
        <v>0.64918892348025559</v>
      </c>
      <c r="AM14" s="423">
        <f t="shared" si="23"/>
        <v>0.64696754170438386</v>
      </c>
      <c r="AN14" s="423">
        <f t="shared" si="23"/>
        <v>0.6253576072821847</v>
      </c>
      <c r="AO14" s="423">
        <f t="shared" si="23"/>
        <v>0.63974901104897008</v>
      </c>
      <c r="AP14" s="424">
        <f t="shared" si="23"/>
        <v>0.63984475170669164</v>
      </c>
      <c r="AQ14" s="423">
        <f t="shared" si="23"/>
        <v>0.64439625965577996</v>
      </c>
      <c r="AR14" s="423">
        <f t="shared" si="23"/>
        <v>0.65045323900066332</v>
      </c>
      <c r="AS14" s="423">
        <f t="shared" si="23"/>
        <v>0.6401763374240439</v>
      </c>
      <c r="AT14" s="423">
        <f t="shared" si="23"/>
        <v>0.63962952568060627</v>
      </c>
      <c r="AU14" s="424">
        <f t="shared" si="23"/>
        <v>0.64393939393939392</v>
      </c>
      <c r="AV14" s="423">
        <f t="shared" si="23"/>
        <v>0.63872227646812663</v>
      </c>
      <c r="AW14" s="423">
        <f t="shared" si="23"/>
        <v>0.64763517600096765</v>
      </c>
      <c r="AX14" s="423">
        <f t="shared" si="23"/>
        <v>0.63525609149676776</v>
      </c>
      <c r="AY14" s="423">
        <f t="shared" si="23"/>
        <v>0.64700399467376835</v>
      </c>
      <c r="AZ14" s="424">
        <f t="shared" si="23"/>
        <v>0.6422071636011617</v>
      </c>
      <c r="BA14" s="423">
        <f t="shared" si="23"/>
        <v>0.66232558139534881</v>
      </c>
      <c r="BB14" s="423">
        <f t="shared" si="23"/>
        <v>0.65932672354161859</v>
      </c>
      <c r="BC14" s="423">
        <f t="shared" si="23"/>
        <v>0.65369095656301923</v>
      </c>
      <c r="BD14" s="436">
        <f t="shared" si="23"/>
        <v>0.61459325585825875</v>
      </c>
      <c r="BE14" s="424">
        <f t="shared" si="23"/>
        <v>0.64524670443868692</v>
      </c>
      <c r="BF14" s="436">
        <f t="shared" si="23"/>
        <v>0.62484589853010908</v>
      </c>
      <c r="BG14" s="436">
        <f t="shared" si="23"/>
        <v>0.60971011077068116</v>
      </c>
      <c r="BH14" s="423">
        <f t="shared" si="23"/>
        <v>0.60973617577391159</v>
      </c>
      <c r="BI14" s="436">
        <f t="shared" si="23"/>
        <v>0.60270000906043308</v>
      </c>
      <c r="BJ14" s="424">
        <f t="shared" si="23"/>
        <v>0.6114834385874468</v>
      </c>
      <c r="BK14" s="436">
        <f t="shared" si="23"/>
        <v>0.60696651404973512</v>
      </c>
      <c r="BL14" s="423">
        <f t="shared" si="23"/>
        <v>0.60317945582390708</v>
      </c>
      <c r="BM14" s="436">
        <f t="shared" si="23"/>
        <v>0.60264095917044713</v>
      </c>
      <c r="BN14" s="423">
        <f t="shared" si="23"/>
        <v>0.60244221543829046</v>
      </c>
      <c r="BO14" s="424">
        <f t="shared" ref="BO14:CT14" si="24">BO13/BO5</f>
        <v>0.60374333777481681</v>
      </c>
      <c r="BP14" s="436">
        <f t="shared" si="24"/>
        <v>0.61509194673430567</v>
      </c>
      <c r="BQ14" s="436">
        <f t="shared" si="24"/>
        <v>0.61162535299654852</v>
      </c>
      <c r="BR14" s="436">
        <f t="shared" si="24"/>
        <v>0.60024762690879074</v>
      </c>
      <c r="BS14" s="436">
        <f>BS13/BS5</f>
        <v>0.60772228768240732</v>
      </c>
      <c r="BT14" s="424">
        <f t="shared" si="24"/>
        <v>0.60858634281453072</v>
      </c>
      <c r="BU14" s="436">
        <f>BU13/BU5</f>
        <v>0.60893801965230532</v>
      </c>
      <c r="BV14" s="436">
        <f>BV13/BV5</f>
        <v>0.61485732504383872</v>
      </c>
      <c r="BW14" s="436">
        <f t="shared" si="24"/>
        <v>0.61196895083882819</v>
      </c>
      <c r="BX14" s="436">
        <f t="shared" si="24"/>
        <v>0.60719200073387758</v>
      </c>
      <c r="BY14" s="424">
        <f>BY13/BY5</f>
        <v>0.61092758410849346</v>
      </c>
      <c r="BZ14" s="436">
        <f t="shared" si="24"/>
        <v>0.61636924226852285</v>
      </c>
      <c r="CA14" s="436">
        <f t="shared" si="24"/>
        <v>0.6072104699975307</v>
      </c>
      <c r="CB14" s="436">
        <f t="shared" si="24"/>
        <v>0.60666666666666669</v>
      </c>
      <c r="CC14" s="436">
        <f t="shared" si="24"/>
        <v>0.59480259870064967</v>
      </c>
      <c r="CD14" s="424">
        <f>CD13/CD5</f>
        <v>0.60648033079512842</v>
      </c>
      <c r="CE14" s="436">
        <f>CE13/CE5</f>
        <v>0.60141349598218607</v>
      </c>
      <c r="CF14" s="436">
        <f>CF13/CF5</f>
        <v>0.60491148906629644</v>
      </c>
      <c r="CG14" s="436">
        <f t="shared" si="24"/>
        <v>0.61104837191793715</v>
      </c>
      <c r="CH14" s="436">
        <f t="shared" si="24"/>
        <v>0.59360000000000002</v>
      </c>
      <c r="CI14" s="424">
        <f t="shared" si="24"/>
        <v>0.60307258565489563</v>
      </c>
      <c r="CJ14" s="436">
        <f t="shared" si="24"/>
        <v>0.61274402281202023</v>
      </c>
      <c r="CK14" s="436">
        <f t="shared" si="24"/>
        <v>0.62574726860441143</v>
      </c>
      <c r="CL14" s="436">
        <f t="shared" si="24"/>
        <v>0.62844238819123155</v>
      </c>
      <c r="CM14" s="436">
        <f t="shared" si="24"/>
        <v>0.63989290495314588</v>
      </c>
      <c r="CN14" s="424">
        <f t="shared" si="24"/>
        <v>0.62607441755258986</v>
      </c>
      <c r="CO14" s="436">
        <f t="shared" si="24"/>
        <v>0.63969045120671564</v>
      </c>
      <c r="CP14" s="436">
        <f t="shared" si="24"/>
        <v>0.66074726860441146</v>
      </c>
      <c r="CQ14" s="436">
        <f t="shared" si="24"/>
        <v>0.66644238819123147</v>
      </c>
      <c r="CR14" s="436">
        <f t="shared" si="24"/>
        <v>0.6689078223781918</v>
      </c>
      <c r="CS14" s="424">
        <f t="shared" si="24"/>
        <v>0.65907441755258978</v>
      </c>
      <c r="CT14" s="436">
        <f t="shared" si="24"/>
        <v>0.64469045120671564</v>
      </c>
      <c r="CU14" s="436">
        <f t="shared" ref="CU14:DC14" si="25">CU13/CU5</f>
        <v>0.66574726860441158</v>
      </c>
      <c r="CV14" s="436">
        <f t="shared" si="25"/>
        <v>0.67144238819123148</v>
      </c>
      <c r="CW14" s="436">
        <f t="shared" si="25"/>
        <v>0.67380430000139624</v>
      </c>
      <c r="CX14" s="424">
        <f t="shared" si="25"/>
        <v>0.66407441755258989</v>
      </c>
      <c r="CY14" s="436">
        <f t="shared" si="25"/>
        <v>0.6481904512067157</v>
      </c>
      <c r="CZ14" s="436">
        <f t="shared" si="25"/>
        <v>0.66924726860441142</v>
      </c>
      <c r="DA14" s="436">
        <f t="shared" si="25"/>
        <v>0.67494238819123153</v>
      </c>
      <c r="DB14" s="436">
        <f t="shared" si="25"/>
        <v>0.67727479058346984</v>
      </c>
      <c r="DC14" s="424">
        <f t="shared" si="25"/>
        <v>0.66757441755258984</v>
      </c>
      <c r="DD14" s="436">
        <f t="shared" ref="DD14:DM14" si="26">DD13/DD5</f>
        <v>0.65069045120671565</v>
      </c>
      <c r="DE14" s="436">
        <f t="shared" si="26"/>
        <v>0.67174726860441147</v>
      </c>
      <c r="DF14" s="436">
        <f t="shared" si="26"/>
        <v>0.67744238819123159</v>
      </c>
      <c r="DG14" s="436">
        <f t="shared" si="26"/>
        <v>0.67973674604040535</v>
      </c>
      <c r="DH14" s="424">
        <f t="shared" si="26"/>
        <v>0.67007441755258978</v>
      </c>
      <c r="DI14" s="436">
        <f>DI13/DI5</f>
        <v>0.65269045120671565</v>
      </c>
      <c r="DJ14" s="436">
        <f>DJ13/DJ5</f>
        <v>0.67374726860441148</v>
      </c>
      <c r="DK14" s="436">
        <f>DK13/DK5</f>
        <v>0.67944238819123148</v>
      </c>
      <c r="DL14" s="436">
        <f>DL13/DL5</f>
        <v>0.68170451966111711</v>
      </c>
      <c r="DM14" s="424">
        <f t="shared" si="26"/>
        <v>0.6720744175525899</v>
      </c>
      <c r="DN14" s="279"/>
    </row>
    <row r="15" spans="1:118" ht="16.5" customHeight="1" x14ac:dyDescent="0.2">
      <c r="A15" s="418"/>
      <c r="B15" s="435" t="s">
        <v>30</v>
      </c>
      <c r="C15" s="437"/>
      <c r="D15" s="437"/>
      <c r="E15" s="437"/>
      <c r="F15" s="437"/>
      <c r="G15" s="438"/>
      <c r="H15" s="437"/>
      <c r="I15" s="437"/>
      <c r="J15" s="437"/>
      <c r="K15" s="437"/>
      <c r="L15" s="438">
        <f>(L14-G14)*10000</f>
        <v>-325.54390174101223</v>
      </c>
      <c r="M15" s="437">
        <f>(M14-H14)*10000</f>
        <v>-20.181734066161418</v>
      </c>
      <c r="N15" s="437">
        <f>(N14-I14)*10000</f>
        <v>-196.28179246246825</v>
      </c>
      <c r="O15" s="437">
        <f>(O14-J14)*10000</f>
        <v>-310.10826120522086</v>
      </c>
      <c r="P15" s="437">
        <f t="shared" ref="P15:AZ15" si="27">(P14-K14)*10000</f>
        <v>-177.9313338132915</v>
      </c>
      <c r="Q15" s="438">
        <f t="shared" si="27"/>
        <v>-186.81433069352994</v>
      </c>
      <c r="R15" s="437">
        <f t="shared" si="27"/>
        <v>-333.05750748558683</v>
      </c>
      <c r="S15" s="437">
        <f t="shared" si="27"/>
        <v>-175.4768328752121</v>
      </c>
      <c r="T15" s="437">
        <f t="shared" si="27"/>
        <v>72.694784709499416</v>
      </c>
      <c r="U15" s="437">
        <f t="shared" si="27"/>
        <v>-70.075276398836593</v>
      </c>
      <c r="V15" s="438">
        <f t="shared" si="27"/>
        <v>-114.79360182878095</v>
      </c>
      <c r="W15" s="437">
        <f t="shared" si="27"/>
        <v>264.08606187373175</v>
      </c>
      <c r="X15" s="437">
        <f t="shared" si="27"/>
        <v>317.51708997309834</v>
      </c>
      <c r="Y15" s="437">
        <f t="shared" si="27"/>
        <v>174.342410216064</v>
      </c>
      <c r="Z15" s="437">
        <f t="shared" si="27"/>
        <v>133.66196154277478</v>
      </c>
      <c r="AA15" s="438">
        <f t="shared" si="27"/>
        <v>224.70888855376737</v>
      </c>
      <c r="AB15" s="437">
        <f t="shared" si="27"/>
        <v>-5.6487358842727264</v>
      </c>
      <c r="AC15" s="437">
        <f t="shared" si="27"/>
        <v>-19.760786808492583</v>
      </c>
      <c r="AD15" s="437">
        <f t="shared" si="27"/>
        <v>-35.265019868542247</v>
      </c>
      <c r="AE15" s="437">
        <f t="shared" si="27"/>
        <v>-120.89732950735232</v>
      </c>
      <c r="AF15" s="438">
        <f t="shared" si="27"/>
        <v>-45.592517106302076</v>
      </c>
      <c r="AG15" s="437">
        <f t="shared" si="27"/>
        <v>189.40728844915267</v>
      </c>
      <c r="AH15" s="437">
        <f t="shared" si="27"/>
        <v>209.32782165822061</v>
      </c>
      <c r="AI15" s="437">
        <f t="shared" si="27"/>
        <v>192.71844901898481</v>
      </c>
      <c r="AJ15" s="437">
        <f t="shared" si="27"/>
        <v>133.75117967603268</v>
      </c>
      <c r="AK15" s="438">
        <f t="shared" si="27"/>
        <v>179.76876798001084</v>
      </c>
      <c r="AL15" s="437">
        <f t="shared" si="27"/>
        <v>-205.39358188324641</v>
      </c>
      <c r="AM15" s="437">
        <f t="shared" si="27"/>
        <v>-272.14051871897738</v>
      </c>
      <c r="AN15" s="437">
        <f t="shared" si="27"/>
        <v>-236.97242423424191</v>
      </c>
      <c r="AO15" s="437">
        <f t="shared" si="27"/>
        <v>-131.50516934846479</v>
      </c>
      <c r="AP15" s="438">
        <f t="shared" si="27"/>
        <v>-213.97360548373157</v>
      </c>
      <c r="AQ15" s="437">
        <f t="shared" si="27"/>
        <v>-47.92663824475629</v>
      </c>
      <c r="AR15" s="437">
        <f t="shared" si="27"/>
        <v>34.856972962794551</v>
      </c>
      <c r="AS15" s="437">
        <f t="shared" si="27"/>
        <v>148.18730141859194</v>
      </c>
      <c r="AT15" s="437">
        <f t="shared" si="27"/>
        <v>-1.1948536836381418</v>
      </c>
      <c r="AU15" s="438">
        <f t="shared" si="27"/>
        <v>40.946422327022837</v>
      </c>
      <c r="AV15" s="437">
        <f t="shared" si="27"/>
        <v>-56.739831876533309</v>
      </c>
      <c r="AW15" s="437">
        <f t="shared" si="27"/>
        <v>-28.180629996956696</v>
      </c>
      <c r="AX15" s="437">
        <f t="shared" si="27"/>
        <v>-49.202459272761345</v>
      </c>
      <c r="AY15" s="437">
        <f t="shared" si="27"/>
        <v>73.744689931620755</v>
      </c>
      <c r="AZ15" s="438">
        <f t="shared" si="27"/>
        <v>-17.322303382322211</v>
      </c>
      <c r="BA15" s="437">
        <f t="shared" ref="BA15:CC15" si="28">(BA14-AV14)*10000</f>
        <v>236.0330492722218</v>
      </c>
      <c r="BB15" s="437">
        <f t="shared" si="28"/>
        <v>116.91547540650937</v>
      </c>
      <c r="BC15" s="437">
        <f t="shared" si="28"/>
        <v>184.3486506625147</v>
      </c>
      <c r="BD15" s="455">
        <f>(BD14-AY14)*10000</f>
        <v>-324.10738815509598</v>
      </c>
      <c r="BE15" s="438">
        <f>(BE14-AZ14)*10000</f>
        <v>30.395408375252231</v>
      </c>
      <c r="BF15" s="455">
        <f>(BF14-BA14)*10000</f>
        <v>-374.79682865239727</v>
      </c>
      <c r="BG15" s="455">
        <f t="shared" si="28"/>
        <v>-496.16612770937428</v>
      </c>
      <c r="BH15" s="437">
        <f t="shared" si="28"/>
        <v>-439.54780789107639</v>
      </c>
      <c r="BI15" s="455">
        <f t="shared" si="28"/>
        <v>-118.93246797825662</v>
      </c>
      <c r="BJ15" s="438">
        <f>(BJ14-BE14)*10000</f>
        <v>-337.63265851240124</v>
      </c>
      <c r="BK15" s="455">
        <f t="shared" si="28"/>
        <v>-178.7938448037396</v>
      </c>
      <c r="BL15" s="437">
        <f t="shared" si="28"/>
        <v>-65.306549467740723</v>
      </c>
      <c r="BM15" s="455">
        <f t="shared" si="28"/>
        <v>-70.952166034644605</v>
      </c>
      <c r="BN15" s="437">
        <f t="shared" si="28"/>
        <v>-2.5779362214262136</v>
      </c>
      <c r="BO15" s="438">
        <f t="shared" si="28"/>
        <v>-77.401008126299914</v>
      </c>
      <c r="BP15" s="455">
        <f t="shared" si="28"/>
        <v>81.254326845705549</v>
      </c>
      <c r="BQ15" s="455">
        <f t="shared" si="28"/>
        <v>84.458971726414362</v>
      </c>
      <c r="BR15" s="455">
        <f t="shared" si="28"/>
        <v>-23.933322616563892</v>
      </c>
      <c r="BS15" s="455">
        <f>(BS14-BN14)*10000</f>
        <v>52.800722441168624</v>
      </c>
      <c r="BT15" s="438">
        <f t="shared" si="28"/>
        <v>48.430050397139098</v>
      </c>
      <c r="BU15" s="455">
        <f>(BU14-BP14)*10000</f>
        <v>-61.539270820003544</v>
      </c>
      <c r="BV15" s="455">
        <f>(BV14-BQ14)*10000</f>
        <v>32.319720472901992</v>
      </c>
      <c r="BW15" s="455">
        <f>(BW14-BR14)*10000</f>
        <v>117.21323930037441</v>
      </c>
      <c r="BX15" s="455">
        <f t="shared" si="28"/>
        <v>-5.3028694852974567</v>
      </c>
      <c r="BY15" s="438">
        <f>(BY14-BT14)*10000</f>
        <v>23.412412939627369</v>
      </c>
      <c r="BZ15" s="455">
        <f>(BZ14-BU14)*10000</f>
        <v>74.312226162175364</v>
      </c>
      <c r="CA15" s="455">
        <f t="shared" si="28"/>
        <v>-76.468550463080206</v>
      </c>
      <c r="CB15" s="455">
        <f t="shared" si="28"/>
        <v>-53.022841721614981</v>
      </c>
      <c r="CC15" s="455">
        <f t="shared" si="28"/>
        <v>-123.89402033227914</v>
      </c>
      <c r="CD15" s="438">
        <f>(CD14-BY14)*10000</f>
        <v>-44.472533133650401</v>
      </c>
      <c r="CE15" s="455">
        <f>(CE14-BZ14)*10000</f>
        <v>-149.55746286336779</v>
      </c>
      <c r="CF15" s="455">
        <f>(CF14-CA14)*10000</f>
        <v>-22.989809312342622</v>
      </c>
      <c r="CG15" s="455">
        <f t="shared" ref="CG15:CX15" si="29">(CG14-CB14)*10000</f>
        <v>43.81705251270462</v>
      </c>
      <c r="CH15" s="455">
        <f t="shared" si="29"/>
        <v>-12.025987006496486</v>
      </c>
      <c r="CI15" s="438">
        <f t="shared" si="29"/>
        <v>-34.077451402327874</v>
      </c>
      <c r="CJ15" s="455">
        <f t="shared" si="29"/>
        <v>113.30526829834153</v>
      </c>
      <c r="CK15" s="455">
        <f t="shared" si="29"/>
        <v>208.35779538114997</v>
      </c>
      <c r="CL15" s="455">
        <f t="shared" si="29"/>
        <v>173.940162732944</v>
      </c>
      <c r="CM15" s="455">
        <f t="shared" si="29"/>
        <v>462.92904953145865</v>
      </c>
      <c r="CN15" s="438">
        <f t="shared" si="29"/>
        <v>230.01831897694225</v>
      </c>
      <c r="CO15" s="455">
        <f t="shared" si="29"/>
        <v>269.46428394695408</v>
      </c>
      <c r="CP15" s="455">
        <f t="shared" si="29"/>
        <v>350.00000000000028</v>
      </c>
      <c r="CQ15" s="455">
        <f t="shared" si="29"/>
        <v>379.9999999999992</v>
      </c>
      <c r="CR15" s="455">
        <f t="shared" si="29"/>
        <v>290.14917425045917</v>
      </c>
      <c r="CS15" s="438">
        <f t="shared" si="29"/>
        <v>329.9999999999992</v>
      </c>
      <c r="CT15" s="455">
        <f t="shared" si="29"/>
        <v>50.000000000000043</v>
      </c>
      <c r="CU15" s="455">
        <f t="shared" si="29"/>
        <v>50.000000000001151</v>
      </c>
      <c r="CV15" s="455">
        <f t="shared" si="29"/>
        <v>50.000000000000043</v>
      </c>
      <c r="CW15" s="455">
        <f t="shared" si="29"/>
        <v>48.964776232044429</v>
      </c>
      <c r="CX15" s="438">
        <f t="shared" si="29"/>
        <v>50.000000000001151</v>
      </c>
      <c r="CY15" s="455">
        <f t="shared" ref="CY15:DH15" si="30">(CY14-CT14)*10000</f>
        <v>35.000000000000583</v>
      </c>
      <c r="CZ15" s="455">
        <f t="shared" si="30"/>
        <v>34.999999999998366</v>
      </c>
      <c r="DA15" s="455">
        <f t="shared" si="30"/>
        <v>35.000000000000583</v>
      </c>
      <c r="DB15" s="455">
        <f t="shared" si="30"/>
        <v>34.704905820736045</v>
      </c>
      <c r="DC15" s="438">
        <f t="shared" si="30"/>
        <v>34.999999999999474</v>
      </c>
      <c r="DD15" s="455">
        <f t="shared" si="30"/>
        <v>24.999999999999467</v>
      </c>
      <c r="DE15" s="455">
        <f t="shared" si="30"/>
        <v>25.000000000000576</v>
      </c>
      <c r="DF15" s="455">
        <f t="shared" si="30"/>
        <v>25.000000000000576</v>
      </c>
      <c r="DG15" s="455">
        <f t="shared" si="30"/>
        <v>24.619554569355053</v>
      </c>
      <c r="DH15" s="438">
        <f t="shared" si="30"/>
        <v>24.999999999999467</v>
      </c>
      <c r="DI15" s="455">
        <f>(DI14-DD14)*10000</f>
        <v>20.000000000000018</v>
      </c>
      <c r="DJ15" s="455">
        <f>(DJ14-DE14)*10000</f>
        <v>20.000000000000018</v>
      </c>
      <c r="DK15" s="455">
        <f>(DK14-DF14)*10000</f>
        <v>19.999999999998906</v>
      </c>
      <c r="DL15" s="455">
        <f>(DL14-DG14)*10000</f>
        <v>19.677736207117658</v>
      </c>
      <c r="DM15" s="438">
        <f>(DM14-DH14)*10000</f>
        <v>20.00000000000113</v>
      </c>
      <c r="DN15" s="279"/>
    </row>
    <row r="16" spans="1:118" ht="16.5" customHeight="1" x14ac:dyDescent="0.25">
      <c r="A16" s="418"/>
      <c r="B16" s="418"/>
      <c r="C16" s="456"/>
      <c r="D16" s="456"/>
      <c r="E16" s="456"/>
      <c r="F16" s="456"/>
      <c r="G16" s="457"/>
      <c r="H16" s="456"/>
      <c r="I16" s="456"/>
      <c r="J16" s="456"/>
      <c r="K16" s="456"/>
      <c r="L16" s="457"/>
      <c r="M16" s="456"/>
      <c r="N16" s="456"/>
      <c r="O16" s="456"/>
      <c r="P16" s="456"/>
      <c r="Q16" s="457"/>
      <c r="R16" s="456"/>
      <c r="S16" s="456"/>
      <c r="T16" s="456"/>
      <c r="U16" s="456"/>
      <c r="V16" s="457"/>
      <c r="W16" s="456"/>
      <c r="X16" s="456"/>
      <c r="Y16" s="456"/>
      <c r="Z16" s="456"/>
      <c r="AA16" s="457"/>
      <c r="AB16" s="456"/>
      <c r="AC16" s="456"/>
      <c r="AD16" s="456"/>
      <c r="AE16" s="456"/>
      <c r="AF16" s="457"/>
      <c r="AG16" s="456"/>
      <c r="AH16" s="456"/>
      <c r="AI16" s="456"/>
      <c r="AJ16" s="456"/>
      <c r="AK16" s="457"/>
      <c r="AL16" s="456"/>
      <c r="AM16" s="456"/>
      <c r="AN16" s="456"/>
      <c r="AO16" s="456"/>
      <c r="AP16" s="457"/>
      <c r="AQ16" s="456"/>
      <c r="AR16" s="456"/>
      <c r="AS16" s="456"/>
      <c r="AT16" s="456"/>
      <c r="AU16" s="457"/>
      <c r="AV16" s="456"/>
      <c r="AW16" s="456"/>
      <c r="AX16" s="456"/>
      <c r="AY16" s="458"/>
      <c r="AZ16" s="457"/>
      <c r="BA16" s="459"/>
      <c r="BB16" s="459"/>
      <c r="BC16" s="460"/>
      <c r="BD16" s="461"/>
      <c r="BE16" s="462"/>
      <c r="BF16" s="461"/>
      <c r="BG16" s="461"/>
      <c r="BH16" s="461"/>
      <c r="BI16" s="461"/>
      <c r="BJ16" s="427"/>
      <c r="BK16" s="463"/>
      <c r="BL16" s="426"/>
      <c r="BM16" s="426"/>
      <c r="BN16" s="463"/>
      <c r="BO16" s="464"/>
      <c r="BP16" s="418"/>
      <c r="BQ16" s="418"/>
      <c r="BR16" s="426"/>
      <c r="BS16" s="418"/>
      <c r="BT16" s="465"/>
      <c r="BU16" s="453"/>
      <c r="BV16" s="453"/>
      <c r="BW16" s="453"/>
      <c r="BX16" s="453"/>
      <c r="BY16" s="443"/>
      <c r="BZ16" s="541"/>
      <c r="CA16" s="541"/>
      <c r="CB16" s="541"/>
      <c r="CC16" s="541"/>
      <c r="CD16" s="443"/>
      <c r="CE16" s="541"/>
      <c r="CF16" s="453"/>
      <c r="CG16" s="453"/>
      <c r="CH16" s="453"/>
      <c r="CI16" s="443"/>
      <c r="CJ16" s="418"/>
      <c r="CK16" s="418"/>
      <c r="CL16" s="418"/>
      <c r="CM16" s="418"/>
      <c r="CN16" s="443"/>
      <c r="CO16" s="418"/>
      <c r="CP16" s="418"/>
      <c r="CQ16" s="418"/>
      <c r="CR16" s="418"/>
      <c r="CS16" s="443"/>
      <c r="CT16" s="418"/>
      <c r="CU16" s="418"/>
      <c r="CV16" s="418"/>
      <c r="CW16" s="418"/>
      <c r="CX16" s="443"/>
      <c r="CY16" s="418"/>
      <c r="CZ16" s="418"/>
      <c r="DA16" s="418"/>
      <c r="DB16" s="418"/>
      <c r="DC16" s="443"/>
      <c r="DD16" s="418"/>
      <c r="DE16" s="418"/>
      <c r="DF16" s="418"/>
      <c r="DG16" s="418"/>
      <c r="DH16" s="443"/>
      <c r="DI16" s="418"/>
      <c r="DJ16" s="418"/>
      <c r="DK16" s="418"/>
      <c r="DL16" s="418"/>
      <c r="DM16" s="443"/>
      <c r="DN16" s="207"/>
    </row>
    <row r="17" spans="1:118" ht="16.5" customHeight="1" x14ac:dyDescent="0.25">
      <c r="A17" s="466" t="s">
        <v>6</v>
      </c>
      <c r="B17" s="422"/>
      <c r="C17" s="419">
        <v>-1938</v>
      </c>
      <c r="D17" s="419">
        <v>-2334</v>
      </c>
      <c r="E17" s="419">
        <v>-2287</v>
      </c>
      <c r="F17" s="419">
        <v>-2022</v>
      </c>
      <c r="G17" s="420">
        <f>SUM(C17:F17)</f>
        <v>-8581</v>
      </c>
      <c r="H17" s="419">
        <v>-1334</v>
      </c>
      <c r="I17" s="419">
        <v>-1561</v>
      </c>
      <c r="J17" s="419">
        <v>-1692</v>
      </c>
      <c r="K17" s="419">
        <v>-1562</v>
      </c>
      <c r="L17" s="420">
        <f>SUM(H17:K17)</f>
        <v>-6149</v>
      </c>
      <c r="M17" s="419">
        <v>-1527</v>
      </c>
      <c r="N17" s="419">
        <v>-1881</v>
      </c>
      <c r="O17" s="419">
        <v>-1789</v>
      </c>
      <c r="P17" s="419">
        <v>-1804</v>
      </c>
      <c r="Q17" s="420">
        <f>SUM(M17:P17)</f>
        <v>-7001</v>
      </c>
      <c r="R17" s="419">
        <v>-1613</v>
      </c>
      <c r="S17" s="419">
        <v>-1929</v>
      </c>
      <c r="T17" s="419">
        <v>-2003</v>
      </c>
      <c r="U17" s="419">
        <v>-1967</v>
      </c>
      <c r="V17" s="420">
        <f>SUM(R17:U17)</f>
        <v>-7512</v>
      </c>
      <c r="W17" s="419">
        <v>-1824</v>
      </c>
      <c r="X17" s="419">
        <v>-1993</v>
      </c>
      <c r="Y17" s="419">
        <v>-2055</v>
      </c>
      <c r="Z17" s="419">
        <v>-2054</v>
      </c>
      <c r="AA17" s="420">
        <f>SUM(W17:Z17)</f>
        <v>-7926</v>
      </c>
      <c r="AB17" s="419">
        <v>-1979</v>
      </c>
      <c r="AC17" s="419">
        <v>-2192</v>
      </c>
      <c r="AD17" s="419">
        <v>-2221</v>
      </c>
      <c r="AE17" s="419">
        <v>-2293</v>
      </c>
      <c r="AF17" s="420">
        <f>SUM(AB17:AE17)</f>
        <v>-8685</v>
      </c>
      <c r="AG17" s="419">
        <v>-2060</v>
      </c>
      <c r="AH17" s="419">
        <v>-2296</v>
      </c>
      <c r="AI17" s="419">
        <v>-2488</v>
      </c>
      <c r="AJ17" s="419">
        <v>-2487</v>
      </c>
      <c r="AK17" s="420">
        <f>SUM(AG17:AJ17)</f>
        <v>-9331</v>
      </c>
      <c r="AL17" s="419">
        <v>-2325</v>
      </c>
      <c r="AM17" s="419">
        <v>-2685</v>
      </c>
      <c r="AN17" s="419">
        <v>-2896</v>
      </c>
      <c r="AO17" s="419">
        <v>-3039</v>
      </c>
      <c r="AP17" s="420">
        <f>SUM(AL17:AO17)</f>
        <v>-10945</v>
      </c>
      <c r="AQ17" s="419">
        <v>-2803</v>
      </c>
      <c r="AR17" s="419">
        <v>-3095</v>
      </c>
      <c r="AS17" s="419">
        <v>-3139</v>
      </c>
      <c r="AT17" s="419">
        <v>-2744</v>
      </c>
      <c r="AU17" s="420">
        <f>SUM(AQ17:AT17)</f>
        <v>-11781</v>
      </c>
      <c r="AV17" s="419">
        <v>-2624</v>
      </c>
      <c r="AW17" s="419">
        <v>-2844</v>
      </c>
      <c r="AX17" s="419">
        <v>-2912</v>
      </c>
      <c r="AY17" s="419">
        <v>-2978</v>
      </c>
      <c r="AZ17" s="420">
        <f>SUM(AV17:AY17)</f>
        <v>-11358</v>
      </c>
      <c r="BA17" s="419">
        <v>-2705</v>
      </c>
      <c r="BB17" s="419">
        <v>-2878</v>
      </c>
      <c r="BC17" s="419">
        <v>-3064</v>
      </c>
      <c r="BD17" s="419">
        <v>-4437</v>
      </c>
      <c r="BE17" s="420">
        <f>SUM(BA17:BD17)</f>
        <v>-13084</v>
      </c>
      <c r="BF17" s="419">
        <v>-4086</v>
      </c>
      <c r="BG17" s="419">
        <v>-4410</v>
      </c>
      <c r="BH17" s="419">
        <v>-4503</v>
      </c>
      <c r="BI17" s="419">
        <v>-4418</v>
      </c>
      <c r="BJ17" s="420">
        <f>SUM(BF17:BI17)</f>
        <v>-17417</v>
      </c>
      <c r="BK17" s="419">
        <v>-4197</v>
      </c>
      <c r="BL17" s="419">
        <v>-4479</v>
      </c>
      <c r="BM17" s="419">
        <v>-4649</v>
      </c>
      <c r="BN17" s="419">
        <v>-4424</v>
      </c>
      <c r="BO17" s="420">
        <f>SUM(BK17:BN17)</f>
        <v>-17749</v>
      </c>
      <c r="BP17" s="419">
        <v>-4179</v>
      </c>
      <c r="BQ17" s="419">
        <v>-4379</v>
      </c>
      <c r="BR17" s="419">
        <v>-4424</v>
      </c>
      <c r="BS17" s="419">
        <v>-4322</v>
      </c>
      <c r="BT17" s="420">
        <f>SUM(BP17:BS17)</f>
        <v>-17304</v>
      </c>
      <c r="BU17" s="419">
        <v>-3986</v>
      </c>
      <c r="BV17" s="419">
        <v>-4388</v>
      </c>
      <c r="BW17" s="419">
        <v>-4492</v>
      </c>
      <c r="BX17" s="419">
        <v>-4290</v>
      </c>
      <c r="BY17" s="420">
        <f>SUM(BU17:BX17)</f>
        <v>-17156</v>
      </c>
      <c r="BZ17" s="419">
        <v>-4089</v>
      </c>
      <c r="CA17" s="419">
        <v>-4223</v>
      </c>
      <c r="CB17" s="419">
        <v>-4211</v>
      </c>
      <c r="CC17" s="419">
        <v>-3945</v>
      </c>
      <c r="CD17" s="420">
        <f>SUM(BZ17:CC17)</f>
        <v>-16468</v>
      </c>
      <c r="CE17" s="419">
        <v>-3765</v>
      </c>
      <c r="CF17" s="419">
        <v>-3921</v>
      </c>
      <c r="CG17" s="419">
        <v>-4011</v>
      </c>
      <c r="CH17" s="419">
        <v>-3586</v>
      </c>
      <c r="CI17" s="420">
        <f>SUM(CE17:CH17)</f>
        <v>-15283</v>
      </c>
      <c r="CJ17" s="419">
        <f>CJ55-CJ13</f>
        <v>-3335</v>
      </c>
      <c r="CK17" s="419">
        <f>CK55-CK13</f>
        <v>-3172</v>
      </c>
      <c r="CL17" s="419">
        <f>CL55-CL13</f>
        <v>-3262</v>
      </c>
      <c r="CM17" s="419">
        <f>CM55-CM13</f>
        <v>-2834</v>
      </c>
      <c r="CN17" s="420">
        <f>SUM(CJ17:CM17)</f>
        <v>-12603</v>
      </c>
      <c r="CO17" s="846">
        <v>-2540</v>
      </c>
      <c r="CP17" s="419">
        <f>CP55-CP13</f>
        <v>-2885.7185363664294</v>
      </c>
      <c r="CQ17" s="419">
        <f>CQ55-CQ13</f>
        <v>-2888.1404322109893</v>
      </c>
      <c r="CR17" s="419">
        <f>CR55-CR13</f>
        <v>-2728.8712384546225</v>
      </c>
      <c r="CS17" s="420">
        <f>SUM(CO17:CR17)</f>
        <v>-11042.73020703204</v>
      </c>
      <c r="CT17" s="419">
        <f>CT55-CT13</f>
        <v>-2596.6996736156289</v>
      </c>
      <c r="CU17" s="419">
        <f>CU55-CU13</f>
        <v>-2959.7601196186665</v>
      </c>
      <c r="CV17" s="419">
        <f>CV55-CV13</f>
        <v>-2966.7416729775732</v>
      </c>
      <c r="CW17" s="419">
        <f>CW55-CW13</f>
        <v>-2811.0028253106639</v>
      </c>
      <c r="CX17" s="420">
        <f>SUM(CT17:CW17)</f>
        <v>-11334.204291522532</v>
      </c>
      <c r="CY17" s="419">
        <f>CY55-CY13</f>
        <v>-2646.6256415357711</v>
      </c>
      <c r="CZ17" s="419">
        <f>CZ55-CZ13</f>
        <v>-3020.8997388735434</v>
      </c>
      <c r="DA17" s="419">
        <f>DA55-DA13</f>
        <v>-3033.3332332313321</v>
      </c>
      <c r="DB17" s="419">
        <f>DB55-DB13</f>
        <v>-2883.446377132298</v>
      </c>
      <c r="DC17" s="420">
        <f>SUM(CY17:DB17)</f>
        <v>-11584.304990772944</v>
      </c>
      <c r="DD17" s="419">
        <f>DD55-DD13</f>
        <v>-2674.6494136449101</v>
      </c>
      <c r="DE17" s="419">
        <f>DE55-DE13</f>
        <v>-3058.2396542335482</v>
      </c>
      <c r="DF17" s="419">
        <f>DF55-DF13</f>
        <v>-3078.0894256997094</v>
      </c>
      <c r="DG17" s="419">
        <f>DG55-DG13</f>
        <v>-2937.223256979581</v>
      </c>
      <c r="DH17" s="420">
        <f>SUM(DD17:DG17)</f>
        <v>-11748.20175055775</v>
      </c>
      <c r="DI17" s="419">
        <f>DI55-DI13</f>
        <v>-2700.6321522919652</v>
      </c>
      <c r="DJ17" s="419">
        <f>DJ55-DJ13</f>
        <v>-3092.9369532347155</v>
      </c>
      <c r="DK17" s="419">
        <f>DK55-DK13</f>
        <v>-3120.0903958262879</v>
      </c>
      <c r="DL17" s="419">
        <f>DL55-DL13</f>
        <v>-2987.5032819389971</v>
      </c>
      <c r="DM17" s="420">
        <f>SUM(DI17:DL17)</f>
        <v>-11901.162783291966</v>
      </c>
      <c r="DN17" s="278"/>
    </row>
    <row r="18" spans="1:118" ht="16.5" customHeight="1" x14ac:dyDescent="0.2">
      <c r="A18" s="418"/>
      <c r="B18" s="454" t="s">
        <v>27</v>
      </c>
      <c r="C18" s="423">
        <f t="shared" ref="C18:AH18" si="31">-C17/C5</f>
        <v>0.45535714285714285</v>
      </c>
      <c r="D18" s="423">
        <f t="shared" si="31"/>
        <v>0.42536905412793874</v>
      </c>
      <c r="E18" s="423">
        <f t="shared" si="31"/>
        <v>0.42242334687846322</v>
      </c>
      <c r="F18" s="423">
        <f t="shared" si="31"/>
        <v>0.42730346576500422</v>
      </c>
      <c r="G18" s="424">
        <f t="shared" si="31"/>
        <v>0.43144451706973702</v>
      </c>
      <c r="H18" s="423">
        <f t="shared" si="31"/>
        <v>0.33695377620611267</v>
      </c>
      <c r="I18" s="423">
        <f t="shared" si="31"/>
        <v>0.33548248441865464</v>
      </c>
      <c r="J18" s="423">
        <f t="shared" si="31"/>
        <v>0.36038338658146962</v>
      </c>
      <c r="K18" s="423">
        <f t="shared" si="31"/>
        <v>0.36857008022652193</v>
      </c>
      <c r="L18" s="424">
        <f t="shared" si="31"/>
        <v>0.3504702194357367</v>
      </c>
      <c r="M18" s="423">
        <f t="shared" si="31"/>
        <v>0.37435645991664623</v>
      </c>
      <c r="N18" s="423">
        <f t="shared" si="31"/>
        <v>0.35040983606557374</v>
      </c>
      <c r="O18" s="423">
        <f t="shared" si="31"/>
        <v>0.33615182262307403</v>
      </c>
      <c r="P18" s="423">
        <f t="shared" si="31"/>
        <v>0.37622523461939522</v>
      </c>
      <c r="Q18" s="424">
        <f t="shared" si="31"/>
        <v>0.35785115518298916</v>
      </c>
      <c r="R18" s="423">
        <f t="shared" si="31"/>
        <v>0.36247191011235957</v>
      </c>
      <c r="S18" s="423">
        <f t="shared" si="31"/>
        <v>0.34147636749867233</v>
      </c>
      <c r="T18" s="423">
        <f t="shared" si="31"/>
        <v>0.35489014883061659</v>
      </c>
      <c r="U18" s="423">
        <f t="shared" si="31"/>
        <v>0.3846304262807978</v>
      </c>
      <c r="V18" s="424">
        <f t="shared" si="31"/>
        <v>0.36016685045787983</v>
      </c>
      <c r="W18" s="423">
        <f t="shared" si="31"/>
        <v>0.36276849642004771</v>
      </c>
      <c r="X18" s="423">
        <f t="shared" si="31"/>
        <v>0.33699695637470412</v>
      </c>
      <c r="Y18" s="423">
        <f t="shared" si="31"/>
        <v>0.36722659042172978</v>
      </c>
      <c r="Z18" s="423">
        <f t="shared" si="31"/>
        <v>0.39469638739431206</v>
      </c>
      <c r="AA18" s="424">
        <f t="shared" si="31"/>
        <v>0.36454787967988228</v>
      </c>
      <c r="AB18" s="423">
        <f t="shared" si="31"/>
        <v>0.38013830195927778</v>
      </c>
      <c r="AC18" s="423">
        <f t="shared" si="31"/>
        <v>0.34738510301109349</v>
      </c>
      <c r="AD18" s="423">
        <f t="shared" si="31"/>
        <v>0.3678979625641875</v>
      </c>
      <c r="AE18" s="423">
        <f t="shared" si="31"/>
        <v>0.41307872455413441</v>
      </c>
      <c r="AF18" s="424">
        <f t="shared" si="31"/>
        <v>0.37590893351800553</v>
      </c>
      <c r="AG18" s="423">
        <f t="shared" si="31"/>
        <v>0.39418293149636435</v>
      </c>
      <c r="AH18" s="423">
        <f t="shared" si="31"/>
        <v>0.35453983940704137</v>
      </c>
      <c r="AI18" s="423">
        <f t="shared" ref="AI18:BP18" si="32">-AI17/AI5</f>
        <v>0.38549736597458939</v>
      </c>
      <c r="AJ18" s="423">
        <f t="shared" si="32"/>
        <v>0.41925151719487525</v>
      </c>
      <c r="AK18" s="424">
        <f t="shared" si="32"/>
        <v>0.38737130521421453</v>
      </c>
      <c r="AL18" s="423">
        <f t="shared" si="32"/>
        <v>0.38096018351630345</v>
      </c>
      <c r="AM18" s="423">
        <f t="shared" si="32"/>
        <v>0.34721324195008407</v>
      </c>
      <c r="AN18" s="423">
        <f t="shared" si="32"/>
        <v>0.37659297789336799</v>
      </c>
      <c r="AO18" s="423">
        <f t="shared" si="32"/>
        <v>0.41454099031510028</v>
      </c>
      <c r="AP18" s="424">
        <f t="shared" si="32"/>
        <v>0.37928405586166269</v>
      </c>
      <c r="AQ18" s="423">
        <f t="shared" si="32"/>
        <v>0.37986176988751863</v>
      </c>
      <c r="AR18" s="423">
        <f t="shared" si="32"/>
        <v>0.34214017245191247</v>
      </c>
      <c r="AS18" s="423">
        <f t="shared" si="32"/>
        <v>0.3740021446443465</v>
      </c>
      <c r="AT18" s="423">
        <f t="shared" si="32"/>
        <v>0.3850687622789784</v>
      </c>
      <c r="AU18" s="424">
        <f t="shared" si="32"/>
        <v>0.368801652892562</v>
      </c>
      <c r="AV18" s="423">
        <f t="shared" si="32"/>
        <v>0.36602036546240757</v>
      </c>
      <c r="AW18" s="423">
        <f t="shared" si="32"/>
        <v>0.34401838635538889</v>
      </c>
      <c r="AX18" s="423">
        <f t="shared" si="32"/>
        <v>0.36200895077076084</v>
      </c>
      <c r="AY18" s="423">
        <f t="shared" si="32"/>
        <v>0.39653794940079895</v>
      </c>
      <c r="AZ18" s="424">
        <f t="shared" si="32"/>
        <v>0.36650532429816068</v>
      </c>
      <c r="BA18" s="423">
        <f t="shared" si="32"/>
        <v>0.35946843853820598</v>
      </c>
      <c r="BB18" s="423">
        <f t="shared" si="32"/>
        <v>0.33179617246944892</v>
      </c>
      <c r="BC18" s="423">
        <f t="shared" si="32"/>
        <v>0.36363636363636365</v>
      </c>
      <c r="BD18" s="423">
        <f t="shared" si="32"/>
        <v>0.42265193370165743</v>
      </c>
      <c r="BE18" s="424">
        <f t="shared" si="32"/>
        <v>0.37251943171141416</v>
      </c>
      <c r="BF18" s="423">
        <f t="shared" si="32"/>
        <v>0.38748221906116642</v>
      </c>
      <c r="BG18" s="423">
        <f t="shared" si="32"/>
        <v>0.34645298138109826</v>
      </c>
      <c r="BH18" s="423">
        <f t="shared" si="32"/>
        <v>0.3678020093114433</v>
      </c>
      <c r="BI18" s="423">
        <f t="shared" si="32"/>
        <v>0.40028993385883843</v>
      </c>
      <c r="BJ18" s="424">
        <f t="shared" si="32"/>
        <v>0.37412467242342229</v>
      </c>
      <c r="BK18" s="423">
        <f t="shared" si="32"/>
        <v>0.37678427147858873</v>
      </c>
      <c r="BL18" s="423">
        <f t="shared" si="32"/>
        <v>0.34232650565576278</v>
      </c>
      <c r="BM18" s="423">
        <f t="shared" si="32"/>
        <v>0.37662022034996762</v>
      </c>
      <c r="BN18" s="423">
        <f t="shared" si="32"/>
        <v>0.38587003924989099</v>
      </c>
      <c r="BO18" s="424">
        <f t="shared" ref="BO18:CT18" si="33">-BO17/BO5</f>
        <v>0.36952448367754831</v>
      </c>
      <c r="BP18" s="423">
        <f t="shared" si="32"/>
        <v>0.37856689917564995</v>
      </c>
      <c r="BQ18" s="423">
        <f t="shared" si="33"/>
        <v>0.34350486350800125</v>
      </c>
      <c r="BR18" s="423">
        <f t="shared" si="33"/>
        <v>0.36516714816343376</v>
      </c>
      <c r="BS18" s="423">
        <f t="shared" si="33"/>
        <v>0.39173388924136682</v>
      </c>
      <c r="BT18" s="424">
        <f t="shared" si="33"/>
        <v>0.36868008948545861</v>
      </c>
      <c r="BU18" s="423">
        <f>-BU17/BU5</f>
        <v>0.37660619803476947</v>
      </c>
      <c r="BV18" s="423">
        <f>-BV17/BV5</f>
        <v>0.34975290929379882</v>
      </c>
      <c r="BW18" s="423">
        <f>-BW17/BW5</f>
        <v>0.37492696769885653</v>
      </c>
      <c r="BX18" s="423">
        <f t="shared" si="33"/>
        <v>0.39354187689202824</v>
      </c>
      <c r="BY18" s="424">
        <f>-BY17/BY5</f>
        <v>0.37285925410762411</v>
      </c>
      <c r="BZ18" s="423">
        <f t="shared" si="33"/>
        <v>0.38204241801364103</v>
      </c>
      <c r="CA18" s="423">
        <f t="shared" si="33"/>
        <v>0.34760062556589022</v>
      </c>
      <c r="CB18" s="423">
        <f t="shared" si="33"/>
        <v>0.36938596491228071</v>
      </c>
      <c r="CC18" s="423">
        <f t="shared" si="33"/>
        <v>0.39430284857571213</v>
      </c>
      <c r="CD18" s="424">
        <f>-CD17/CD5</f>
        <v>0.37209932891971892</v>
      </c>
      <c r="CE18" s="423">
        <f>-CE17/CE5</f>
        <v>0.36450769677606737</v>
      </c>
      <c r="CF18" s="423">
        <f>-CF17/CF5</f>
        <v>0.34024644220756683</v>
      </c>
      <c r="CG18" s="423">
        <f t="shared" si="33"/>
        <v>0.37747035573122528</v>
      </c>
      <c r="CH18" s="423">
        <f t="shared" ref="CH18" si="34">-CH17/CH5</f>
        <v>0.38250666666666666</v>
      </c>
      <c r="CI18" s="424">
        <f>-CI17/CI5</f>
        <v>0.36515028432168967</v>
      </c>
      <c r="CJ18" s="423">
        <f t="shared" si="33"/>
        <v>0.36576003509541566</v>
      </c>
      <c r="CK18" s="423">
        <f t="shared" si="33"/>
        <v>0.32694289837146978</v>
      </c>
      <c r="CL18" s="423">
        <f t="shared" si="33"/>
        <v>0.35933024895351401</v>
      </c>
      <c r="CM18" s="423">
        <f t="shared" si="33"/>
        <v>0.37938420348058904</v>
      </c>
      <c r="CN18" s="424">
        <f t="shared" si="33"/>
        <v>0.3563390635602805</v>
      </c>
      <c r="CO18" s="423">
        <f t="shared" si="33"/>
        <v>0.33315844700944386</v>
      </c>
      <c r="CP18" s="423">
        <f t="shared" si="33"/>
        <v>0.33032236190113595</v>
      </c>
      <c r="CQ18" s="423">
        <f t="shared" si="33"/>
        <v>0.34799838703847918</v>
      </c>
      <c r="CR18" s="423">
        <f t="shared" si="33"/>
        <v>0.37259085064676017</v>
      </c>
      <c r="CS18" s="424">
        <f t="shared" si="33"/>
        <v>0.34526439381920265</v>
      </c>
      <c r="CT18" s="423">
        <f t="shared" si="33"/>
        <v>0.32843482642977595</v>
      </c>
      <c r="CU18" s="423">
        <f t="shared" ref="CU18:DC18" si="35">-CU17/CU5</f>
        <v>0.32564277423210658</v>
      </c>
      <c r="CV18" s="423">
        <f t="shared" si="35"/>
        <v>0.34325057236465895</v>
      </c>
      <c r="CW18" s="423">
        <f t="shared" si="35"/>
        <v>0.36777189326961762</v>
      </c>
      <c r="CX18" s="424">
        <f t="shared" si="35"/>
        <v>0.34055389879684889</v>
      </c>
      <c r="CY18" s="423">
        <f t="shared" si="35"/>
        <v>0.32170578220311868</v>
      </c>
      <c r="CZ18" s="423">
        <f t="shared" si="35"/>
        <v>0.31952992481851278</v>
      </c>
      <c r="DA18" s="423">
        <f t="shared" si="35"/>
        <v>0.33707737990049397</v>
      </c>
      <c r="DB18" s="423">
        <f t="shared" si="35"/>
        <v>0.36161083364988689</v>
      </c>
      <c r="DC18" s="424">
        <f t="shared" si="35"/>
        <v>0.33428606546590611</v>
      </c>
      <c r="DD18" s="423">
        <f>-DD17/DD5</f>
        <v>0.31387131950981956</v>
      </c>
      <c r="DE18" s="423">
        <f>-DE17/DE5</f>
        <v>0.31231888581965195</v>
      </c>
      <c r="DF18" s="423">
        <f>-DF17/DF5</f>
        <v>0.32990322851357096</v>
      </c>
      <c r="DG18" s="423">
        <f>-DG17/DG5</f>
        <v>0.35451455981488444</v>
      </c>
      <c r="DH18" s="424">
        <f>-DH17/DH5</f>
        <v>0.32698378964451341</v>
      </c>
      <c r="DI18" s="423">
        <f t="shared" ref="DI18:DM18" si="36">-DI17/DI5</f>
        <v>0.30649417167471682</v>
      </c>
      <c r="DJ18" s="423">
        <f t="shared" si="36"/>
        <v>0.3054551597444623</v>
      </c>
      <c r="DK18" s="423">
        <f t="shared" si="36"/>
        <v>0.32311337491049058</v>
      </c>
      <c r="DL18" s="423">
        <f t="shared" si="36"/>
        <v>0.34782919432905907</v>
      </c>
      <c r="DM18" s="424">
        <f t="shared" si="36"/>
        <v>0.32007550938892154</v>
      </c>
      <c r="DN18" s="279"/>
    </row>
    <row r="19" spans="1:118" ht="16.5" customHeight="1" x14ac:dyDescent="0.2">
      <c r="A19" s="418"/>
      <c r="B19" s="454" t="s">
        <v>20</v>
      </c>
      <c r="C19" s="423"/>
      <c r="D19" s="423"/>
      <c r="E19" s="423"/>
      <c r="F19" s="423"/>
      <c r="G19" s="424"/>
      <c r="H19" s="423"/>
      <c r="I19" s="423"/>
      <c r="J19" s="423"/>
      <c r="K19" s="423"/>
      <c r="L19" s="424">
        <f>L17/G17-1</f>
        <v>-0.28341685118284587</v>
      </c>
      <c r="M19" s="423">
        <f t="shared" ref="M19:Z19" si="37">M17/H17-1</f>
        <v>0.14467766116941538</v>
      </c>
      <c r="N19" s="423">
        <f t="shared" si="37"/>
        <v>0.20499679692504813</v>
      </c>
      <c r="O19" s="423">
        <f t="shared" si="37"/>
        <v>5.7328605200945626E-2</v>
      </c>
      <c r="P19" s="423">
        <f t="shared" si="37"/>
        <v>0.15492957746478875</v>
      </c>
      <c r="Q19" s="424">
        <f t="shared" si="37"/>
        <v>0.13855911530330145</v>
      </c>
      <c r="R19" s="423">
        <f t="shared" si="37"/>
        <v>5.6319580877537634E-2</v>
      </c>
      <c r="S19" s="423">
        <f t="shared" si="37"/>
        <v>2.5518341307815051E-2</v>
      </c>
      <c r="T19" s="423">
        <f t="shared" si="37"/>
        <v>0.1196198993851314</v>
      </c>
      <c r="U19" s="423">
        <f t="shared" si="37"/>
        <v>9.0354767184035456E-2</v>
      </c>
      <c r="V19" s="424">
        <f t="shared" si="37"/>
        <v>7.2989572918154444E-2</v>
      </c>
      <c r="W19" s="423">
        <f t="shared" si="37"/>
        <v>0.13081215127092372</v>
      </c>
      <c r="X19" s="423">
        <f t="shared" si="37"/>
        <v>3.317781233799888E-2</v>
      </c>
      <c r="Y19" s="423">
        <f t="shared" si="37"/>
        <v>2.5961058412381499E-2</v>
      </c>
      <c r="Z19" s="423">
        <f t="shared" si="37"/>
        <v>4.4229791560752352E-2</v>
      </c>
      <c r="AA19" s="424">
        <f t="shared" ref="AA19:BB19" si="38">AA17/V17-1</f>
        <v>5.5111821086262003E-2</v>
      </c>
      <c r="AB19" s="423">
        <f t="shared" si="38"/>
        <v>8.4978070175438569E-2</v>
      </c>
      <c r="AC19" s="423">
        <f t="shared" si="38"/>
        <v>9.9849473156046198E-2</v>
      </c>
      <c r="AD19" s="423">
        <f t="shared" si="38"/>
        <v>8.0778588807785878E-2</v>
      </c>
      <c r="AE19" s="423">
        <f t="shared" si="38"/>
        <v>0.11635832521908474</v>
      </c>
      <c r="AF19" s="424">
        <f t="shared" si="38"/>
        <v>9.5760787282361814E-2</v>
      </c>
      <c r="AG19" s="423">
        <f t="shared" si="38"/>
        <v>4.0929762506316303E-2</v>
      </c>
      <c r="AH19" s="423">
        <f t="shared" si="38"/>
        <v>4.7445255474452663E-2</v>
      </c>
      <c r="AI19" s="423">
        <f t="shared" si="38"/>
        <v>0.12021611886537586</v>
      </c>
      <c r="AJ19" s="423">
        <f t="shared" si="38"/>
        <v>8.4605320540776185E-2</v>
      </c>
      <c r="AK19" s="424">
        <f t="shared" si="38"/>
        <v>7.4381116868163399E-2</v>
      </c>
      <c r="AL19" s="423">
        <f t="shared" si="38"/>
        <v>0.12864077669902918</v>
      </c>
      <c r="AM19" s="423">
        <f t="shared" si="38"/>
        <v>0.16942508710801385</v>
      </c>
      <c r="AN19" s="423">
        <f t="shared" si="38"/>
        <v>0.16398713826366551</v>
      </c>
      <c r="AO19" s="423">
        <f t="shared" si="38"/>
        <v>0.22195416164053072</v>
      </c>
      <c r="AP19" s="424">
        <f t="shared" si="38"/>
        <v>0.17297181438216702</v>
      </c>
      <c r="AQ19" s="423">
        <f t="shared" si="38"/>
        <v>0.20559139784946234</v>
      </c>
      <c r="AR19" s="423">
        <f t="shared" si="38"/>
        <v>0.15270018621973924</v>
      </c>
      <c r="AS19" s="423">
        <f t="shared" si="38"/>
        <v>8.390883977900554E-2</v>
      </c>
      <c r="AT19" s="423">
        <f t="shared" si="38"/>
        <v>-9.7071405067456373E-2</v>
      </c>
      <c r="AU19" s="424">
        <f t="shared" si="38"/>
        <v>7.6381909547738713E-2</v>
      </c>
      <c r="AV19" s="423">
        <f t="shared" si="38"/>
        <v>-6.3860149839457758E-2</v>
      </c>
      <c r="AW19" s="423">
        <f t="shared" si="38"/>
        <v>-8.1098546042003283E-2</v>
      </c>
      <c r="AX19" s="423">
        <f t="shared" si="38"/>
        <v>-7.2316024211532381E-2</v>
      </c>
      <c r="AY19" s="423">
        <f t="shared" si="38"/>
        <v>8.5276967930029146E-2</v>
      </c>
      <c r="AZ19" s="424">
        <f t="shared" si="38"/>
        <v>-3.59052711993888E-2</v>
      </c>
      <c r="BA19" s="423">
        <f t="shared" si="38"/>
        <v>3.0868902439024293E-2</v>
      </c>
      <c r="BB19" s="423">
        <f t="shared" si="38"/>
        <v>1.1954992967651235E-2</v>
      </c>
      <c r="BC19" s="423">
        <f t="shared" ref="BC19:CH19" si="39">BC17/AX17-1</f>
        <v>5.2197802197802234E-2</v>
      </c>
      <c r="BD19" s="423">
        <f t="shared" si="39"/>
        <v>0.48992612491605114</v>
      </c>
      <c r="BE19" s="424">
        <f t="shared" si="39"/>
        <v>0.1519633738334214</v>
      </c>
      <c r="BF19" s="423">
        <f t="shared" si="39"/>
        <v>0.51053604436229194</v>
      </c>
      <c r="BG19" s="423">
        <f t="shared" si="39"/>
        <v>0.53231410701876314</v>
      </c>
      <c r="BH19" s="423">
        <f t="shared" si="39"/>
        <v>0.46964751958224538</v>
      </c>
      <c r="BI19" s="423">
        <f t="shared" si="39"/>
        <v>-4.2821726391706338E-3</v>
      </c>
      <c r="BJ19" s="424">
        <f t="shared" si="39"/>
        <v>0.33116783858147358</v>
      </c>
      <c r="BK19" s="423">
        <f t="shared" si="39"/>
        <v>2.7165932452276165E-2</v>
      </c>
      <c r="BL19" s="423">
        <f t="shared" si="39"/>
        <v>1.56462585034014E-2</v>
      </c>
      <c r="BM19" s="423">
        <f t="shared" si="39"/>
        <v>3.2422829224961092E-2</v>
      </c>
      <c r="BN19" s="423">
        <f t="shared" si="39"/>
        <v>1.3580805794477513E-3</v>
      </c>
      <c r="BO19" s="424">
        <f t="shared" si="39"/>
        <v>1.9061836137107324E-2</v>
      </c>
      <c r="BP19" s="423">
        <f t="shared" si="39"/>
        <v>-4.2887776983560055E-3</v>
      </c>
      <c r="BQ19" s="423">
        <f t="shared" si="39"/>
        <v>-2.2326412145568186E-2</v>
      </c>
      <c r="BR19" s="423">
        <f t="shared" si="39"/>
        <v>-4.8397504839750471E-2</v>
      </c>
      <c r="BS19" s="423">
        <f t="shared" si="39"/>
        <v>-2.3056057866184476E-2</v>
      </c>
      <c r="BT19" s="424">
        <f t="shared" si="39"/>
        <v>-2.5071835032959622E-2</v>
      </c>
      <c r="BU19" s="423">
        <f>BU17/BP17-1</f>
        <v>-4.618329743957883E-2</v>
      </c>
      <c r="BV19" s="423">
        <f>BV17/BQ17-1</f>
        <v>2.055263758849124E-3</v>
      </c>
      <c r="BW19" s="423">
        <f>BW17/BR17-1</f>
        <v>1.5370705244122984E-2</v>
      </c>
      <c r="BX19" s="423">
        <f>BX17/BS17-1</f>
        <v>-7.4039796390560353E-3</v>
      </c>
      <c r="BY19" s="424">
        <f>BY17/BT17-1</f>
        <v>-8.55293573740179E-3</v>
      </c>
      <c r="BZ19" s="423">
        <f t="shared" si="39"/>
        <v>2.5840441545408988E-2</v>
      </c>
      <c r="CA19" s="423">
        <f t="shared" si="39"/>
        <v>-3.7602552415679114E-2</v>
      </c>
      <c r="CB19" s="423">
        <f t="shared" si="39"/>
        <v>-6.2555654496883384E-2</v>
      </c>
      <c r="CC19" s="423">
        <f t="shared" si="39"/>
        <v>-8.0419580419580416E-2</v>
      </c>
      <c r="CD19" s="424">
        <f>CD17/BY17-1</f>
        <v>-4.0102588015854534E-2</v>
      </c>
      <c r="CE19" s="423">
        <f>CE17/BZ17-1</f>
        <v>-7.9236977256052832E-2</v>
      </c>
      <c r="CF19" s="423">
        <f>CF17/CA17-1</f>
        <v>-7.1513142315889233E-2</v>
      </c>
      <c r="CG19" s="423">
        <f t="shared" si="39"/>
        <v>-4.7494656851104211E-2</v>
      </c>
      <c r="CH19" s="423">
        <f t="shared" si="39"/>
        <v>-9.1001267427122889E-2</v>
      </c>
      <c r="CI19" s="424">
        <f>CI17/CD17-1</f>
        <v>-7.1957736215691015E-2</v>
      </c>
      <c r="CJ19" s="423">
        <f t="shared" ref="CJ19:DC19" si="40">CJ17/CE17-1</f>
        <v>-0.11420982735723773</v>
      </c>
      <c r="CK19" s="423">
        <f t="shared" si="40"/>
        <v>-0.19102269829125218</v>
      </c>
      <c r="CL19" s="423">
        <f t="shared" si="40"/>
        <v>-0.18673647469458987</v>
      </c>
      <c r="CM19" s="423">
        <f t="shared" si="40"/>
        <v>-0.20970440602342444</v>
      </c>
      <c r="CN19" s="424">
        <f t="shared" si="40"/>
        <v>-0.1753582411830138</v>
      </c>
      <c r="CO19" s="423">
        <f t="shared" si="40"/>
        <v>-0.23838080959520236</v>
      </c>
      <c r="CP19" s="423">
        <f t="shared" si="40"/>
        <v>-9.0252668232525424E-2</v>
      </c>
      <c r="CQ19" s="423">
        <f t="shared" si="40"/>
        <v>-0.11461053580288494</v>
      </c>
      <c r="CR19" s="423">
        <f t="shared" si="40"/>
        <v>-3.7095540418270123E-2</v>
      </c>
      <c r="CS19" s="424">
        <f t="shared" si="40"/>
        <v>-0.12380145941188292</v>
      </c>
      <c r="CT19" s="423">
        <f t="shared" si="40"/>
        <v>2.2322706147885452E-2</v>
      </c>
      <c r="CU19" s="423">
        <f t="shared" si="40"/>
        <v>2.5657936600243403E-2</v>
      </c>
      <c r="CV19" s="423">
        <f t="shared" si="40"/>
        <v>2.7215172742279581E-2</v>
      </c>
      <c r="CW19" s="423">
        <f t="shared" si="40"/>
        <v>3.0097274542917996E-2</v>
      </c>
      <c r="CX19" s="424">
        <f t="shared" si="40"/>
        <v>2.6395110541130418E-2</v>
      </c>
      <c r="CY19" s="423">
        <f t="shared" si="40"/>
        <v>1.9226700887833292E-2</v>
      </c>
      <c r="CZ19" s="423">
        <f t="shared" si="40"/>
        <v>2.0656950828418452E-2</v>
      </c>
      <c r="DA19" s="423">
        <f t="shared" si="40"/>
        <v>2.2446025840505479E-2</v>
      </c>
      <c r="DB19" s="423">
        <f t="shared" si="40"/>
        <v>2.5771426186179003E-2</v>
      </c>
      <c r="DC19" s="424">
        <f t="shared" si="40"/>
        <v>2.2066013000795692E-2</v>
      </c>
      <c r="DD19" s="423">
        <f t="shared" ref="DD19:DM19" si="41">DD17/CY17-1</f>
        <v>1.0588491122181409E-2</v>
      </c>
      <c r="DE19" s="423">
        <f t="shared" si="41"/>
        <v>1.2360527851853931E-2</v>
      </c>
      <c r="DF19" s="423">
        <f t="shared" si="41"/>
        <v>1.4754789212756414E-2</v>
      </c>
      <c r="DG19" s="423">
        <f t="shared" si="41"/>
        <v>1.8650209788456662E-2</v>
      </c>
      <c r="DH19" s="424">
        <f t="shared" si="41"/>
        <v>1.4148173750203608E-2</v>
      </c>
      <c r="DI19" s="423">
        <f>DI17/DD17-1</f>
        <v>9.7144465044660677E-3</v>
      </c>
      <c r="DJ19" s="423">
        <f>DJ17/DE17-1</f>
        <v>1.1345513407732932E-2</v>
      </c>
      <c r="DK19" s="423">
        <f>DK17/DF17-1</f>
        <v>1.3645142917519726E-2</v>
      </c>
      <c r="DL19" s="423">
        <f>DL17/DG17-1</f>
        <v>1.7118216955397614E-2</v>
      </c>
      <c r="DM19" s="424">
        <f t="shared" si="41"/>
        <v>1.3019952838906113E-2</v>
      </c>
      <c r="DN19" s="279"/>
    </row>
    <row r="20" spans="1:118" ht="16.5" customHeight="1" x14ac:dyDescent="0.2">
      <c r="A20" s="418"/>
      <c r="B20" s="435" t="s">
        <v>26</v>
      </c>
      <c r="C20" s="437"/>
      <c r="D20" s="437"/>
      <c r="E20" s="437"/>
      <c r="F20" s="437"/>
      <c r="G20" s="438"/>
      <c r="H20" s="437"/>
      <c r="I20" s="437"/>
      <c r="J20" s="437"/>
      <c r="K20" s="437"/>
      <c r="L20" s="438">
        <f>(L18-G18)*10000</f>
        <v>-809.74297634000322</v>
      </c>
      <c r="M20" s="437">
        <f t="shared" ref="M20:Z20" si="42">(M18-H18)*10000</f>
        <v>374.02683710533569</v>
      </c>
      <c r="N20" s="437">
        <f t="shared" si="42"/>
        <v>149.27351646919107</v>
      </c>
      <c r="O20" s="437">
        <f t="shared" si="42"/>
        <v>-242.31563958395597</v>
      </c>
      <c r="P20" s="437">
        <f t="shared" si="42"/>
        <v>76.551543928732869</v>
      </c>
      <c r="Q20" s="438">
        <f t="shared" si="42"/>
        <v>73.809357472524596</v>
      </c>
      <c r="R20" s="437">
        <f t="shared" si="42"/>
        <v>-118.84549804286659</v>
      </c>
      <c r="S20" s="437">
        <f t="shared" si="42"/>
        <v>-89.334685669014149</v>
      </c>
      <c r="T20" s="437">
        <f t="shared" si="42"/>
        <v>187.38326207542565</v>
      </c>
      <c r="U20" s="437">
        <f t="shared" si="42"/>
        <v>84.051916614025785</v>
      </c>
      <c r="V20" s="438">
        <f t="shared" si="42"/>
        <v>23.156952748906722</v>
      </c>
      <c r="W20" s="437">
        <f t="shared" si="42"/>
        <v>2.9658630768814032</v>
      </c>
      <c r="X20" s="437">
        <f t="shared" si="42"/>
        <v>-44.794111239682131</v>
      </c>
      <c r="Y20" s="437">
        <f t="shared" si="42"/>
        <v>123.3644159111319</v>
      </c>
      <c r="Z20" s="437">
        <f t="shared" si="42"/>
        <v>100.65961113514265</v>
      </c>
      <c r="AA20" s="438">
        <f t="shared" ref="AA20:BB20" si="43">(AA18-V18)*10000</f>
        <v>43.810292220024529</v>
      </c>
      <c r="AB20" s="437">
        <f t="shared" si="43"/>
        <v>173.69805539230066</v>
      </c>
      <c r="AC20" s="437">
        <f t="shared" si="43"/>
        <v>103.88146636389372</v>
      </c>
      <c r="AD20" s="437">
        <f t="shared" si="43"/>
        <v>6.713721424577157</v>
      </c>
      <c r="AE20" s="437">
        <f t="shared" si="43"/>
        <v>183.82337159822347</v>
      </c>
      <c r="AF20" s="438">
        <f t="shared" si="43"/>
        <v>113.61053838123247</v>
      </c>
      <c r="AG20" s="437">
        <f t="shared" si="43"/>
        <v>140.44629537086573</v>
      </c>
      <c r="AH20" s="437">
        <f t="shared" si="43"/>
        <v>71.547363959478801</v>
      </c>
      <c r="AI20" s="437">
        <f t="shared" si="43"/>
        <v>175.99403410401894</v>
      </c>
      <c r="AJ20" s="437">
        <f t="shared" si="43"/>
        <v>61.727926407408319</v>
      </c>
      <c r="AK20" s="438">
        <f t="shared" si="43"/>
        <v>114.62371696209006</v>
      </c>
      <c r="AL20" s="437">
        <f t="shared" si="43"/>
        <v>-132.22747980060902</v>
      </c>
      <c r="AM20" s="437">
        <f t="shared" si="43"/>
        <v>-73.265974569572961</v>
      </c>
      <c r="AN20" s="437">
        <f t="shared" si="43"/>
        <v>-89.043880812214041</v>
      </c>
      <c r="AO20" s="437">
        <f t="shared" si="43"/>
        <v>-47.10526879774968</v>
      </c>
      <c r="AP20" s="438">
        <f t="shared" si="43"/>
        <v>-80.872493525518394</v>
      </c>
      <c r="AQ20" s="437">
        <f t="shared" si="43"/>
        <v>-10.984136287848223</v>
      </c>
      <c r="AR20" s="437">
        <f t="shared" si="43"/>
        <v>-50.730694981716006</v>
      </c>
      <c r="AS20" s="437">
        <f t="shared" si="43"/>
        <v>-25.908332490214846</v>
      </c>
      <c r="AT20" s="437">
        <f t="shared" si="43"/>
        <v>-294.72228036121874</v>
      </c>
      <c r="AU20" s="438">
        <f t="shared" si="43"/>
        <v>-104.8240296910069</v>
      </c>
      <c r="AV20" s="437">
        <f t="shared" si="43"/>
        <v>-138.4140442511106</v>
      </c>
      <c r="AW20" s="437">
        <f t="shared" si="43"/>
        <v>18.782139034764221</v>
      </c>
      <c r="AX20" s="437">
        <f t="shared" si="43"/>
        <v>-119.93193873585662</v>
      </c>
      <c r="AY20" s="437">
        <f t="shared" si="43"/>
        <v>114.69187121820545</v>
      </c>
      <c r="AZ20" s="438">
        <f t="shared" si="43"/>
        <v>-22.963285944013201</v>
      </c>
      <c r="BA20" s="437">
        <f t="shared" si="43"/>
        <v>-65.519269242015895</v>
      </c>
      <c r="BB20" s="437">
        <f t="shared" si="43"/>
        <v>-122.22213885939969</v>
      </c>
      <c r="BC20" s="437">
        <f t="shared" ref="BC20:CH20" si="44">(BC18-AX18)*10000</f>
        <v>16.274128656028065</v>
      </c>
      <c r="BD20" s="437">
        <f t="shared" si="44"/>
        <v>261.13984300858482</v>
      </c>
      <c r="BE20" s="438">
        <f t="shared" si="44"/>
        <v>60.141074132534776</v>
      </c>
      <c r="BF20" s="437">
        <f t="shared" si="44"/>
        <v>280.1378052296044</v>
      </c>
      <c r="BG20" s="437">
        <f t="shared" si="44"/>
        <v>146.56808911649333</v>
      </c>
      <c r="BH20" s="437">
        <f t="shared" si="44"/>
        <v>41.656456750796544</v>
      </c>
      <c r="BI20" s="437">
        <f t="shared" si="44"/>
        <v>-223.61999842819003</v>
      </c>
      <c r="BJ20" s="438">
        <f t="shared" si="44"/>
        <v>16.05240712008127</v>
      </c>
      <c r="BK20" s="437">
        <f t="shared" si="44"/>
        <v>-106.97947582577694</v>
      </c>
      <c r="BL20" s="437">
        <f t="shared" si="44"/>
        <v>-41.264757253354766</v>
      </c>
      <c r="BM20" s="437">
        <f t="shared" si="44"/>
        <v>88.182110385243149</v>
      </c>
      <c r="BN20" s="437">
        <f t="shared" si="44"/>
        <v>-144.19894608947436</v>
      </c>
      <c r="BO20" s="438">
        <f t="shared" si="44"/>
        <v>-46.001887458739787</v>
      </c>
      <c r="BP20" s="437">
        <f t="shared" si="44"/>
        <v>17.826276970612231</v>
      </c>
      <c r="BQ20" s="437">
        <f t="shared" si="44"/>
        <v>11.783578522384651</v>
      </c>
      <c r="BR20" s="437">
        <f t="shared" si="44"/>
        <v>-114.53072186533852</v>
      </c>
      <c r="BS20" s="437">
        <f t="shared" si="44"/>
        <v>58.638499914758228</v>
      </c>
      <c r="BT20" s="438">
        <f t="shared" si="44"/>
        <v>-8.4439419208970357</v>
      </c>
      <c r="BU20" s="437">
        <f>(BU18-BP18)*10000</f>
        <v>-19.60701140880483</v>
      </c>
      <c r="BV20" s="437">
        <f>(BV18-BQ18)*10000</f>
        <v>62.480457857975736</v>
      </c>
      <c r="BW20" s="437">
        <f>(BW18-BR18)*10000</f>
        <v>97.598195354227641</v>
      </c>
      <c r="BX20" s="437">
        <f>(BX18-BS18)*10000</f>
        <v>18.079876506614244</v>
      </c>
      <c r="BY20" s="438">
        <f>(BY18-BT18)*10000</f>
        <v>41.791646221654986</v>
      </c>
      <c r="BZ20" s="437">
        <f t="shared" si="44"/>
        <v>54.362199788715593</v>
      </c>
      <c r="CA20" s="437">
        <f t="shared" si="44"/>
        <v>-21.522837279085994</v>
      </c>
      <c r="CB20" s="437">
        <f t="shared" si="44"/>
        <v>-55.410027865758217</v>
      </c>
      <c r="CC20" s="437">
        <f t="shared" si="44"/>
        <v>7.6097168368388646</v>
      </c>
      <c r="CD20" s="438">
        <f>(CD18-BY18)*10000</f>
        <v>-7.5992518790518604</v>
      </c>
      <c r="CE20" s="437">
        <f>(CE18-BZ18)*10000</f>
        <v>-175.34721237573658</v>
      </c>
      <c r="CF20" s="437">
        <f>(CF18-CA18)*10000</f>
        <v>-73.541833583233853</v>
      </c>
      <c r="CG20" s="437">
        <f t="shared" si="44"/>
        <v>80.843908189445756</v>
      </c>
      <c r="CH20" s="437">
        <f t="shared" si="44"/>
        <v>-117.96181909045467</v>
      </c>
      <c r="CI20" s="438">
        <f>(CI18-CD18)*10000</f>
        <v>-69.49044598029252</v>
      </c>
      <c r="CJ20" s="437">
        <f t="shared" ref="CJ20:DC20" si="45">(CJ18-CE18)*10000</f>
        <v>12.523383193482896</v>
      </c>
      <c r="CK20" s="437">
        <f t="shared" si="45"/>
        <v>-133.03543836097055</v>
      </c>
      <c r="CL20" s="437">
        <f t="shared" si="45"/>
        <v>-181.40106777711273</v>
      </c>
      <c r="CM20" s="437">
        <f t="shared" si="45"/>
        <v>-31.224631860776174</v>
      </c>
      <c r="CN20" s="438">
        <f t="shared" si="45"/>
        <v>-88.112207614091659</v>
      </c>
      <c r="CO20" s="437">
        <f t="shared" si="45"/>
        <v>-326.01588085971798</v>
      </c>
      <c r="CP20" s="437">
        <f t="shared" si="45"/>
        <v>33.79463529666171</v>
      </c>
      <c r="CQ20" s="437">
        <f t="shared" si="45"/>
        <v>-113.31861915034824</v>
      </c>
      <c r="CR20" s="437">
        <f t="shared" si="45"/>
        <v>-67.933528338288696</v>
      </c>
      <c r="CS20" s="438">
        <f t="shared" si="45"/>
        <v>-110.74669741077847</v>
      </c>
      <c r="CT20" s="437">
        <f t="shared" si="45"/>
        <v>-47.236205796679087</v>
      </c>
      <c r="CU20" s="437">
        <f t="shared" si="45"/>
        <v>-46.795876690293724</v>
      </c>
      <c r="CV20" s="437">
        <f t="shared" si="45"/>
        <v>-47.478146738202383</v>
      </c>
      <c r="CW20" s="437">
        <f t="shared" si="45"/>
        <v>-48.189573771425522</v>
      </c>
      <c r="CX20" s="438">
        <f t="shared" si="45"/>
        <v>-47.104950223537671</v>
      </c>
      <c r="CY20" s="437">
        <f t="shared" si="45"/>
        <v>-67.290442266572654</v>
      </c>
      <c r="CZ20" s="437">
        <f t="shared" si="45"/>
        <v>-61.128494135938013</v>
      </c>
      <c r="DA20" s="437">
        <f t="shared" si="45"/>
        <v>-61.731924641649783</v>
      </c>
      <c r="DB20" s="437">
        <f t="shared" si="45"/>
        <v>-61.610596197307352</v>
      </c>
      <c r="DC20" s="438">
        <f t="shared" si="45"/>
        <v>-62.678333309427735</v>
      </c>
      <c r="DD20" s="437">
        <f t="shared" ref="DD20:DM20" si="46">(DD18-CY18)*10000</f>
        <v>-78.344626932991275</v>
      </c>
      <c r="DE20" s="437">
        <f t="shared" si="46"/>
        <v>-72.110389988608304</v>
      </c>
      <c r="DF20" s="437">
        <f t="shared" si="46"/>
        <v>-71.741513869230118</v>
      </c>
      <c r="DG20" s="437">
        <f t="shared" si="46"/>
        <v>-70.962738350024424</v>
      </c>
      <c r="DH20" s="438">
        <f t="shared" si="46"/>
        <v>-73.022758213927005</v>
      </c>
      <c r="DI20" s="437">
        <f>(DI18-DD18)*10000</f>
        <v>-73.771478351027369</v>
      </c>
      <c r="DJ20" s="437">
        <f>(DJ18-DE18)*10000</f>
        <v>-68.637260751896463</v>
      </c>
      <c r="DK20" s="437">
        <f>(DK18-DF18)*10000</f>
        <v>-67.898536030803754</v>
      </c>
      <c r="DL20" s="437">
        <f>(DL18-DG18)*10000</f>
        <v>-66.85365485825379</v>
      </c>
      <c r="DM20" s="438">
        <f t="shared" si="46"/>
        <v>-69.082802555918704</v>
      </c>
      <c r="DN20" s="207"/>
    </row>
    <row r="21" spans="1:118" ht="16.5" customHeight="1" x14ac:dyDescent="0.25">
      <c r="A21" s="418"/>
      <c r="B21" s="435"/>
      <c r="C21" s="437"/>
      <c r="D21" s="437"/>
      <c r="E21" s="437"/>
      <c r="F21" s="437"/>
      <c r="G21" s="438"/>
      <c r="H21" s="437"/>
      <c r="I21" s="437"/>
      <c r="J21" s="437"/>
      <c r="K21" s="437"/>
      <c r="L21" s="438"/>
      <c r="M21" s="437"/>
      <c r="N21" s="437"/>
      <c r="O21" s="437"/>
      <c r="P21" s="437"/>
      <c r="Q21" s="438"/>
      <c r="R21" s="437"/>
      <c r="S21" s="437"/>
      <c r="T21" s="437"/>
      <c r="U21" s="437"/>
      <c r="V21" s="438"/>
      <c r="W21" s="437"/>
      <c r="X21" s="437"/>
      <c r="Y21" s="437"/>
      <c r="Z21" s="437"/>
      <c r="AA21" s="438"/>
      <c r="AB21" s="437"/>
      <c r="AC21" s="437"/>
      <c r="AD21" s="437"/>
      <c r="AE21" s="437"/>
      <c r="AF21" s="438"/>
      <c r="AG21" s="437"/>
      <c r="AH21" s="437"/>
      <c r="AI21" s="437"/>
      <c r="AJ21" s="437"/>
      <c r="AK21" s="438"/>
      <c r="AL21" s="437"/>
      <c r="AM21" s="437"/>
      <c r="AN21" s="437"/>
      <c r="AO21" s="437"/>
      <c r="AP21" s="438"/>
      <c r="AQ21" s="437"/>
      <c r="AR21" s="437"/>
      <c r="AS21" s="437"/>
      <c r="AT21" s="437"/>
      <c r="AU21" s="438"/>
      <c r="AV21" s="423"/>
      <c r="AW21" s="437"/>
      <c r="AX21" s="437"/>
      <c r="AY21" s="467"/>
      <c r="AZ21" s="438"/>
      <c r="BA21" s="437"/>
      <c r="BB21" s="437"/>
      <c r="BC21" s="468"/>
      <c r="BD21" s="461"/>
      <c r="BE21" s="469"/>
      <c r="BF21" s="470"/>
      <c r="BG21" s="470"/>
      <c r="BH21" s="470"/>
      <c r="BI21" s="470"/>
      <c r="BJ21" s="469"/>
      <c r="BK21" s="452"/>
      <c r="BL21" s="426"/>
      <c r="BM21" s="452"/>
      <c r="BN21" s="452"/>
      <c r="BO21" s="427"/>
      <c r="BP21" s="452"/>
      <c r="BQ21" s="471"/>
      <c r="BR21" s="471"/>
      <c r="BS21" s="471"/>
      <c r="BT21" s="428"/>
      <c r="BU21" s="453"/>
      <c r="BV21" s="453"/>
      <c r="BW21" s="453"/>
      <c r="BX21" s="453"/>
      <c r="BY21" s="428"/>
      <c r="BZ21" s="542"/>
      <c r="CA21" s="542"/>
      <c r="CB21" s="542"/>
      <c r="CC21" s="697"/>
      <c r="CD21" s="472"/>
      <c r="CE21" s="663"/>
      <c r="CF21" s="663"/>
      <c r="CG21" s="663"/>
      <c r="CH21" s="663"/>
      <c r="CI21" s="664"/>
      <c r="CJ21" s="663"/>
      <c r="CK21" s="663"/>
      <c r="CL21" s="663"/>
      <c r="CM21" s="663"/>
      <c r="CN21" s="664"/>
      <c r="CO21" s="663"/>
      <c r="CP21" s="663"/>
      <c r="CQ21" s="663"/>
      <c r="CR21" s="663"/>
      <c r="CS21" s="664"/>
      <c r="CT21" s="663"/>
      <c r="CU21" s="663"/>
      <c r="CV21" s="663"/>
      <c r="CW21" s="663"/>
      <c r="CX21" s="664"/>
      <c r="CY21" s="663"/>
      <c r="CZ21" s="663"/>
      <c r="DA21" s="663"/>
      <c r="DB21" s="663"/>
      <c r="DC21" s="664"/>
      <c r="DD21" s="663"/>
      <c r="DE21" s="663"/>
      <c r="DF21" s="663"/>
      <c r="DG21" s="663"/>
      <c r="DH21" s="664"/>
      <c r="DI21" s="663"/>
      <c r="DJ21" s="663"/>
      <c r="DK21" s="663"/>
      <c r="DL21" s="663"/>
      <c r="DM21" s="664"/>
      <c r="DN21" s="207"/>
    </row>
    <row r="22" spans="1:118" ht="14.25" hidden="1" customHeight="1" outlineLevel="1" x14ac:dyDescent="0.25">
      <c r="A22" s="418" t="s">
        <v>223</v>
      </c>
      <c r="B22" s="435"/>
      <c r="C22" s="419"/>
      <c r="D22" s="419"/>
      <c r="E22" s="437"/>
      <c r="F22" s="437"/>
      <c r="G22" s="427"/>
      <c r="H22" s="419"/>
      <c r="I22" s="419"/>
      <c r="J22" s="437"/>
      <c r="K22" s="437"/>
      <c r="L22" s="427"/>
      <c r="M22" s="419"/>
      <c r="N22" s="419"/>
      <c r="O22" s="437"/>
      <c r="P22" s="437"/>
      <c r="Q22" s="427"/>
      <c r="R22" s="419"/>
      <c r="S22" s="419"/>
      <c r="T22" s="437"/>
      <c r="U22" s="437"/>
      <c r="V22" s="427"/>
      <c r="W22" s="419"/>
      <c r="X22" s="419"/>
      <c r="Y22" s="437"/>
      <c r="Z22" s="437"/>
      <c r="AA22" s="427"/>
      <c r="AB22" s="419"/>
      <c r="AC22" s="419"/>
      <c r="AD22" s="437"/>
      <c r="AE22" s="437"/>
      <c r="AF22" s="427"/>
      <c r="AG22" s="419"/>
      <c r="AH22" s="419"/>
      <c r="AI22" s="437"/>
      <c r="AJ22" s="437"/>
      <c r="AK22" s="427"/>
      <c r="AL22" s="419"/>
      <c r="AM22" s="419"/>
      <c r="AN22" s="437"/>
      <c r="AO22" s="437"/>
      <c r="AP22" s="427"/>
      <c r="AQ22" s="419"/>
      <c r="AR22" s="419"/>
      <c r="AS22" s="437"/>
      <c r="AT22" s="437"/>
      <c r="AU22" s="427"/>
      <c r="AV22" s="419"/>
      <c r="AW22" s="419"/>
      <c r="AX22" s="437"/>
      <c r="AY22" s="437"/>
      <c r="AZ22" s="427"/>
      <c r="BA22" s="419"/>
      <c r="BB22" s="419"/>
      <c r="BC22" s="468"/>
      <c r="BD22" s="455"/>
      <c r="BE22" s="442"/>
      <c r="BF22" s="455"/>
      <c r="BG22" s="441"/>
      <c r="BH22" s="468"/>
      <c r="BI22" s="455"/>
      <c r="BJ22" s="442"/>
      <c r="BK22" s="441"/>
      <c r="BL22" s="468"/>
      <c r="BM22" s="441"/>
      <c r="BN22" s="455"/>
      <c r="BO22" s="442"/>
      <c r="BP22" s="441"/>
      <c r="BQ22" s="441"/>
      <c r="BR22" s="441"/>
      <c r="BS22" s="455"/>
      <c r="BT22" s="442"/>
      <c r="BU22" s="441"/>
      <c r="BV22" s="441"/>
      <c r="BW22" s="441"/>
      <c r="BX22" s="455"/>
      <c r="BY22" s="442"/>
      <c r="BZ22" s="441"/>
      <c r="CA22" s="441"/>
      <c r="CB22" s="441"/>
      <c r="CC22" s="441"/>
      <c r="CD22" s="442"/>
      <c r="CE22" s="441"/>
      <c r="CF22" s="441"/>
      <c r="CG22" s="441"/>
      <c r="CH22" s="455"/>
      <c r="CI22" s="442"/>
      <c r="CJ22" s="441"/>
      <c r="CK22" s="441"/>
      <c r="CL22" s="441"/>
      <c r="CM22" s="455"/>
      <c r="CN22" s="442"/>
      <c r="CO22" s="441"/>
      <c r="CP22" s="441"/>
      <c r="CQ22" s="441"/>
      <c r="CR22" s="455"/>
      <c r="CS22" s="442"/>
      <c r="CT22" s="441"/>
      <c r="CU22" s="441"/>
      <c r="CV22" s="441"/>
      <c r="CW22" s="455"/>
      <c r="CX22" s="442"/>
      <c r="CY22" s="441"/>
      <c r="CZ22" s="441"/>
      <c r="DA22" s="441"/>
      <c r="DB22" s="455"/>
      <c r="DC22" s="442"/>
      <c r="DD22" s="441"/>
      <c r="DE22" s="441"/>
      <c r="DF22" s="441"/>
      <c r="DG22" s="455"/>
      <c r="DH22" s="442"/>
      <c r="DI22" s="441"/>
      <c r="DJ22" s="441"/>
      <c r="DK22" s="441"/>
      <c r="DL22" s="455"/>
      <c r="DM22" s="442"/>
      <c r="DN22" s="207"/>
    </row>
    <row r="23" spans="1:118" ht="14.25" hidden="1" customHeight="1" outlineLevel="1" x14ac:dyDescent="0.25">
      <c r="A23" s="418" t="s">
        <v>222</v>
      </c>
      <c r="B23" s="435"/>
      <c r="C23" s="419"/>
      <c r="D23" s="419"/>
      <c r="E23" s="419"/>
      <c r="F23" s="419"/>
      <c r="G23" s="420"/>
      <c r="H23" s="419"/>
      <c r="I23" s="419"/>
      <c r="J23" s="419"/>
      <c r="K23" s="419"/>
      <c r="L23" s="420"/>
      <c r="M23" s="419"/>
      <c r="N23" s="419"/>
      <c r="O23" s="419"/>
      <c r="P23" s="419"/>
      <c r="Q23" s="420"/>
      <c r="R23" s="419"/>
      <c r="S23" s="419"/>
      <c r="T23" s="419"/>
      <c r="U23" s="419"/>
      <c r="V23" s="420"/>
      <c r="W23" s="419">
        <v>-1248</v>
      </c>
      <c r="X23" s="419">
        <v>-1371</v>
      </c>
      <c r="Y23" s="419">
        <v>-1392</v>
      </c>
      <c r="Z23" s="419">
        <f>-5196-Y23-X23-W23</f>
        <v>-1185</v>
      </c>
      <c r="AA23" s="420">
        <f>SUM(W23:Z23)</f>
        <v>-5196</v>
      </c>
      <c r="AB23" s="419">
        <v>-1382</v>
      </c>
      <c r="AC23" s="419">
        <v>-1535</v>
      </c>
      <c r="AD23" s="419">
        <v>-1612</v>
      </c>
      <c r="AE23" s="419">
        <f>-5928-AD23-AC23-AB23</f>
        <v>-1399</v>
      </c>
      <c r="AF23" s="420">
        <f>SUM(AB23:AE23)</f>
        <v>-5928</v>
      </c>
      <c r="AG23" s="419">
        <f>-3087-AH23</f>
        <v>-1412</v>
      </c>
      <c r="AH23" s="419">
        <v>-1675</v>
      </c>
      <c r="AI23" s="419">
        <v>-1785</v>
      </c>
      <c r="AJ23" s="419">
        <f>-6447-AI23-AH23-AG23</f>
        <v>-1575</v>
      </c>
      <c r="AK23" s="420">
        <f>SUM(AG23:AJ23)</f>
        <v>-6447</v>
      </c>
      <c r="AL23" s="419">
        <v>-1611</v>
      </c>
      <c r="AM23" s="419">
        <v>-1952</v>
      </c>
      <c r="AN23" s="419">
        <v>-2131</v>
      </c>
      <c r="AO23" s="419">
        <f>-7803-AN23-AM23-AL23</f>
        <v>-2109</v>
      </c>
      <c r="AP23" s="420">
        <f>SUM(AL23:AO23)</f>
        <v>-7803</v>
      </c>
      <c r="AQ23" s="419">
        <v>-2054</v>
      </c>
      <c r="AR23" s="419">
        <v>-2373</v>
      </c>
      <c r="AS23" s="419">
        <v>-2404</v>
      </c>
      <c r="AT23" s="419">
        <f>-8774-AS23-AR23-AQ23</f>
        <v>-1943</v>
      </c>
      <c r="AU23" s="420">
        <f>SUM(AQ23:AT23)</f>
        <v>-8774</v>
      </c>
      <c r="AV23" s="419">
        <f>-3991-AW23</f>
        <v>-1887</v>
      </c>
      <c r="AW23" s="419">
        <v>-2104</v>
      </c>
      <c r="AX23" s="419">
        <v>-2182</v>
      </c>
      <c r="AY23" s="419">
        <f>-(5433+2791)-SUM(AV23:AX23)</f>
        <v>-2051</v>
      </c>
      <c r="AZ23" s="420">
        <f>SUM(AV23:AY23)</f>
        <v>-8224</v>
      </c>
      <c r="BA23" s="419">
        <f>-4119-BB23</f>
        <v>-1973</v>
      </c>
      <c r="BB23" s="419">
        <v>-2146</v>
      </c>
      <c r="BC23" s="419">
        <v>-2297</v>
      </c>
      <c r="BD23" s="455" t="s">
        <v>169</v>
      </c>
      <c r="BE23" s="420" t="s">
        <v>169</v>
      </c>
      <c r="BF23" s="455"/>
      <c r="BG23" s="441"/>
      <c r="BH23" s="468"/>
      <c r="BI23" s="455"/>
      <c r="BJ23" s="442"/>
      <c r="BK23" s="441"/>
      <c r="BL23" s="468"/>
      <c r="BM23" s="441"/>
      <c r="BN23" s="455"/>
      <c r="BO23" s="442"/>
      <c r="BP23" s="441"/>
      <c r="BQ23" s="441"/>
      <c r="BR23" s="441"/>
      <c r="BS23" s="455"/>
      <c r="BT23" s="442"/>
      <c r="BU23" s="441"/>
      <c r="BV23" s="441"/>
      <c r="BW23" s="441"/>
      <c r="BX23" s="455"/>
      <c r="BY23" s="442"/>
      <c r="BZ23" s="441"/>
      <c r="CA23" s="441"/>
      <c r="CB23" s="441"/>
      <c r="CC23" s="441"/>
      <c r="CD23" s="442"/>
      <c r="CE23" s="441"/>
      <c r="CF23" s="441"/>
      <c r="CG23" s="441"/>
      <c r="CH23" s="455"/>
      <c r="CI23" s="442"/>
      <c r="CJ23" s="441"/>
      <c r="CK23" s="441"/>
      <c r="CL23" s="441"/>
      <c r="CM23" s="455"/>
      <c r="CN23" s="442"/>
      <c r="CO23" s="441"/>
      <c r="CP23" s="441"/>
      <c r="CQ23" s="441"/>
      <c r="CR23" s="455"/>
      <c r="CS23" s="442"/>
      <c r="CT23" s="441"/>
      <c r="CU23" s="441"/>
      <c r="CV23" s="441"/>
      <c r="CW23" s="455"/>
      <c r="CX23" s="442"/>
      <c r="CY23" s="441"/>
      <c r="CZ23" s="441"/>
      <c r="DA23" s="441"/>
      <c r="DB23" s="455"/>
      <c r="DC23" s="442"/>
      <c r="DD23" s="441"/>
      <c r="DE23" s="441"/>
      <c r="DF23" s="441"/>
      <c r="DG23" s="455"/>
      <c r="DH23" s="442"/>
      <c r="DI23" s="441"/>
      <c r="DJ23" s="441"/>
      <c r="DK23" s="441"/>
      <c r="DL23" s="455"/>
      <c r="DM23" s="442"/>
      <c r="DN23" s="207"/>
    </row>
    <row r="24" spans="1:118" ht="14.25" hidden="1" customHeight="1" outlineLevel="1" x14ac:dyDescent="0.2">
      <c r="A24" s="418"/>
      <c r="B24" s="454" t="s">
        <v>27</v>
      </c>
      <c r="C24" s="423"/>
      <c r="D24" s="423"/>
      <c r="E24" s="423"/>
      <c r="F24" s="423"/>
      <c r="G24" s="424"/>
      <c r="H24" s="423"/>
      <c r="I24" s="423"/>
      <c r="J24" s="423"/>
      <c r="K24" s="423"/>
      <c r="L24" s="424"/>
      <c r="M24" s="423"/>
      <c r="N24" s="423"/>
      <c r="O24" s="423"/>
      <c r="P24" s="423"/>
      <c r="Q24" s="424"/>
      <c r="R24" s="423"/>
      <c r="S24" s="423"/>
      <c r="T24" s="423"/>
      <c r="U24" s="423"/>
      <c r="V24" s="424"/>
      <c r="W24" s="423">
        <f t="shared" ref="W24:BC24" si="47">-W23/W5</f>
        <v>0.24821002386634844</v>
      </c>
      <c r="X24" s="423">
        <f t="shared" si="47"/>
        <v>0.23182279337166048</v>
      </c>
      <c r="Y24" s="423">
        <f t="shared" si="47"/>
        <v>0.24874910650464618</v>
      </c>
      <c r="Z24" s="423">
        <f t="shared" si="47"/>
        <v>0.22770945426594927</v>
      </c>
      <c r="AA24" s="424">
        <f t="shared" si="47"/>
        <v>0.23898445405206512</v>
      </c>
      <c r="AB24" s="423">
        <f t="shared" si="47"/>
        <v>0.26546292739147137</v>
      </c>
      <c r="AC24" s="423">
        <f t="shared" si="47"/>
        <v>0.24326465927099841</v>
      </c>
      <c r="AD24" s="423">
        <f t="shared" si="47"/>
        <v>0.2670200430677489</v>
      </c>
      <c r="AE24" s="423">
        <f t="shared" si="47"/>
        <v>0.25202666186272743</v>
      </c>
      <c r="AF24" s="424">
        <f t="shared" si="47"/>
        <v>0.25657894736842107</v>
      </c>
      <c r="AG24" s="423">
        <f t="shared" si="47"/>
        <v>0.27018752391886719</v>
      </c>
      <c r="AH24" s="423">
        <f t="shared" si="47"/>
        <v>0.25864731315626932</v>
      </c>
      <c r="AI24" s="423">
        <f t="shared" si="47"/>
        <v>0.27657266811279829</v>
      </c>
      <c r="AJ24" s="423">
        <f t="shared" si="47"/>
        <v>0.26550910316925153</v>
      </c>
      <c r="AK24" s="424">
        <f t="shared" si="47"/>
        <v>0.26764363998671536</v>
      </c>
      <c r="AL24" s="423">
        <f t="shared" si="47"/>
        <v>0.26396854006226445</v>
      </c>
      <c r="AM24" s="423">
        <f t="shared" si="47"/>
        <v>0.25242467347730507</v>
      </c>
      <c r="AN24" s="423">
        <f t="shared" si="47"/>
        <v>0.27711313394018205</v>
      </c>
      <c r="AO24" s="423">
        <f t="shared" si="47"/>
        <v>0.28768244441413177</v>
      </c>
      <c r="AP24" s="424">
        <f t="shared" si="47"/>
        <v>0.27040232872439962</v>
      </c>
      <c r="AQ24" s="423">
        <f t="shared" si="47"/>
        <v>0.27835750101639789</v>
      </c>
      <c r="AR24" s="423">
        <f t="shared" si="47"/>
        <v>0.26232588989608668</v>
      </c>
      <c r="AS24" s="423">
        <f t="shared" si="47"/>
        <v>0.28642916716311212</v>
      </c>
      <c r="AT24" s="423">
        <f t="shared" si="47"/>
        <v>0.27266348582655064</v>
      </c>
      <c r="AU24" s="424">
        <f t="shared" si="47"/>
        <v>0.27466816929626847</v>
      </c>
      <c r="AV24" s="423">
        <f t="shared" si="47"/>
        <v>0.26321662714465061</v>
      </c>
      <c r="AW24" s="423">
        <f t="shared" si="47"/>
        <v>0.25450586669892344</v>
      </c>
      <c r="AX24" s="423">
        <f t="shared" si="47"/>
        <v>0.27125808055693684</v>
      </c>
      <c r="AY24" s="423">
        <f t="shared" si="47"/>
        <v>0.27310252996005324</v>
      </c>
      <c r="AZ24" s="424">
        <f t="shared" si="47"/>
        <v>0.2653759277186189</v>
      </c>
      <c r="BA24" s="423">
        <f t="shared" si="47"/>
        <v>0.26219269102990034</v>
      </c>
      <c r="BB24" s="423">
        <f t="shared" si="47"/>
        <v>0.24740604104219507</v>
      </c>
      <c r="BC24" s="423">
        <f t="shared" si="47"/>
        <v>0.27260859245193447</v>
      </c>
      <c r="BD24" s="455" t="s">
        <v>169</v>
      </c>
      <c r="BE24" s="424" t="s">
        <v>169</v>
      </c>
      <c r="BF24" s="455"/>
      <c r="BG24" s="441"/>
      <c r="BH24" s="468"/>
      <c r="BI24" s="455"/>
      <c r="BJ24" s="442"/>
      <c r="BK24" s="441"/>
      <c r="BL24" s="468"/>
      <c r="BM24" s="441"/>
      <c r="BN24" s="455"/>
      <c r="BO24" s="442"/>
      <c r="BP24" s="441"/>
      <c r="BQ24" s="441"/>
      <c r="BR24" s="441"/>
      <c r="BS24" s="455"/>
      <c r="BT24" s="442"/>
      <c r="BU24" s="441"/>
      <c r="BV24" s="441"/>
      <c r="BW24" s="441"/>
      <c r="BX24" s="455"/>
      <c r="BY24" s="442"/>
      <c r="BZ24" s="441"/>
      <c r="CA24" s="441"/>
      <c r="CB24" s="441"/>
      <c r="CC24" s="441"/>
      <c r="CD24" s="442"/>
      <c r="CE24" s="441"/>
      <c r="CF24" s="441"/>
      <c r="CG24" s="441"/>
      <c r="CH24" s="455"/>
      <c r="CI24" s="442"/>
      <c r="CJ24" s="441"/>
      <c r="CK24" s="441"/>
      <c r="CL24" s="441"/>
      <c r="CM24" s="455"/>
      <c r="CN24" s="442"/>
      <c r="CO24" s="441"/>
      <c r="CP24" s="441"/>
      <c r="CQ24" s="441"/>
      <c r="CR24" s="455"/>
      <c r="CS24" s="442"/>
      <c r="CT24" s="441"/>
      <c r="CU24" s="441"/>
      <c r="CV24" s="441"/>
      <c r="CW24" s="455"/>
      <c r="CX24" s="442"/>
      <c r="CY24" s="441"/>
      <c r="CZ24" s="441"/>
      <c r="DA24" s="441"/>
      <c r="DB24" s="455"/>
      <c r="DC24" s="442"/>
      <c r="DD24" s="441"/>
      <c r="DE24" s="441"/>
      <c r="DF24" s="441"/>
      <c r="DG24" s="455"/>
      <c r="DH24" s="442"/>
      <c r="DI24" s="441"/>
      <c r="DJ24" s="441"/>
      <c r="DK24" s="441"/>
      <c r="DL24" s="455"/>
      <c r="DM24" s="442"/>
      <c r="DN24" s="207"/>
    </row>
    <row r="25" spans="1:118" ht="14.25" hidden="1" customHeight="1" outlineLevel="1" x14ac:dyDescent="0.2">
      <c r="A25" s="418"/>
      <c r="B25" s="454" t="s">
        <v>20</v>
      </c>
      <c r="C25" s="423"/>
      <c r="D25" s="423"/>
      <c r="E25" s="423"/>
      <c r="F25" s="423"/>
      <c r="G25" s="424"/>
      <c r="H25" s="423"/>
      <c r="I25" s="423"/>
      <c r="J25" s="423"/>
      <c r="K25" s="423"/>
      <c r="L25" s="424"/>
      <c r="M25" s="423"/>
      <c r="N25" s="423"/>
      <c r="O25" s="423"/>
      <c r="P25" s="423"/>
      <c r="Q25" s="424"/>
      <c r="R25" s="423"/>
      <c r="S25" s="423"/>
      <c r="T25" s="423"/>
      <c r="U25" s="423"/>
      <c r="V25" s="424"/>
      <c r="W25" s="423"/>
      <c r="X25" s="423"/>
      <c r="Y25" s="423"/>
      <c r="Z25" s="423"/>
      <c r="AA25" s="424"/>
      <c r="AB25" s="423">
        <f t="shared" ref="AB25:BC25" si="48">AB23/W23-1</f>
        <v>0.10737179487179493</v>
      </c>
      <c r="AC25" s="423">
        <f t="shared" si="48"/>
        <v>0.11962071480671033</v>
      </c>
      <c r="AD25" s="423">
        <f t="shared" si="48"/>
        <v>0.15804597701149414</v>
      </c>
      <c r="AE25" s="423">
        <f t="shared" si="48"/>
        <v>0.18059071729957799</v>
      </c>
      <c r="AF25" s="424">
        <f t="shared" si="48"/>
        <v>0.14087759815242484</v>
      </c>
      <c r="AG25" s="423">
        <f t="shared" si="48"/>
        <v>2.1707670043415339E-2</v>
      </c>
      <c r="AH25" s="423">
        <f t="shared" si="48"/>
        <v>9.1205211726384405E-2</v>
      </c>
      <c r="AI25" s="423">
        <f t="shared" si="48"/>
        <v>0.10732009925558317</v>
      </c>
      <c r="AJ25" s="423">
        <f t="shared" si="48"/>
        <v>0.12580414581844179</v>
      </c>
      <c r="AK25" s="424">
        <f t="shared" si="48"/>
        <v>8.7550607287449456E-2</v>
      </c>
      <c r="AL25" s="423">
        <f t="shared" si="48"/>
        <v>0.14093484419263458</v>
      </c>
      <c r="AM25" s="423">
        <f t="shared" si="48"/>
        <v>0.16537313432835821</v>
      </c>
      <c r="AN25" s="423">
        <f t="shared" si="48"/>
        <v>0.19383753501400558</v>
      </c>
      <c r="AO25" s="423">
        <f t="shared" si="48"/>
        <v>0.33904761904761904</v>
      </c>
      <c r="AP25" s="424">
        <f t="shared" si="48"/>
        <v>0.21033038622615163</v>
      </c>
      <c r="AQ25" s="423">
        <f t="shared" si="48"/>
        <v>0.2749844816883924</v>
      </c>
      <c r="AR25" s="423">
        <f t="shared" si="48"/>
        <v>0.21567622950819665</v>
      </c>
      <c r="AS25" s="423">
        <f t="shared" si="48"/>
        <v>0.12810886907555141</v>
      </c>
      <c r="AT25" s="423">
        <f t="shared" si="48"/>
        <v>-7.8710289236605058E-2</v>
      </c>
      <c r="AU25" s="424">
        <f t="shared" si="48"/>
        <v>0.12443931821094445</v>
      </c>
      <c r="AV25" s="423">
        <f t="shared" si="48"/>
        <v>-8.1304771178188906E-2</v>
      </c>
      <c r="AW25" s="423">
        <f t="shared" si="48"/>
        <v>-0.11335861778339651</v>
      </c>
      <c r="AX25" s="423">
        <f t="shared" si="48"/>
        <v>-9.2346089850249613E-2</v>
      </c>
      <c r="AY25" s="423">
        <f t="shared" si="48"/>
        <v>5.558414822439528E-2</v>
      </c>
      <c r="AZ25" s="424">
        <f t="shared" si="48"/>
        <v>-6.2685206291315243E-2</v>
      </c>
      <c r="BA25" s="423">
        <f t="shared" si="48"/>
        <v>4.5574986751457436E-2</v>
      </c>
      <c r="BB25" s="423">
        <f t="shared" si="48"/>
        <v>1.9961977186311763E-2</v>
      </c>
      <c r="BC25" s="423">
        <f t="shared" si="48"/>
        <v>5.270394133822176E-2</v>
      </c>
      <c r="BD25" s="455" t="s">
        <v>169</v>
      </c>
      <c r="BE25" s="424" t="s">
        <v>169</v>
      </c>
      <c r="BF25" s="455"/>
      <c r="BG25" s="441"/>
      <c r="BH25" s="468"/>
      <c r="BI25" s="455"/>
      <c r="BJ25" s="442"/>
      <c r="BK25" s="441"/>
      <c r="BL25" s="468"/>
      <c r="BM25" s="441"/>
      <c r="BN25" s="455"/>
      <c r="BO25" s="442"/>
      <c r="BP25" s="441"/>
      <c r="BQ25" s="441"/>
      <c r="BR25" s="441"/>
      <c r="BS25" s="455"/>
      <c r="BT25" s="442"/>
      <c r="BU25" s="441"/>
      <c r="BV25" s="441"/>
      <c r="BW25" s="441"/>
      <c r="BX25" s="455"/>
      <c r="BY25" s="442"/>
      <c r="BZ25" s="441"/>
      <c r="CA25" s="441"/>
      <c r="CB25" s="441"/>
      <c r="CC25" s="441"/>
      <c r="CD25" s="442"/>
      <c r="CE25" s="441"/>
      <c r="CF25" s="441"/>
      <c r="CG25" s="441"/>
      <c r="CH25" s="455"/>
      <c r="CI25" s="442"/>
      <c r="CJ25" s="441"/>
      <c r="CK25" s="441"/>
      <c r="CL25" s="441"/>
      <c r="CM25" s="455"/>
      <c r="CN25" s="442"/>
      <c r="CO25" s="441"/>
      <c r="CP25" s="441"/>
      <c r="CQ25" s="441"/>
      <c r="CR25" s="455"/>
      <c r="CS25" s="442"/>
      <c r="CT25" s="441"/>
      <c r="CU25" s="441"/>
      <c r="CV25" s="441"/>
      <c r="CW25" s="455"/>
      <c r="CX25" s="442"/>
      <c r="CY25" s="441"/>
      <c r="CZ25" s="441"/>
      <c r="DA25" s="441"/>
      <c r="DB25" s="455"/>
      <c r="DC25" s="442"/>
      <c r="DD25" s="441"/>
      <c r="DE25" s="441"/>
      <c r="DF25" s="441"/>
      <c r="DG25" s="455"/>
      <c r="DH25" s="442"/>
      <c r="DI25" s="441"/>
      <c r="DJ25" s="441"/>
      <c r="DK25" s="441"/>
      <c r="DL25" s="455"/>
      <c r="DM25" s="442"/>
      <c r="DN25" s="207"/>
    </row>
    <row r="26" spans="1:118" ht="14.25" hidden="1" customHeight="1" outlineLevel="1" x14ac:dyDescent="0.2">
      <c r="A26" s="418"/>
      <c r="B26" s="435" t="s">
        <v>26</v>
      </c>
      <c r="C26" s="437"/>
      <c r="D26" s="437"/>
      <c r="E26" s="437"/>
      <c r="F26" s="437"/>
      <c r="G26" s="438"/>
      <c r="H26" s="437"/>
      <c r="I26" s="437"/>
      <c r="J26" s="437"/>
      <c r="K26" s="437"/>
      <c r="L26" s="438"/>
      <c r="M26" s="437"/>
      <c r="N26" s="437"/>
      <c r="O26" s="437"/>
      <c r="P26" s="437"/>
      <c r="Q26" s="438"/>
      <c r="R26" s="437"/>
      <c r="S26" s="437"/>
      <c r="T26" s="437"/>
      <c r="U26" s="437"/>
      <c r="V26" s="438"/>
      <c r="W26" s="437"/>
      <c r="X26" s="437"/>
      <c r="Y26" s="437"/>
      <c r="Z26" s="437"/>
      <c r="AA26" s="438"/>
      <c r="AB26" s="437">
        <f t="shared" ref="AB26:BC26" si="49">(AB24-W24)*10000</f>
        <v>172.52903525122932</v>
      </c>
      <c r="AC26" s="437">
        <f t="shared" si="49"/>
        <v>114.41865899337932</v>
      </c>
      <c r="AD26" s="437">
        <f t="shared" si="49"/>
        <v>182.7093656310272</v>
      </c>
      <c r="AE26" s="437">
        <f t="shared" si="49"/>
        <v>243.17207596778161</v>
      </c>
      <c r="AF26" s="438">
        <f t="shared" si="49"/>
        <v>175.94493316355957</v>
      </c>
      <c r="AG26" s="437">
        <f t="shared" si="49"/>
        <v>47.245965273958191</v>
      </c>
      <c r="AH26" s="437">
        <f t="shared" si="49"/>
        <v>153.82653885270909</v>
      </c>
      <c r="AI26" s="437">
        <f t="shared" si="49"/>
        <v>95.526250450493905</v>
      </c>
      <c r="AJ26" s="437">
        <f t="shared" si="49"/>
        <v>134.82441306524095</v>
      </c>
      <c r="AK26" s="438">
        <f t="shared" si="49"/>
        <v>110.64692618294292</v>
      </c>
      <c r="AL26" s="437">
        <f t="shared" si="49"/>
        <v>-62.189838566027447</v>
      </c>
      <c r="AM26" s="437">
        <f t="shared" si="49"/>
        <v>-62.226396789642479</v>
      </c>
      <c r="AN26" s="437">
        <f t="shared" si="49"/>
        <v>5.4046582738376259</v>
      </c>
      <c r="AO26" s="437">
        <f t="shared" si="49"/>
        <v>221.7334124488024</v>
      </c>
      <c r="AP26" s="438">
        <f t="shared" si="49"/>
        <v>27.586887376842562</v>
      </c>
      <c r="AQ26" s="437">
        <f t="shared" si="49"/>
        <v>143.88960954133444</v>
      </c>
      <c r="AR26" s="437">
        <f t="shared" si="49"/>
        <v>99.012164187816111</v>
      </c>
      <c r="AS26" s="437">
        <f t="shared" si="49"/>
        <v>93.16033222930065</v>
      </c>
      <c r="AT26" s="437">
        <f t="shared" si="49"/>
        <v>-150.18958587581122</v>
      </c>
      <c r="AU26" s="438">
        <f t="shared" si="49"/>
        <v>42.658405718688506</v>
      </c>
      <c r="AV26" s="437">
        <f t="shared" si="49"/>
        <v>-151.40873871747286</v>
      </c>
      <c r="AW26" s="437">
        <f t="shared" si="49"/>
        <v>-78.200231971632391</v>
      </c>
      <c r="AX26" s="437">
        <f t="shared" si="49"/>
        <v>-151.71086606175277</v>
      </c>
      <c r="AY26" s="437">
        <f t="shared" si="49"/>
        <v>4.3904413350259741</v>
      </c>
      <c r="AZ26" s="438">
        <f t="shared" si="49"/>
        <v>-92.92241577649574</v>
      </c>
      <c r="BA26" s="437">
        <f t="shared" si="49"/>
        <v>-10.239361147502679</v>
      </c>
      <c r="BB26" s="437">
        <f t="shared" si="49"/>
        <v>-70.998256567283704</v>
      </c>
      <c r="BC26" s="437">
        <f t="shared" si="49"/>
        <v>13.505118949976303</v>
      </c>
      <c r="BD26" s="455" t="s">
        <v>169</v>
      </c>
      <c r="BE26" s="438" t="s">
        <v>169</v>
      </c>
      <c r="BF26" s="455"/>
      <c r="BG26" s="441"/>
      <c r="BH26" s="468"/>
      <c r="BI26" s="455"/>
      <c r="BJ26" s="442"/>
      <c r="BK26" s="441"/>
      <c r="BL26" s="468"/>
      <c r="BM26" s="441"/>
      <c r="BN26" s="455"/>
      <c r="BO26" s="442"/>
      <c r="BP26" s="441"/>
      <c r="BQ26" s="441"/>
      <c r="BR26" s="441"/>
      <c r="BS26" s="455"/>
      <c r="BT26" s="442"/>
      <c r="BU26" s="441"/>
      <c r="BV26" s="441"/>
      <c r="BW26" s="441"/>
      <c r="BX26" s="455"/>
      <c r="BY26" s="442"/>
      <c r="BZ26" s="441"/>
      <c r="CA26" s="441"/>
      <c r="CB26" s="441"/>
      <c r="CC26" s="441"/>
      <c r="CD26" s="442"/>
      <c r="CE26" s="441"/>
      <c r="CF26" s="441"/>
      <c r="CG26" s="441"/>
      <c r="CH26" s="455"/>
      <c r="CI26" s="442"/>
      <c r="CJ26" s="441"/>
      <c r="CK26" s="441"/>
      <c r="CL26" s="441"/>
      <c r="CM26" s="455"/>
      <c r="CN26" s="442"/>
      <c r="CO26" s="441"/>
      <c r="CP26" s="441"/>
      <c r="CQ26" s="441"/>
      <c r="CR26" s="455"/>
      <c r="CS26" s="442"/>
      <c r="CT26" s="441"/>
      <c r="CU26" s="441"/>
      <c r="CV26" s="441"/>
      <c r="CW26" s="455"/>
      <c r="CX26" s="442"/>
      <c r="CY26" s="441"/>
      <c r="CZ26" s="441"/>
      <c r="DA26" s="441"/>
      <c r="DB26" s="455"/>
      <c r="DC26" s="442"/>
      <c r="DD26" s="441"/>
      <c r="DE26" s="441"/>
      <c r="DF26" s="441"/>
      <c r="DG26" s="455"/>
      <c r="DH26" s="442"/>
      <c r="DI26" s="441"/>
      <c r="DJ26" s="441"/>
      <c r="DK26" s="441"/>
      <c r="DL26" s="455"/>
      <c r="DM26" s="442"/>
      <c r="DN26" s="207"/>
    </row>
    <row r="27" spans="1:118" ht="14.25" hidden="1" customHeight="1" outlineLevel="1" x14ac:dyDescent="0.2">
      <c r="A27" s="418"/>
      <c r="B27" s="435"/>
      <c r="C27" s="437"/>
      <c r="D27" s="437"/>
      <c r="E27" s="437"/>
      <c r="F27" s="437"/>
      <c r="G27" s="473"/>
      <c r="H27" s="437"/>
      <c r="I27" s="437"/>
      <c r="J27" s="437"/>
      <c r="K27" s="437"/>
      <c r="L27" s="473"/>
      <c r="M27" s="437"/>
      <c r="N27" s="437"/>
      <c r="O27" s="437"/>
      <c r="P27" s="437"/>
      <c r="Q27" s="473"/>
      <c r="R27" s="437"/>
      <c r="S27" s="437"/>
      <c r="T27" s="437"/>
      <c r="U27" s="437"/>
      <c r="V27" s="473"/>
      <c r="W27" s="437"/>
      <c r="X27" s="437"/>
      <c r="Y27" s="437"/>
      <c r="Z27" s="437"/>
      <c r="AA27" s="473"/>
      <c r="AB27" s="437"/>
      <c r="AC27" s="437"/>
      <c r="AD27" s="437"/>
      <c r="AE27" s="437"/>
      <c r="AF27" s="473"/>
      <c r="AG27" s="437"/>
      <c r="AH27" s="437"/>
      <c r="AI27" s="437"/>
      <c r="AJ27" s="437"/>
      <c r="AK27" s="473"/>
      <c r="AL27" s="437"/>
      <c r="AM27" s="437"/>
      <c r="AN27" s="437"/>
      <c r="AO27" s="437"/>
      <c r="AP27" s="473"/>
      <c r="AQ27" s="437"/>
      <c r="AR27" s="437"/>
      <c r="AS27" s="437"/>
      <c r="AT27" s="437"/>
      <c r="AU27" s="473"/>
      <c r="AV27" s="437"/>
      <c r="AW27" s="437"/>
      <c r="AX27" s="437"/>
      <c r="AY27" s="437"/>
      <c r="AZ27" s="473"/>
      <c r="BA27" s="437"/>
      <c r="BB27" s="437"/>
      <c r="BC27" s="437"/>
      <c r="BD27" s="455"/>
      <c r="BE27" s="473"/>
      <c r="BF27" s="455"/>
      <c r="BG27" s="441"/>
      <c r="BH27" s="468"/>
      <c r="BI27" s="455"/>
      <c r="BJ27" s="442"/>
      <c r="BK27" s="441"/>
      <c r="BL27" s="468"/>
      <c r="BM27" s="441"/>
      <c r="BN27" s="455"/>
      <c r="BO27" s="442"/>
      <c r="BP27" s="441"/>
      <c r="BQ27" s="441"/>
      <c r="BR27" s="441"/>
      <c r="BS27" s="455"/>
      <c r="BT27" s="442"/>
      <c r="BU27" s="441"/>
      <c r="BV27" s="441"/>
      <c r="BW27" s="441"/>
      <c r="BX27" s="455"/>
      <c r="BY27" s="442"/>
      <c r="BZ27" s="441"/>
      <c r="CA27" s="441"/>
      <c r="CB27" s="441"/>
      <c r="CC27" s="441"/>
      <c r="CD27" s="442"/>
      <c r="CE27" s="441"/>
      <c r="CF27" s="441"/>
      <c r="CG27" s="441"/>
      <c r="CH27" s="455"/>
      <c r="CI27" s="442"/>
      <c r="CJ27" s="441"/>
      <c r="CK27" s="441"/>
      <c r="CL27" s="441"/>
      <c r="CM27" s="455"/>
      <c r="CN27" s="442"/>
      <c r="CO27" s="441"/>
      <c r="CP27" s="441"/>
      <c r="CQ27" s="441"/>
      <c r="CR27" s="455"/>
      <c r="CS27" s="442"/>
      <c r="CT27" s="441"/>
      <c r="CU27" s="441"/>
      <c r="CV27" s="441"/>
      <c r="CW27" s="455"/>
      <c r="CX27" s="442"/>
      <c r="CY27" s="441"/>
      <c r="CZ27" s="441"/>
      <c r="DA27" s="441"/>
      <c r="DB27" s="455"/>
      <c r="DC27" s="442"/>
      <c r="DD27" s="441"/>
      <c r="DE27" s="441"/>
      <c r="DF27" s="441"/>
      <c r="DG27" s="455"/>
      <c r="DH27" s="442"/>
      <c r="DI27" s="441"/>
      <c r="DJ27" s="441"/>
      <c r="DK27" s="441"/>
      <c r="DL27" s="455"/>
      <c r="DM27" s="442"/>
      <c r="DN27" s="207"/>
    </row>
    <row r="28" spans="1:118" ht="14.25" hidden="1" customHeight="1" outlineLevel="1" x14ac:dyDescent="0.25">
      <c r="A28" s="418" t="s">
        <v>155</v>
      </c>
      <c r="B28" s="435"/>
      <c r="C28" s="437"/>
      <c r="D28" s="437"/>
      <c r="E28" s="437"/>
      <c r="F28" s="437"/>
      <c r="G28" s="420"/>
      <c r="H28" s="437"/>
      <c r="I28" s="437"/>
      <c r="J28" s="437"/>
      <c r="K28" s="437"/>
      <c r="L28" s="420"/>
      <c r="M28" s="437"/>
      <c r="N28" s="437"/>
      <c r="O28" s="437"/>
      <c r="P28" s="437"/>
      <c r="Q28" s="420"/>
      <c r="R28" s="437"/>
      <c r="S28" s="437"/>
      <c r="T28" s="437"/>
      <c r="U28" s="437"/>
      <c r="V28" s="420"/>
      <c r="W28" s="437"/>
      <c r="X28" s="437"/>
      <c r="Y28" s="437"/>
      <c r="Z28" s="437"/>
      <c r="AA28" s="420">
        <f>AA23-AA34</f>
        <v>-3031</v>
      </c>
      <c r="AB28" s="437"/>
      <c r="AC28" s="437"/>
      <c r="AD28" s="437"/>
      <c r="AE28" s="437"/>
      <c r="AF28" s="420">
        <f>AF23-AF34</f>
        <v>-3453</v>
      </c>
      <c r="AG28" s="437"/>
      <c r="AH28" s="437"/>
      <c r="AI28" s="437"/>
      <c r="AJ28" s="437"/>
      <c r="AK28" s="420">
        <f>AK23-AK34</f>
        <v>-3894</v>
      </c>
      <c r="AL28" s="437"/>
      <c r="AM28" s="437"/>
      <c r="AN28" s="437"/>
      <c r="AO28" s="437"/>
      <c r="AP28" s="420">
        <f>AP23-AP34</f>
        <v>-5029</v>
      </c>
      <c r="AQ28" s="437"/>
      <c r="AR28" s="437"/>
      <c r="AS28" s="437"/>
      <c r="AT28" s="437"/>
      <c r="AU28" s="420">
        <f>AU23-AU34</f>
        <v>-5776</v>
      </c>
      <c r="AV28" s="437"/>
      <c r="AW28" s="437"/>
      <c r="AX28" s="437"/>
      <c r="AY28" s="437"/>
      <c r="AZ28" s="420">
        <f>AZ23-AZ34</f>
        <v>-5433</v>
      </c>
      <c r="BA28" s="437"/>
      <c r="BB28" s="437"/>
      <c r="BC28" s="437"/>
      <c r="BD28" s="455"/>
      <c r="BE28" s="420" t="s">
        <v>169</v>
      </c>
      <c r="BF28" s="455"/>
      <c r="BG28" s="441"/>
      <c r="BH28" s="468"/>
      <c r="BI28" s="455"/>
      <c r="BJ28" s="442"/>
      <c r="BK28" s="441"/>
      <c r="BL28" s="468"/>
      <c r="BM28" s="441"/>
      <c r="BN28" s="455"/>
      <c r="BO28" s="442"/>
      <c r="BP28" s="441"/>
      <c r="BQ28" s="441"/>
      <c r="BR28" s="441"/>
      <c r="BS28" s="455"/>
      <c r="BT28" s="442"/>
      <c r="BU28" s="441"/>
      <c r="BV28" s="441"/>
      <c r="BW28" s="441"/>
      <c r="BX28" s="455"/>
      <c r="BY28" s="442"/>
      <c r="BZ28" s="441"/>
      <c r="CA28" s="441"/>
      <c r="CB28" s="441"/>
      <c r="CC28" s="441"/>
      <c r="CD28" s="442"/>
      <c r="CE28" s="441"/>
      <c r="CF28" s="441"/>
      <c r="CG28" s="441"/>
      <c r="CH28" s="455"/>
      <c r="CI28" s="442"/>
      <c r="CJ28" s="441"/>
      <c r="CK28" s="441"/>
      <c r="CL28" s="441"/>
      <c r="CM28" s="455"/>
      <c r="CN28" s="442"/>
      <c r="CO28" s="441"/>
      <c r="CP28" s="441"/>
      <c r="CQ28" s="441"/>
      <c r="CR28" s="455"/>
      <c r="CS28" s="442"/>
      <c r="CT28" s="441"/>
      <c r="CU28" s="441"/>
      <c r="CV28" s="441"/>
      <c r="CW28" s="455"/>
      <c r="CX28" s="442"/>
      <c r="CY28" s="441"/>
      <c r="CZ28" s="441"/>
      <c r="DA28" s="441"/>
      <c r="DB28" s="455"/>
      <c r="DC28" s="442"/>
      <c r="DD28" s="441"/>
      <c r="DE28" s="441"/>
      <c r="DF28" s="441"/>
      <c r="DG28" s="455"/>
      <c r="DH28" s="442"/>
      <c r="DI28" s="441"/>
      <c r="DJ28" s="441"/>
      <c r="DK28" s="441"/>
      <c r="DL28" s="455"/>
      <c r="DM28" s="442"/>
      <c r="DN28" s="207"/>
    </row>
    <row r="29" spans="1:118" ht="14.25" hidden="1" customHeight="1" outlineLevel="1" x14ac:dyDescent="0.2">
      <c r="A29" s="418"/>
      <c r="B29" s="454" t="s">
        <v>27</v>
      </c>
      <c r="C29" s="437"/>
      <c r="D29" s="437"/>
      <c r="E29" s="437"/>
      <c r="F29" s="437"/>
      <c r="G29" s="424"/>
      <c r="H29" s="437"/>
      <c r="I29" s="437"/>
      <c r="J29" s="437"/>
      <c r="K29" s="437"/>
      <c r="L29" s="424"/>
      <c r="M29" s="437"/>
      <c r="N29" s="437"/>
      <c r="O29" s="437"/>
      <c r="P29" s="437"/>
      <c r="Q29" s="424"/>
      <c r="R29" s="437"/>
      <c r="S29" s="437"/>
      <c r="T29" s="437"/>
      <c r="U29" s="437"/>
      <c r="V29" s="424"/>
      <c r="W29" s="437"/>
      <c r="X29" s="437"/>
      <c r="Y29" s="437"/>
      <c r="Z29" s="437"/>
      <c r="AA29" s="424">
        <f>-AA28/AA5</f>
        <v>0.13940759819703799</v>
      </c>
      <c r="AB29" s="437"/>
      <c r="AC29" s="437"/>
      <c r="AD29" s="437"/>
      <c r="AE29" s="437"/>
      <c r="AF29" s="424">
        <f>-AF28/AF5</f>
        <v>0.14945463988919669</v>
      </c>
      <c r="AG29" s="437"/>
      <c r="AH29" s="437"/>
      <c r="AI29" s="437"/>
      <c r="AJ29" s="437"/>
      <c r="AK29" s="424">
        <f>-AK28/AK5</f>
        <v>0.16165725672534043</v>
      </c>
      <c r="AL29" s="437"/>
      <c r="AM29" s="437"/>
      <c r="AN29" s="437"/>
      <c r="AO29" s="437"/>
      <c r="AP29" s="424">
        <f>-AP28/AP5</f>
        <v>0.17427313996603944</v>
      </c>
      <c r="AQ29" s="437"/>
      <c r="AR29" s="437"/>
      <c r="AS29" s="437"/>
      <c r="AT29" s="437"/>
      <c r="AU29" s="424">
        <f>-AU28/AU5</f>
        <v>0.18081642875031304</v>
      </c>
      <c r="AV29" s="437"/>
      <c r="AW29" s="437"/>
      <c r="AX29" s="437"/>
      <c r="AY29" s="437"/>
      <c r="AZ29" s="424">
        <f>-AZ28/AZ5</f>
        <v>0.17531461761858663</v>
      </c>
      <c r="BA29" s="437"/>
      <c r="BB29" s="437"/>
      <c r="BC29" s="437"/>
      <c r="BD29" s="455"/>
      <c r="BE29" s="424" t="s">
        <v>169</v>
      </c>
      <c r="BF29" s="455"/>
      <c r="BG29" s="441"/>
      <c r="BH29" s="468"/>
      <c r="BI29" s="455"/>
      <c r="BJ29" s="442"/>
      <c r="BK29" s="441"/>
      <c r="BL29" s="468"/>
      <c r="BM29" s="441"/>
      <c r="BN29" s="455"/>
      <c r="BO29" s="442"/>
      <c r="BP29" s="441"/>
      <c r="BQ29" s="441"/>
      <c r="BR29" s="441"/>
      <c r="BS29" s="455"/>
      <c r="BT29" s="442"/>
      <c r="BU29" s="441"/>
      <c r="BV29" s="441"/>
      <c r="BW29" s="441"/>
      <c r="BX29" s="455"/>
      <c r="BY29" s="442"/>
      <c r="BZ29" s="441"/>
      <c r="CA29" s="441"/>
      <c r="CB29" s="441"/>
      <c r="CC29" s="441"/>
      <c r="CD29" s="442"/>
      <c r="CE29" s="441"/>
      <c r="CF29" s="441"/>
      <c r="CG29" s="441"/>
      <c r="CH29" s="455"/>
      <c r="CI29" s="442"/>
      <c r="CJ29" s="441"/>
      <c r="CK29" s="441"/>
      <c r="CL29" s="441"/>
      <c r="CM29" s="455"/>
      <c r="CN29" s="442"/>
      <c r="CO29" s="441"/>
      <c r="CP29" s="441"/>
      <c r="CQ29" s="441"/>
      <c r="CR29" s="455"/>
      <c r="CS29" s="442"/>
      <c r="CT29" s="441"/>
      <c r="CU29" s="441"/>
      <c r="CV29" s="441"/>
      <c r="CW29" s="455"/>
      <c r="CX29" s="442"/>
      <c r="CY29" s="441"/>
      <c r="CZ29" s="441"/>
      <c r="DA29" s="441"/>
      <c r="DB29" s="455"/>
      <c r="DC29" s="442"/>
      <c r="DD29" s="441"/>
      <c r="DE29" s="441"/>
      <c r="DF29" s="441"/>
      <c r="DG29" s="455"/>
      <c r="DH29" s="442"/>
      <c r="DI29" s="441"/>
      <c r="DJ29" s="441"/>
      <c r="DK29" s="441"/>
      <c r="DL29" s="455"/>
      <c r="DM29" s="442"/>
      <c r="DN29" s="207"/>
    </row>
    <row r="30" spans="1:118" ht="14.25" hidden="1" customHeight="1" outlineLevel="1" x14ac:dyDescent="0.2">
      <c r="A30" s="418"/>
      <c r="B30" s="454" t="s">
        <v>20</v>
      </c>
      <c r="C30" s="437"/>
      <c r="D30" s="437"/>
      <c r="E30" s="437"/>
      <c r="F30" s="437"/>
      <c r="G30" s="424"/>
      <c r="H30" s="437"/>
      <c r="I30" s="437"/>
      <c r="J30" s="437"/>
      <c r="K30" s="437"/>
      <c r="L30" s="424"/>
      <c r="M30" s="437"/>
      <c r="N30" s="437"/>
      <c r="O30" s="437"/>
      <c r="P30" s="437"/>
      <c r="Q30" s="424"/>
      <c r="R30" s="437"/>
      <c r="S30" s="437"/>
      <c r="T30" s="437"/>
      <c r="U30" s="437"/>
      <c r="V30" s="424"/>
      <c r="W30" s="437"/>
      <c r="X30" s="437"/>
      <c r="Y30" s="437"/>
      <c r="Z30" s="437"/>
      <c r="AA30" s="424"/>
      <c r="AB30" s="437"/>
      <c r="AC30" s="437"/>
      <c r="AD30" s="437"/>
      <c r="AE30" s="437"/>
      <c r="AF30" s="424">
        <f>AF28/AA28-1</f>
        <v>0.13922797756515992</v>
      </c>
      <c r="AG30" s="437"/>
      <c r="AH30" s="437"/>
      <c r="AI30" s="437"/>
      <c r="AJ30" s="437"/>
      <c r="AK30" s="424">
        <f>AK28/AF28-1</f>
        <v>0.12771503040834054</v>
      </c>
      <c r="AL30" s="437"/>
      <c r="AM30" s="437"/>
      <c r="AN30" s="437"/>
      <c r="AO30" s="437"/>
      <c r="AP30" s="424">
        <f>AP28/AK28-1</f>
        <v>0.29147406266050324</v>
      </c>
      <c r="AQ30" s="437"/>
      <c r="AR30" s="437"/>
      <c r="AS30" s="437"/>
      <c r="AT30" s="437"/>
      <c r="AU30" s="424">
        <f>AU28/AP28-1</f>
        <v>0.14853847683436072</v>
      </c>
      <c r="AV30" s="437"/>
      <c r="AW30" s="437"/>
      <c r="AX30" s="437"/>
      <c r="AY30" s="437"/>
      <c r="AZ30" s="424">
        <f>AZ28/AU28-1</f>
        <v>-5.9383656509695237E-2</v>
      </c>
      <c r="BA30" s="437"/>
      <c r="BB30" s="437"/>
      <c r="BC30" s="437"/>
      <c r="BD30" s="455"/>
      <c r="BE30" s="424" t="s">
        <v>169</v>
      </c>
      <c r="BF30" s="455"/>
      <c r="BG30" s="441"/>
      <c r="BH30" s="468"/>
      <c r="BI30" s="455"/>
      <c r="BJ30" s="442"/>
      <c r="BK30" s="441"/>
      <c r="BL30" s="468"/>
      <c r="BM30" s="441"/>
      <c r="BN30" s="455"/>
      <c r="BO30" s="442"/>
      <c r="BP30" s="441"/>
      <c r="BQ30" s="441"/>
      <c r="BR30" s="441"/>
      <c r="BS30" s="455"/>
      <c r="BT30" s="442"/>
      <c r="BU30" s="441"/>
      <c r="BV30" s="441"/>
      <c r="BW30" s="441"/>
      <c r="BX30" s="455"/>
      <c r="BY30" s="442"/>
      <c r="BZ30" s="441"/>
      <c r="CA30" s="441"/>
      <c r="CB30" s="441"/>
      <c r="CC30" s="441"/>
      <c r="CD30" s="442"/>
      <c r="CE30" s="441"/>
      <c r="CF30" s="441"/>
      <c r="CG30" s="441"/>
      <c r="CH30" s="455"/>
      <c r="CI30" s="442"/>
      <c r="CJ30" s="441"/>
      <c r="CK30" s="441"/>
      <c r="CL30" s="441"/>
      <c r="CM30" s="455"/>
      <c r="CN30" s="442"/>
      <c r="CO30" s="441"/>
      <c r="CP30" s="441"/>
      <c r="CQ30" s="441"/>
      <c r="CR30" s="455"/>
      <c r="CS30" s="442"/>
      <c r="CT30" s="441"/>
      <c r="CU30" s="441"/>
      <c r="CV30" s="441"/>
      <c r="CW30" s="455"/>
      <c r="CX30" s="442"/>
      <c r="CY30" s="441"/>
      <c r="CZ30" s="441"/>
      <c r="DA30" s="441"/>
      <c r="DB30" s="455"/>
      <c r="DC30" s="442"/>
      <c r="DD30" s="441"/>
      <c r="DE30" s="441"/>
      <c r="DF30" s="441"/>
      <c r="DG30" s="455"/>
      <c r="DH30" s="442"/>
      <c r="DI30" s="441"/>
      <c r="DJ30" s="441"/>
      <c r="DK30" s="441"/>
      <c r="DL30" s="455"/>
      <c r="DM30" s="442"/>
      <c r="DN30" s="207"/>
    </row>
    <row r="31" spans="1:118" ht="14.25" hidden="1" customHeight="1" outlineLevel="1" x14ac:dyDescent="0.2">
      <c r="A31" s="418"/>
      <c r="B31" s="435" t="s">
        <v>26</v>
      </c>
      <c r="C31" s="437"/>
      <c r="D31" s="437"/>
      <c r="E31" s="437"/>
      <c r="F31" s="437"/>
      <c r="G31" s="438"/>
      <c r="H31" s="437"/>
      <c r="I31" s="437"/>
      <c r="J31" s="437"/>
      <c r="K31" s="437"/>
      <c r="L31" s="438"/>
      <c r="M31" s="437"/>
      <c r="N31" s="437"/>
      <c r="O31" s="437"/>
      <c r="P31" s="437"/>
      <c r="Q31" s="438"/>
      <c r="R31" s="437"/>
      <c r="S31" s="437"/>
      <c r="T31" s="437"/>
      <c r="U31" s="437"/>
      <c r="V31" s="438"/>
      <c r="W31" s="437"/>
      <c r="X31" s="437"/>
      <c r="Y31" s="437"/>
      <c r="Z31" s="437"/>
      <c r="AA31" s="438"/>
      <c r="AB31" s="437"/>
      <c r="AC31" s="437"/>
      <c r="AD31" s="437"/>
      <c r="AE31" s="437"/>
      <c r="AF31" s="438">
        <f>(AF29-AA29)*10000</f>
        <v>100.47041692158697</v>
      </c>
      <c r="AG31" s="437"/>
      <c r="AH31" s="437"/>
      <c r="AI31" s="437"/>
      <c r="AJ31" s="437"/>
      <c r="AK31" s="438">
        <f>(AK29-AF29)*10000</f>
        <v>122.02616836143737</v>
      </c>
      <c r="AL31" s="437"/>
      <c r="AM31" s="437"/>
      <c r="AN31" s="437"/>
      <c r="AO31" s="437"/>
      <c r="AP31" s="438">
        <f>(AP29-AK29)*10000</f>
        <v>126.1588324069901</v>
      </c>
      <c r="AQ31" s="437"/>
      <c r="AR31" s="437"/>
      <c r="AS31" s="437"/>
      <c r="AT31" s="437"/>
      <c r="AU31" s="438">
        <f>(AU29-AP29)*10000</f>
        <v>65.432887842735994</v>
      </c>
      <c r="AV31" s="437"/>
      <c r="AW31" s="437"/>
      <c r="AX31" s="437"/>
      <c r="AY31" s="437"/>
      <c r="AZ31" s="438">
        <f>(AZ29-AU29)*10000</f>
        <v>-55.018111317264029</v>
      </c>
      <c r="BA31" s="437"/>
      <c r="BB31" s="437"/>
      <c r="BC31" s="437"/>
      <c r="BD31" s="455"/>
      <c r="BE31" s="438" t="s">
        <v>169</v>
      </c>
      <c r="BF31" s="455"/>
      <c r="BG31" s="441"/>
      <c r="BH31" s="468"/>
      <c r="BI31" s="455"/>
      <c r="BJ31" s="442"/>
      <c r="BK31" s="441"/>
      <c r="BL31" s="468"/>
      <c r="BM31" s="441"/>
      <c r="BN31" s="455"/>
      <c r="BO31" s="442"/>
      <c r="BP31" s="441"/>
      <c r="BQ31" s="441"/>
      <c r="BR31" s="441"/>
      <c r="BS31" s="455"/>
      <c r="BT31" s="442"/>
      <c r="BU31" s="441"/>
      <c r="BV31" s="441"/>
      <c r="BW31" s="441"/>
      <c r="BX31" s="455"/>
      <c r="BY31" s="442"/>
      <c r="BZ31" s="441"/>
      <c r="CA31" s="441"/>
      <c r="CB31" s="441"/>
      <c r="CC31" s="441"/>
      <c r="CD31" s="442"/>
      <c r="CE31" s="441"/>
      <c r="CF31" s="441"/>
      <c r="CG31" s="441"/>
      <c r="CH31" s="455"/>
      <c r="CI31" s="442"/>
      <c r="CJ31" s="441"/>
      <c r="CK31" s="441"/>
      <c r="CL31" s="441"/>
      <c r="CM31" s="455"/>
      <c r="CN31" s="442"/>
      <c r="CO31" s="441"/>
      <c r="CP31" s="441"/>
      <c r="CQ31" s="441"/>
      <c r="CR31" s="455"/>
      <c r="CS31" s="442"/>
      <c r="CT31" s="441"/>
      <c r="CU31" s="441"/>
      <c r="CV31" s="441"/>
      <c r="CW31" s="455"/>
      <c r="CX31" s="442"/>
      <c r="CY31" s="441"/>
      <c r="CZ31" s="441"/>
      <c r="DA31" s="441"/>
      <c r="DB31" s="455"/>
      <c r="DC31" s="442"/>
      <c r="DD31" s="441"/>
      <c r="DE31" s="441"/>
      <c r="DF31" s="441"/>
      <c r="DG31" s="455"/>
      <c r="DH31" s="442"/>
      <c r="DI31" s="441"/>
      <c r="DJ31" s="441"/>
      <c r="DK31" s="441"/>
      <c r="DL31" s="455"/>
      <c r="DM31" s="442"/>
      <c r="DN31" s="207"/>
    </row>
    <row r="32" spans="1:118" ht="14.25" hidden="1" customHeight="1" outlineLevel="1" x14ac:dyDescent="0.2">
      <c r="A32" s="418"/>
      <c r="B32" s="435" t="s">
        <v>26</v>
      </c>
      <c r="C32" s="437"/>
      <c r="D32" s="437"/>
      <c r="E32" s="437"/>
      <c r="F32" s="437"/>
      <c r="G32" s="473"/>
      <c r="H32" s="437"/>
      <c r="I32" s="437"/>
      <c r="J32" s="437"/>
      <c r="K32" s="437"/>
      <c r="L32" s="473"/>
      <c r="M32" s="437"/>
      <c r="N32" s="437"/>
      <c r="O32" s="437"/>
      <c r="P32" s="437"/>
      <c r="Q32" s="473"/>
      <c r="R32" s="437"/>
      <c r="S32" s="437"/>
      <c r="T32" s="437"/>
      <c r="U32" s="437"/>
      <c r="V32" s="473"/>
      <c r="W32" s="437"/>
      <c r="X32" s="437"/>
      <c r="Y32" s="437"/>
      <c r="Z32" s="437"/>
      <c r="AA32" s="473"/>
      <c r="AB32" s="437"/>
      <c r="AC32" s="437"/>
      <c r="AD32" s="437"/>
      <c r="AE32" s="437"/>
      <c r="AF32" s="473"/>
      <c r="AG32" s="437"/>
      <c r="AH32" s="437"/>
      <c r="AI32" s="437"/>
      <c r="AJ32" s="437"/>
      <c r="AK32" s="473"/>
      <c r="AL32" s="437"/>
      <c r="AM32" s="437"/>
      <c r="AN32" s="437"/>
      <c r="AO32" s="437"/>
      <c r="AP32" s="473"/>
      <c r="AQ32" s="437"/>
      <c r="AR32" s="437"/>
      <c r="AS32" s="437"/>
      <c r="AT32" s="437"/>
      <c r="AU32" s="473"/>
      <c r="AV32" s="437"/>
      <c r="AW32" s="437"/>
      <c r="AX32" s="437"/>
      <c r="AY32" s="437"/>
      <c r="AZ32" s="473"/>
      <c r="BA32" s="437"/>
      <c r="BB32" s="437"/>
      <c r="BC32" s="437"/>
      <c r="BD32" s="455"/>
      <c r="BE32" s="473"/>
      <c r="BF32" s="455"/>
      <c r="BG32" s="441"/>
      <c r="BH32" s="468"/>
      <c r="BI32" s="455"/>
      <c r="BJ32" s="442"/>
      <c r="BK32" s="441"/>
      <c r="BL32" s="468"/>
      <c r="BM32" s="441"/>
      <c r="BN32" s="455"/>
      <c r="BO32" s="442"/>
      <c r="BP32" s="441"/>
      <c r="BQ32" s="441"/>
      <c r="BR32" s="441"/>
      <c r="BS32" s="455"/>
      <c r="BT32" s="442"/>
      <c r="BU32" s="441"/>
      <c r="BV32" s="441"/>
      <c r="BW32" s="441"/>
      <c r="BX32" s="455"/>
      <c r="BY32" s="442"/>
      <c r="BZ32" s="441"/>
      <c r="CA32" s="441"/>
      <c r="CB32" s="441"/>
      <c r="CC32" s="441"/>
      <c r="CD32" s="442"/>
      <c r="CE32" s="441"/>
      <c r="CF32" s="441"/>
      <c r="CG32" s="441"/>
      <c r="CH32" s="455"/>
      <c r="CI32" s="442"/>
      <c r="CJ32" s="441"/>
      <c r="CK32" s="441"/>
      <c r="CL32" s="441"/>
      <c r="CM32" s="455"/>
      <c r="CN32" s="442"/>
      <c r="CO32" s="441"/>
      <c r="CP32" s="441"/>
      <c r="CQ32" s="441"/>
      <c r="CR32" s="455"/>
      <c r="CS32" s="442"/>
      <c r="CT32" s="441"/>
      <c r="CU32" s="441"/>
      <c r="CV32" s="441"/>
      <c r="CW32" s="455"/>
      <c r="CX32" s="442"/>
      <c r="CY32" s="441"/>
      <c r="CZ32" s="441"/>
      <c r="DA32" s="441"/>
      <c r="DB32" s="455"/>
      <c r="DC32" s="442"/>
      <c r="DD32" s="441"/>
      <c r="DE32" s="441"/>
      <c r="DF32" s="441"/>
      <c r="DG32" s="455"/>
      <c r="DH32" s="442"/>
      <c r="DI32" s="441"/>
      <c r="DJ32" s="441"/>
      <c r="DK32" s="441"/>
      <c r="DL32" s="455"/>
      <c r="DM32" s="442"/>
      <c r="DN32" s="207"/>
    </row>
    <row r="33" spans="1:118" ht="14.25" hidden="1" customHeight="1" outlineLevel="1" x14ac:dyDescent="0.2">
      <c r="A33" s="418"/>
      <c r="B33" s="435"/>
      <c r="C33" s="437"/>
      <c r="D33" s="437"/>
      <c r="E33" s="437"/>
      <c r="F33" s="437"/>
      <c r="G33" s="473"/>
      <c r="H33" s="437"/>
      <c r="I33" s="437"/>
      <c r="J33" s="437"/>
      <c r="K33" s="437"/>
      <c r="L33" s="473"/>
      <c r="M33" s="437"/>
      <c r="N33" s="437"/>
      <c r="O33" s="437"/>
      <c r="P33" s="437"/>
      <c r="Q33" s="473"/>
      <c r="R33" s="437"/>
      <c r="S33" s="437"/>
      <c r="T33" s="437"/>
      <c r="U33" s="437"/>
      <c r="V33" s="473"/>
      <c r="W33" s="437"/>
      <c r="X33" s="437"/>
      <c r="Y33" s="437"/>
      <c r="Z33" s="437"/>
      <c r="AA33" s="473"/>
      <c r="AB33" s="437"/>
      <c r="AC33" s="437"/>
      <c r="AD33" s="437"/>
      <c r="AE33" s="437"/>
      <c r="AF33" s="473"/>
      <c r="AG33" s="437"/>
      <c r="AH33" s="437"/>
      <c r="AI33" s="437"/>
      <c r="AJ33" s="437"/>
      <c r="AK33" s="473"/>
      <c r="AL33" s="437"/>
      <c r="AM33" s="437"/>
      <c r="AN33" s="437"/>
      <c r="AO33" s="437"/>
      <c r="AP33" s="473"/>
      <c r="AQ33" s="437"/>
      <c r="AR33" s="437"/>
      <c r="AS33" s="437"/>
      <c r="AT33" s="437"/>
      <c r="AU33" s="473"/>
      <c r="AV33" s="437"/>
      <c r="AW33" s="437"/>
      <c r="AX33" s="437"/>
      <c r="AY33" s="437"/>
      <c r="AZ33" s="473"/>
      <c r="BA33" s="437"/>
      <c r="BB33" s="437"/>
      <c r="BC33" s="437"/>
      <c r="BD33" s="455"/>
      <c r="BE33" s="473"/>
      <c r="BF33" s="455"/>
      <c r="BG33" s="441"/>
      <c r="BH33" s="468"/>
      <c r="BI33" s="455"/>
      <c r="BJ33" s="442"/>
      <c r="BK33" s="441"/>
      <c r="BL33" s="468"/>
      <c r="BM33" s="441"/>
      <c r="BN33" s="455"/>
      <c r="BO33" s="442"/>
      <c r="BP33" s="441"/>
      <c r="BQ33" s="441"/>
      <c r="BR33" s="441"/>
      <c r="BS33" s="455"/>
      <c r="BT33" s="442"/>
      <c r="BU33" s="441"/>
      <c r="BV33" s="441"/>
      <c r="BW33" s="441"/>
      <c r="BX33" s="455"/>
      <c r="BY33" s="442"/>
      <c r="BZ33" s="441"/>
      <c r="CA33" s="441"/>
      <c r="CB33" s="441"/>
      <c r="CC33" s="441"/>
      <c r="CD33" s="442"/>
      <c r="CE33" s="441"/>
      <c r="CF33" s="441"/>
      <c r="CG33" s="441"/>
      <c r="CH33" s="455"/>
      <c r="CI33" s="442"/>
      <c r="CJ33" s="441"/>
      <c r="CK33" s="441"/>
      <c r="CL33" s="441"/>
      <c r="CM33" s="455"/>
      <c r="CN33" s="442"/>
      <c r="CO33" s="441"/>
      <c r="CP33" s="441"/>
      <c r="CQ33" s="441"/>
      <c r="CR33" s="455"/>
      <c r="CS33" s="442"/>
      <c r="CT33" s="441"/>
      <c r="CU33" s="441"/>
      <c r="CV33" s="441"/>
      <c r="CW33" s="455"/>
      <c r="CX33" s="442"/>
      <c r="CY33" s="441"/>
      <c r="CZ33" s="441"/>
      <c r="DA33" s="441"/>
      <c r="DB33" s="455"/>
      <c r="DC33" s="442"/>
      <c r="DD33" s="441"/>
      <c r="DE33" s="441"/>
      <c r="DF33" s="441"/>
      <c r="DG33" s="455"/>
      <c r="DH33" s="442"/>
      <c r="DI33" s="441"/>
      <c r="DJ33" s="441"/>
      <c r="DK33" s="441"/>
      <c r="DL33" s="455"/>
      <c r="DM33" s="442"/>
      <c r="DN33" s="207"/>
    </row>
    <row r="34" spans="1:118" ht="14.25" hidden="1" customHeight="1" outlineLevel="1" x14ac:dyDescent="0.25">
      <c r="A34" s="418" t="s">
        <v>156</v>
      </c>
      <c r="B34" s="435"/>
      <c r="C34" s="437"/>
      <c r="D34" s="437"/>
      <c r="E34" s="437"/>
      <c r="F34" s="437"/>
      <c r="G34" s="420">
        <v>-1655</v>
      </c>
      <c r="H34" s="437"/>
      <c r="I34" s="437"/>
      <c r="J34" s="437"/>
      <c r="K34" s="437"/>
      <c r="L34" s="420">
        <v>-1970</v>
      </c>
      <c r="M34" s="437"/>
      <c r="N34" s="437"/>
      <c r="O34" s="437"/>
      <c r="P34" s="437"/>
      <c r="Q34" s="420">
        <v>-1712</v>
      </c>
      <c r="R34" s="437"/>
      <c r="S34" s="437"/>
      <c r="T34" s="437"/>
      <c r="U34" s="437"/>
      <c r="V34" s="420">
        <v>-1822</v>
      </c>
      <c r="W34" s="437"/>
      <c r="X34" s="437"/>
      <c r="Y34" s="437"/>
      <c r="Z34" s="437"/>
      <c r="AA34" s="420">
        <v>-2165</v>
      </c>
      <c r="AB34" s="437"/>
      <c r="AC34" s="437"/>
      <c r="AD34" s="437"/>
      <c r="AE34" s="437"/>
      <c r="AF34" s="420">
        <v>-2475</v>
      </c>
      <c r="AG34" s="437"/>
      <c r="AH34" s="437"/>
      <c r="AI34" s="437"/>
      <c r="AJ34" s="437"/>
      <c r="AK34" s="420">
        <v>-2553</v>
      </c>
      <c r="AL34" s="437"/>
      <c r="AM34" s="437"/>
      <c r="AN34" s="437"/>
      <c r="AO34" s="437"/>
      <c r="AP34" s="420">
        <v>-2774</v>
      </c>
      <c r="AQ34" s="437"/>
      <c r="AR34" s="437"/>
      <c r="AS34" s="437"/>
      <c r="AT34" s="437"/>
      <c r="AU34" s="420">
        <v>-2998</v>
      </c>
      <c r="AV34" s="437"/>
      <c r="AW34" s="437"/>
      <c r="AX34" s="437"/>
      <c r="AY34" s="437"/>
      <c r="AZ34" s="420">
        <v>-2791</v>
      </c>
      <c r="BA34" s="437"/>
      <c r="BB34" s="437"/>
      <c r="BC34" s="437"/>
      <c r="BD34" s="455"/>
      <c r="BE34" s="420">
        <v>-2917</v>
      </c>
      <c r="BF34" s="455"/>
      <c r="BG34" s="441"/>
      <c r="BH34" s="468"/>
      <c r="BI34" s="455"/>
      <c r="BJ34" s="420">
        <v>-3256</v>
      </c>
      <c r="BK34" s="441"/>
      <c r="BL34" s="468"/>
      <c r="BM34" s="441"/>
      <c r="BN34" s="455"/>
      <c r="BO34" s="420">
        <v>-3342</v>
      </c>
      <c r="BP34" s="441">
        <v>-780</v>
      </c>
      <c r="BQ34" s="441">
        <v>-889</v>
      </c>
      <c r="BR34" s="441">
        <v>-1005</v>
      </c>
      <c r="BS34" s="455">
        <f>BT34-SUM(BP34:BR34)</f>
        <v>-592</v>
      </c>
      <c r="BT34" s="420">
        <v>-3266</v>
      </c>
      <c r="BU34" s="441">
        <v>-707</v>
      </c>
      <c r="BV34" s="441">
        <v>-926</v>
      </c>
      <c r="BW34" s="441">
        <v>-1051</v>
      </c>
      <c r="BX34" s="455">
        <f>BY34-SUM(BU34:BW34)</f>
        <v>-815</v>
      </c>
      <c r="BY34" s="485">
        <v>-3499</v>
      </c>
      <c r="BZ34" s="441"/>
      <c r="CA34" s="441"/>
      <c r="CB34" s="441"/>
      <c r="CC34" s="441"/>
      <c r="CD34" s="485">
        <v>-3976</v>
      </c>
      <c r="CE34" s="441"/>
      <c r="CF34" s="441"/>
      <c r="CG34" s="441"/>
      <c r="CH34" s="455"/>
      <c r="CI34" s="485">
        <v>-4004</v>
      </c>
      <c r="CJ34" s="441"/>
      <c r="CK34" s="441"/>
      <c r="CL34" s="441"/>
      <c r="CM34" s="455"/>
      <c r="CN34" s="485">
        <v>-3958</v>
      </c>
      <c r="CO34" s="441"/>
      <c r="CP34" s="441"/>
      <c r="CQ34" s="441"/>
      <c r="CR34" s="455"/>
      <c r="CS34" s="442"/>
      <c r="CT34" s="441"/>
      <c r="CU34" s="441"/>
      <c r="CV34" s="441"/>
      <c r="CW34" s="455"/>
      <c r="CX34" s="442"/>
      <c r="CY34" s="441"/>
      <c r="CZ34" s="441"/>
      <c r="DA34" s="441"/>
      <c r="DB34" s="455"/>
      <c r="DC34" s="442"/>
      <c r="DD34" s="441"/>
      <c r="DE34" s="441"/>
      <c r="DF34" s="441"/>
      <c r="DG34" s="455"/>
      <c r="DH34" s="442"/>
      <c r="DI34" s="441"/>
      <c r="DJ34" s="441"/>
      <c r="DK34" s="441"/>
      <c r="DL34" s="455"/>
      <c r="DM34" s="442"/>
      <c r="DN34" s="207"/>
    </row>
    <row r="35" spans="1:118" ht="14.25" hidden="1" customHeight="1" outlineLevel="1" x14ac:dyDescent="0.2">
      <c r="A35" s="418"/>
      <c r="B35" s="454" t="s">
        <v>27</v>
      </c>
      <c r="C35" s="437"/>
      <c r="D35" s="437"/>
      <c r="E35" s="437"/>
      <c r="F35" s="437"/>
      <c r="G35" s="424">
        <f>-G34/G5</f>
        <v>8.321182563225904E-2</v>
      </c>
      <c r="H35" s="437"/>
      <c r="I35" s="437"/>
      <c r="J35" s="437"/>
      <c r="K35" s="437"/>
      <c r="L35" s="424">
        <f>-L34/L5</f>
        <v>0.11228270162439441</v>
      </c>
      <c r="M35" s="437"/>
      <c r="N35" s="437"/>
      <c r="O35" s="437"/>
      <c r="P35" s="437"/>
      <c r="Q35" s="424">
        <f>-Q34/Q5</f>
        <v>8.7507667143733384E-2</v>
      </c>
      <c r="R35" s="437"/>
      <c r="S35" s="437"/>
      <c r="T35" s="437"/>
      <c r="U35" s="437"/>
      <c r="V35" s="424">
        <f>-V34/V5</f>
        <v>8.7356762717552855E-2</v>
      </c>
      <c r="W35" s="437"/>
      <c r="X35" s="437"/>
      <c r="Y35" s="437"/>
      <c r="Z35" s="437"/>
      <c r="AA35" s="424">
        <f>-AA34/AA5</f>
        <v>9.9576855855027138E-2</v>
      </c>
      <c r="AB35" s="437"/>
      <c r="AC35" s="437"/>
      <c r="AD35" s="437"/>
      <c r="AE35" s="437"/>
      <c r="AF35" s="424">
        <f>-AF34/AF5</f>
        <v>0.10712430747922437</v>
      </c>
      <c r="AG35" s="437"/>
      <c r="AH35" s="437"/>
      <c r="AI35" s="437"/>
      <c r="AJ35" s="437"/>
      <c r="AK35" s="424">
        <f>-AK34/AK5</f>
        <v>0.10598638326137495</v>
      </c>
      <c r="AL35" s="437"/>
      <c r="AM35" s="437"/>
      <c r="AN35" s="437"/>
      <c r="AO35" s="437"/>
      <c r="AP35" s="424">
        <f>-AP34/AP5</f>
        <v>9.6129188758360185E-2</v>
      </c>
      <c r="AQ35" s="437"/>
      <c r="AR35" s="437"/>
      <c r="AS35" s="437"/>
      <c r="AT35" s="437"/>
      <c r="AU35" s="424">
        <f>-AU34/AU5</f>
        <v>9.3851740545955423E-2</v>
      </c>
      <c r="AV35" s="437"/>
      <c r="AW35" s="437"/>
      <c r="AX35" s="437"/>
      <c r="AY35" s="437"/>
      <c r="AZ35" s="424">
        <f>-AZ34/AZ5</f>
        <v>9.0061310100032266E-2</v>
      </c>
      <c r="BA35" s="437"/>
      <c r="BB35" s="437"/>
      <c r="BC35" s="437"/>
      <c r="BD35" s="455"/>
      <c r="BE35" s="424">
        <f>-BE34/BE5</f>
        <v>8.3050992227315434E-2</v>
      </c>
      <c r="BF35" s="455"/>
      <c r="BG35" s="441"/>
      <c r="BH35" s="468"/>
      <c r="BI35" s="455"/>
      <c r="BJ35" s="424">
        <f>-BJ34/BJ5</f>
        <v>6.9940284400910768E-2</v>
      </c>
      <c r="BK35" s="441"/>
      <c r="BL35" s="468"/>
      <c r="BM35" s="441"/>
      <c r="BN35" s="455"/>
      <c r="BO35" s="424">
        <f>-BO34/BO5</f>
        <v>6.9578614257161886E-2</v>
      </c>
      <c r="BP35" s="441"/>
      <c r="BQ35" s="441"/>
      <c r="BR35" s="441"/>
      <c r="BS35" s="455"/>
      <c r="BT35" s="424">
        <f>-BT34/BT5</f>
        <v>6.9585597102375621E-2</v>
      </c>
      <c r="BU35" s="441"/>
      <c r="BV35" s="441"/>
      <c r="BW35" s="441"/>
      <c r="BX35" s="455"/>
      <c r="BY35" s="424">
        <f>-BY34/BY5</f>
        <v>7.6045379466226207E-2</v>
      </c>
      <c r="BZ35" s="441"/>
      <c r="CA35" s="441"/>
      <c r="CB35" s="441"/>
      <c r="CC35" s="441"/>
      <c r="CD35" s="424">
        <f>-CD34/CD5</f>
        <v>8.9838895541948169E-2</v>
      </c>
      <c r="CE35" s="441"/>
      <c r="CF35" s="441"/>
      <c r="CG35" s="441"/>
      <c r="CH35" s="455"/>
      <c r="CI35" s="424">
        <f>-CI34/CI5</f>
        <v>9.5665886175753806E-2</v>
      </c>
      <c r="CJ35" s="441"/>
      <c r="CK35" s="441"/>
      <c r="CL35" s="441"/>
      <c r="CM35" s="455"/>
      <c r="CN35" s="424">
        <f>-CN34/CN5</f>
        <v>0.11190907034607554</v>
      </c>
      <c r="CO35" s="441"/>
      <c r="CP35" s="441"/>
      <c r="CQ35" s="441"/>
      <c r="CR35" s="455"/>
      <c r="CS35" s="442"/>
      <c r="CT35" s="441"/>
      <c r="CU35" s="441"/>
      <c r="CV35" s="441"/>
      <c r="CW35" s="455"/>
      <c r="CX35" s="442"/>
      <c r="CY35" s="441"/>
      <c r="CZ35" s="441"/>
      <c r="DA35" s="441"/>
      <c r="DB35" s="455"/>
      <c r="DC35" s="442"/>
      <c r="DD35" s="441"/>
      <c r="DE35" s="441"/>
      <c r="DF35" s="441"/>
      <c r="DG35" s="455"/>
      <c r="DH35" s="442"/>
      <c r="DI35" s="441"/>
      <c r="DJ35" s="441"/>
      <c r="DK35" s="441"/>
      <c r="DL35" s="455"/>
      <c r="DM35" s="442"/>
      <c r="DN35" s="207"/>
    </row>
    <row r="36" spans="1:118" ht="14.25" hidden="1" customHeight="1" outlineLevel="1" x14ac:dyDescent="0.2">
      <c r="A36" s="418"/>
      <c r="B36" s="454" t="s">
        <v>20</v>
      </c>
      <c r="C36" s="437"/>
      <c r="D36" s="437"/>
      <c r="E36" s="437"/>
      <c r="F36" s="437"/>
      <c r="G36" s="424"/>
      <c r="H36" s="437"/>
      <c r="I36" s="437"/>
      <c r="J36" s="437"/>
      <c r="K36" s="437"/>
      <c r="L36" s="424">
        <f>L34/G34-1</f>
        <v>0.190332326283988</v>
      </c>
      <c r="M36" s="437"/>
      <c r="N36" s="437"/>
      <c r="O36" s="437"/>
      <c r="P36" s="437"/>
      <c r="Q36" s="424">
        <f>Q34/L34-1</f>
        <v>-0.13096446700507614</v>
      </c>
      <c r="R36" s="437"/>
      <c r="S36" s="437"/>
      <c r="T36" s="437"/>
      <c r="U36" s="437"/>
      <c r="V36" s="424">
        <f>V34/Q34-1</f>
        <v>6.4252336448598069E-2</v>
      </c>
      <c r="W36" s="437"/>
      <c r="X36" s="437"/>
      <c r="Y36" s="437"/>
      <c r="Z36" s="437"/>
      <c r="AA36" s="424">
        <f>AA34/V34-1</f>
        <v>0.18825466520307343</v>
      </c>
      <c r="AB36" s="437"/>
      <c r="AC36" s="437"/>
      <c r="AD36" s="437"/>
      <c r="AE36" s="437"/>
      <c r="AF36" s="424">
        <f>AF34/AA34-1</f>
        <v>0.14318706697459582</v>
      </c>
      <c r="AG36" s="437"/>
      <c r="AH36" s="437"/>
      <c r="AI36" s="437"/>
      <c r="AJ36" s="437"/>
      <c r="AK36" s="424">
        <f>AK34/AF34-1</f>
        <v>3.1515151515151496E-2</v>
      </c>
      <c r="AL36" s="437"/>
      <c r="AM36" s="437"/>
      <c r="AN36" s="437"/>
      <c r="AO36" s="437"/>
      <c r="AP36" s="424">
        <f>AP34/AK34-1</f>
        <v>8.6564825695260472E-2</v>
      </c>
      <c r="AQ36" s="437"/>
      <c r="AR36" s="437"/>
      <c r="AS36" s="437"/>
      <c r="AT36" s="437"/>
      <c r="AU36" s="424">
        <f>AU34/AP34-1</f>
        <v>8.0749819754866614E-2</v>
      </c>
      <c r="AV36" s="437"/>
      <c r="AW36" s="437"/>
      <c r="AX36" s="437"/>
      <c r="AY36" s="437"/>
      <c r="AZ36" s="424">
        <f>AZ34/AU34-1</f>
        <v>-6.9046030687124782E-2</v>
      </c>
      <c r="BA36" s="437"/>
      <c r="BB36" s="437"/>
      <c r="BC36" s="437"/>
      <c r="BD36" s="455"/>
      <c r="BE36" s="424">
        <f>BE34/AZ34-1</f>
        <v>4.5145109279828066E-2</v>
      </c>
      <c r="BF36" s="455"/>
      <c r="BG36" s="441"/>
      <c r="BH36" s="468"/>
      <c r="BI36" s="455"/>
      <c r="BJ36" s="424">
        <f>BJ34/BE34-1</f>
        <v>0.11621528968117922</v>
      </c>
      <c r="BK36" s="441"/>
      <c r="BL36" s="468"/>
      <c r="BM36" s="441"/>
      <c r="BN36" s="455"/>
      <c r="BO36" s="424">
        <f>BO34/BJ34-1</f>
        <v>2.6412776412776395E-2</v>
      </c>
      <c r="BP36" s="441"/>
      <c r="BQ36" s="441"/>
      <c r="BR36" s="441"/>
      <c r="BS36" s="455"/>
      <c r="BT36" s="424">
        <f>BT34/BO34-1</f>
        <v>-2.2740873728306354E-2</v>
      </c>
      <c r="BU36" s="441"/>
      <c r="BV36" s="441"/>
      <c r="BW36" s="441"/>
      <c r="BX36" s="455"/>
      <c r="BY36" s="424">
        <f>BY34/BT34-1</f>
        <v>7.1341090018371078E-2</v>
      </c>
      <c r="BZ36" s="441"/>
      <c r="CA36" s="441"/>
      <c r="CB36" s="441"/>
      <c r="CC36" s="441"/>
      <c r="CD36" s="424">
        <f>CD34/BY34-1</f>
        <v>0.13632466418976841</v>
      </c>
      <c r="CE36" s="441"/>
      <c r="CF36" s="441"/>
      <c r="CG36" s="441"/>
      <c r="CH36" s="455"/>
      <c r="CI36" s="424">
        <f>CI34/CD34-1</f>
        <v>7.0422535211267512E-3</v>
      </c>
      <c r="CJ36" s="441"/>
      <c r="CK36" s="441"/>
      <c r="CL36" s="441"/>
      <c r="CM36" s="455"/>
      <c r="CN36" s="424">
        <f>CN34/CI34-1</f>
        <v>-1.1488511488511488E-2</v>
      </c>
      <c r="CO36" s="441"/>
      <c r="CP36" s="441"/>
      <c r="CQ36" s="441"/>
      <c r="CR36" s="455"/>
      <c r="CS36" s="442"/>
      <c r="CT36" s="441"/>
      <c r="CU36" s="441"/>
      <c r="CV36" s="441"/>
      <c r="CW36" s="455"/>
      <c r="CX36" s="442"/>
      <c r="CY36" s="441"/>
      <c r="CZ36" s="441"/>
      <c r="DA36" s="441"/>
      <c r="DB36" s="455"/>
      <c r="DC36" s="442"/>
      <c r="DD36" s="441"/>
      <c r="DE36" s="441"/>
      <c r="DF36" s="441"/>
      <c r="DG36" s="455"/>
      <c r="DH36" s="442"/>
      <c r="DI36" s="441"/>
      <c r="DJ36" s="441"/>
      <c r="DK36" s="441"/>
      <c r="DL36" s="455"/>
      <c r="DM36" s="442"/>
      <c r="DN36" s="207"/>
    </row>
    <row r="37" spans="1:118" ht="14.25" hidden="1" customHeight="1" outlineLevel="1" x14ac:dyDescent="0.2">
      <c r="A37" s="418"/>
      <c r="B37" s="435" t="s">
        <v>26</v>
      </c>
      <c r="C37" s="437"/>
      <c r="D37" s="437"/>
      <c r="E37" s="437"/>
      <c r="F37" s="437"/>
      <c r="G37" s="438"/>
      <c r="H37" s="437"/>
      <c r="I37" s="437"/>
      <c r="J37" s="437"/>
      <c r="K37" s="437"/>
      <c r="L37" s="438">
        <f>(L35-G35)*10000</f>
        <v>290.7087599213537</v>
      </c>
      <c r="M37" s="437"/>
      <c r="N37" s="437"/>
      <c r="O37" s="437"/>
      <c r="P37" s="437"/>
      <c r="Q37" s="438">
        <f>(Q35-L35)*10000</f>
        <v>-247.75034480661026</v>
      </c>
      <c r="R37" s="437"/>
      <c r="S37" s="437"/>
      <c r="T37" s="437"/>
      <c r="U37" s="437"/>
      <c r="V37" s="438">
        <f>(V35-Q35)*10000</f>
        <v>-1.5090442618052868</v>
      </c>
      <c r="W37" s="437"/>
      <c r="X37" s="437"/>
      <c r="Y37" s="437"/>
      <c r="Z37" s="437"/>
      <c r="AA37" s="438">
        <f>(AA35-V35)*10000</f>
        <v>122.20093137474284</v>
      </c>
      <c r="AB37" s="437"/>
      <c r="AC37" s="437"/>
      <c r="AD37" s="437"/>
      <c r="AE37" s="437"/>
      <c r="AF37" s="438">
        <f>(AF35-AA35)*10000</f>
        <v>75.474516241972324</v>
      </c>
      <c r="AG37" s="437"/>
      <c r="AH37" s="437"/>
      <c r="AI37" s="437"/>
      <c r="AJ37" s="437"/>
      <c r="AK37" s="438">
        <f>(AK35-AF35)*10000</f>
        <v>-11.379242178494176</v>
      </c>
      <c r="AL37" s="437"/>
      <c r="AM37" s="437"/>
      <c r="AN37" s="437"/>
      <c r="AO37" s="437"/>
      <c r="AP37" s="438">
        <f>(AP35-AK35)*10000</f>
        <v>-98.571945030147688</v>
      </c>
      <c r="AQ37" s="437"/>
      <c r="AR37" s="437"/>
      <c r="AS37" s="437"/>
      <c r="AT37" s="437"/>
      <c r="AU37" s="438">
        <f>(AU35-AP35)*10000</f>
        <v>-22.774482124047619</v>
      </c>
      <c r="AV37" s="437"/>
      <c r="AW37" s="437"/>
      <c r="AX37" s="437"/>
      <c r="AY37" s="437"/>
      <c r="AZ37" s="438">
        <f>(AZ35-AU35)*10000</f>
        <v>-37.904304459231568</v>
      </c>
      <c r="BA37" s="437"/>
      <c r="BB37" s="437"/>
      <c r="BC37" s="437"/>
      <c r="BD37" s="455"/>
      <c r="BE37" s="438">
        <f>(BE35-AZ35)*10000</f>
        <v>-70.103178727168313</v>
      </c>
      <c r="BF37" s="455"/>
      <c r="BG37" s="441"/>
      <c r="BH37" s="468"/>
      <c r="BI37" s="455"/>
      <c r="BJ37" s="438">
        <f>(BJ35-BE35)*10000</f>
        <v>-131.10707826404666</v>
      </c>
      <c r="BK37" s="441"/>
      <c r="BL37" s="468"/>
      <c r="BM37" s="441"/>
      <c r="BN37" s="455"/>
      <c r="BO37" s="438">
        <f>(BO35-BJ35)*10000</f>
        <v>-3.6167014374888229</v>
      </c>
      <c r="BP37" s="441"/>
      <c r="BQ37" s="441"/>
      <c r="BR37" s="441"/>
      <c r="BS37" s="455"/>
      <c r="BT37" s="438">
        <f>(BT35-BO35)*10000</f>
        <v>6.9828452137349339E-2</v>
      </c>
      <c r="BU37" s="441"/>
      <c r="BV37" s="441"/>
      <c r="BW37" s="441"/>
      <c r="BX37" s="455"/>
      <c r="BY37" s="438">
        <f>(BY35-BT35)*10000</f>
        <v>64.597823638505858</v>
      </c>
      <c r="BZ37" s="441"/>
      <c r="CA37" s="441"/>
      <c r="CB37" s="441"/>
      <c r="CC37" s="441"/>
      <c r="CD37" s="438">
        <f>(CD35-BY35)*10000</f>
        <v>137.93516075721962</v>
      </c>
      <c r="CE37" s="441"/>
      <c r="CF37" s="441"/>
      <c r="CG37" s="441"/>
      <c r="CH37" s="455"/>
      <c r="CI37" s="438">
        <f>(CI35-CD35)*10000</f>
        <v>58.269906338056373</v>
      </c>
      <c r="CJ37" s="441"/>
      <c r="CK37" s="441"/>
      <c r="CL37" s="441"/>
      <c r="CM37" s="455"/>
      <c r="CN37" s="438">
        <f>(CN35-CI35)*10000</f>
        <v>162.43184170321737</v>
      </c>
      <c r="CO37" s="441"/>
      <c r="CP37" s="441"/>
      <c r="CQ37" s="441"/>
      <c r="CR37" s="455"/>
      <c r="CS37" s="442"/>
      <c r="CT37" s="441"/>
      <c r="CU37" s="441"/>
      <c r="CV37" s="441"/>
      <c r="CW37" s="455"/>
      <c r="CX37" s="442"/>
      <c r="CY37" s="441"/>
      <c r="CZ37" s="441"/>
      <c r="DA37" s="441"/>
      <c r="DB37" s="455"/>
      <c r="DC37" s="442"/>
      <c r="DD37" s="441"/>
      <c r="DE37" s="441"/>
      <c r="DF37" s="441"/>
      <c r="DG37" s="455"/>
      <c r="DH37" s="442"/>
      <c r="DI37" s="441"/>
      <c r="DJ37" s="441"/>
      <c r="DK37" s="441"/>
      <c r="DL37" s="455"/>
      <c r="DM37" s="442"/>
      <c r="DN37" s="207"/>
    </row>
    <row r="38" spans="1:118" ht="14.25" hidden="1" customHeight="1" outlineLevel="1" x14ac:dyDescent="0.2">
      <c r="A38" s="418"/>
      <c r="B38" s="435" t="s">
        <v>26</v>
      </c>
      <c r="C38" s="437"/>
      <c r="D38" s="437"/>
      <c r="E38" s="437"/>
      <c r="F38" s="437"/>
      <c r="G38" s="438"/>
      <c r="H38" s="437"/>
      <c r="I38" s="437"/>
      <c r="J38" s="437"/>
      <c r="K38" s="437"/>
      <c r="L38" s="438"/>
      <c r="M38" s="437"/>
      <c r="N38" s="437"/>
      <c r="O38" s="437"/>
      <c r="P38" s="437"/>
      <c r="Q38" s="438"/>
      <c r="R38" s="437"/>
      <c r="S38" s="437"/>
      <c r="T38" s="437"/>
      <c r="U38" s="437"/>
      <c r="V38" s="438"/>
      <c r="W38" s="437"/>
      <c r="X38" s="437"/>
      <c r="Y38" s="437"/>
      <c r="Z38" s="437"/>
      <c r="AA38" s="438"/>
      <c r="AB38" s="437"/>
      <c r="AC38" s="437"/>
      <c r="AD38" s="437"/>
      <c r="AE38" s="437"/>
      <c r="AF38" s="438"/>
      <c r="AG38" s="437"/>
      <c r="AH38" s="437"/>
      <c r="AI38" s="437"/>
      <c r="AJ38" s="437"/>
      <c r="AK38" s="438"/>
      <c r="AL38" s="437"/>
      <c r="AM38" s="437"/>
      <c r="AN38" s="437"/>
      <c r="AO38" s="437"/>
      <c r="AP38" s="438"/>
      <c r="AQ38" s="437"/>
      <c r="AR38" s="437"/>
      <c r="AS38" s="437"/>
      <c r="AT38" s="437"/>
      <c r="AU38" s="438"/>
      <c r="AV38" s="437"/>
      <c r="AW38" s="437"/>
      <c r="AX38" s="437"/>
      <c r="AY38" s="437"/>
      <c r="AZ38" s="438"/>
      <c r="BA38" s="437"/>
      <c r="BB38" s="437"/>
      <c r="BC38" s="437"/>
      <c r="BD38" s="455"/>
      <c r="BE38" s="438"/>
      <c r="BF38" s="455"/>
      <c r="BG38" s="441"/>
      <c r="BH38" s="468"/>
      <c r="BI38" s="455"/>
      <c r="BJ38" s="442"/>
      <c r="BK38" s="441"/>
      <c r="BL38" s="468"/>
      <c r="BM38" s="441"/>
      <c r="BN38" s="455"/>
      <c r="BO38" s="442"/>
      <c r="BP38" s="441"/>
      <c r="BQ38" s="441"/>
      <c r="BR38" s="441"/>
      <c r="BS38" s="455"/>
      <c r="BT38" s="442"/>
      <c r="BU38" s="441"/>
      <c r="BV38" s="441"/>
      <c r="BW38" s="441"/>
      <c r="BX38" s="455"/>
      <c r="BY38" s="442"/>
      <c r="BZ38" s="441"/>
      <c r="CA38" s="441"/>
      <c r="CB38" s="441"/>
      <c r="CC38" s="441"/>
      <c r="CD38" s="442"/>
      <c r="CE38" s="441"/>
      <c r="CF38" s="441"/>
      <c r="CG38" s="441"/>
      <c r="CH38" s="455"/>
      <c r="CI38" s="442"/>
      <c r="CJ38" s="441"/>
      <c r="CK38" s="441"/>
      <c r="CL38" s="441"/>
      <c r="CM38" s="455"/>
      <c r="CN38" s="442"/>
      <c r="CO38" s="441"/>
      <c r="CP38" s="441"/>
      <c r="CQ38" s="441"/>
      <c r="CR38" s="455"/>
      <c r="CS38" s="442"/>
      <c r="CT38" s="441"/>
      <c r="CU38" s="441"/>
      <c r="CV38" s="441"/>
      <c r="CW38" s="455"/>
      <c r="CX38" s="442"/>
      <c r="CY38" s="441"/>
      <c r="CZ38" s="441"/>
      <c r="DA38" s="441"/>
      <c r="DB38" s="455"/>
      <c r="DC38" s="442"/>
      <c r="DD38" s="441"/>
      <c r="DE38" s="441"/>
      <c r="DF38" s="441"/>
      <c r="DG38" s="455"/>
      <c r="DH38" s="442"/>
      <c r="DI38" s="441"/>
      <c r="DJ38" s="441"/>
      <c r="DK38" s="441"/>
      <c r="DL38" s="455"/>
      <c r="DM38" s="442"/>
      <c r="DN38" s="207"/>
    </row>
    <row r="39" spans="1:118" ht="14.25" hidden="1" customHeight="1" outlineLevel="1" x14ac:dyDescent="0.2">
      <c r="A39" s="418"/>
      <c r="B39" s="435"/>
      <c r="C39" s="437"/>
      <c r="D39" s="437"/>
      <c r="E39" s="437"/>
      <c r="F39" s="437"/>
      <c r="G39" s="438"/>
      <c r="H39" s="437"/>
      <c r="I39" s="437"/>
      <c r="J39" s="437"/>
      <c r="K39" s="437"/>
      <c r="L39" s="438"/>
      <c r="M39" s="437"/>
      <c r="N39" s="437"/>
      <c r="O39" s="437"/>
      <c r="P39" s="437"/>
      <c r="Q39" s="438"/>
      <c r="R39" s="437"/>
      <c r="S39" s="437"/>
      <c r="T39" s="437"/>
      <c r="U39" s="437"/>
      <c r="V39" s="438"/>
      <c r="W39" s="437"/>
      <c r="X39" s="437"/>
      <c r="Y39" s="437"/>
      <c r="Z39" s="437"/>
      <c r="AA39" s="438"/>
      <c r="AB39" s="437"/>
      <c r="AC39" s="437"/>
      <c r="AD39" s="437"/>
      <c r="AE39" s="437"/>
      <c r="AF39" s="438"/>
      <c r="AG39" s="437"/>
      <c r="AH39" s="437"/>
      <c r="AI39" s="437"/>
      <c r="AJ39" s="437"/>
      <c r="AK39" s="438"/>
      <c r="AL39" s="437"/>
      <c r="AM39" s="437"/>
      <c r="AN39" s="437"/>
      <c r="AO39" s="437"/>
      <c r="AP39" s="438"/>
      <c r="AQ39" s="437"/>
      <c r="AR39" s="437"/>
      <c r="AS39" s="437"/>
      <c r="AT39" s="437"/>
      <c r="AU39" s="438"/>
      <c r="AV39" s="437"/>
      <c r="AW39" s="437"/>
      <c r="AX39" s="437"/>
      <c r="AY39" s="437"/>
      <c r="AZ39" s="438"/>
      <c r="BA39" s="437"/>
      <c r="BB39" s="437"/>
      <c r="BC39" s="437"/>
      <c r="BD39" s="455"/>
      <c r="BE39" s="438"/>
      <c r="BF39" s="455"/>
      <c r="BG39" s="441"/>
      <c r="BH39" s="468"/>
      <c r="BI39" s="455"/>
      <c r="BJ39" s="442"/>
      <c r="BK39" s="441"/>
      <c r="BL39" s="468"/>
      <c r="BM39" s="441"/>
      <c r="BN39" s="455"/>
      <c r="BO39" s="442"/>
      <c r="BP39" s="441"/>
      <c r="BQ39" s="441"/>
      <c r="BR39" s="441"/>
      <c r="BS39" s="455"/>
      <c r="BT39" s="442"/>
      <c r="BU39" s="441"/>
      <c r="BV39" s="441"/>
      <c r="BW39" s="441"/>
      <c r="BX39" s="455"/>
      <c r="BY39" s="442"/>
      <c r="BZ39" s="441"/>
      <c r="CA39" s="441"/>
      <c r="CB39" s="441"/>
      <c r="CC39" s="441"/>
      <c r="CD39" s="442"/>
      <c r="CE39" s="441"/>
      <c r="CF39" s="441"/>
      <c r="CG39" s="441"/>
      <c r="CH39" s="455"/>
      <c r="CI39" s="442"/>
      <c r="CJ39" s="441"/>
      <c r="CK39" s="441"/>
      <c r="CL39" s="441"/>
      <c r="CM39" s="455"/>
      <c r="CN39" s="442"/>
      <c r="CO39" s="441"/>
      <c r="CP39" s="441"/>
      <c r="CQ39" s="441"/>
      <c r="CR39" s="455"/>
      <c r="CS39" s="442"/>
      <c r="CT39" s="441"/>
      <c r="CU39" s="441"/>
      <c r="CV39" s="441"/>
      <c r="CW39" s="455"/>
      <c r="CX39" s="442"/>
      <c r="CY39" s="441"/>
      <c r="CZ39" s="441"/>
      <c r="DA39" s="441"/>
      <c r="DB39" s="455"/>
      <c r="DC39" s="442"/>
      <c r="DD39" s="441"/>
      <c r="DE39" s="441"/>
      <c r="DF39" s="441"/>
      <c r="DG39" s="455"/>
      <c r="DH39" s="442"/>
      <c r="DI39" s="441"/>
      <c r="DJ39" s="441"/>
      <c r="DK39" s="441"/>
      <c r="DL39" s="455"/>
      <c r="DM39" s="442"/>
      <c r="DN39" s="207"/>
    </row>
    <row r="40" spans="1:118" ht="14.25" hidden="1" customHeight="1" outlineLevel="1" x14ac:dyDescent="0.25">
      <c r="A40" s="418" t="s">
        <v>224</v>
      </c>
      <c r="B40" s="435"/>
      <c r="C40" s="419"/>
      <c r="D40" s="419"/>
      <c r="E40" s="419"/>
      <c r="F40" s="419"/>
      <c r="G40" s="420"/>
      <c r="H40" s="419"/>
      <c r="I40" s="419"/>
      <c r="J40" s="419"/>
      <c r="K40" s="419"/>
      <c r="L40" s="420"/>
      <c r="M40" s="419"/>
      <c r="N40" s="419"/>
      <c r="O40" s="419"/>
      <c r="P40" s="419"/>
      <c r="Q40" s="420"/>
      <c r="R40" s="419"/>
      <c r="S40" s="419"/>
      <c r="T40" s="419"/>
      <c r="U40" s="419"/>
      <c r="V40" s="420"/>
      <c r="W40" s="419">
        <f>W17-W23</f>
        <v>-576</v>
      </c>
      <c r="X40" s="419">
        <f>X17-X23</f>
        <v>-622</v>
      </c>
      <c r="Y40" s="419">
        <f>Y17-Y23</f>
        <v>-663</v>
      </c>
      <c r="Z40" s="419">
        <f>Z17-Z23</f>
        <v>-869</v>
      </c>
      <c r="AA40" s="420">
        <f>SUM(W40:Z40)</f>
        <v>-2730</v>
      </c>
      <c r="AB40" s="419">
        <f>AB17-AB23</f>
        <v>-597</v>
      </c>
      <c r="AC40" s="419">
        <f>AC17-AC23</f>
        <v>-657</v>
      </c>
      <c r="AD40" s="419">
        <f>AD17-AD23</f>
        <v>-609</v>
      </c>
      <c r="AE40" s="419">
        <f>AE17-AE23</f>
        <v>-894</v>
      </c>
      <c r="AF40" s="420">
        <f>SUM(AB40:AE40)</f>
        <v>-2757</v>
      </c>
      <c r="AG40" s="419">
        <f>AG17-AG23</f>
        <v>-648</v>
      </c>
      <c r="AH40" s="419">
        <f>AH17-AH23</f>
        <v>-621</v>
      </c>
      <c r="AI40" s="419">
        <f>AI17-AI23</f>
        <v>-703</v>
      </c>
      <c r="AJ40" s="419">
        <f>AJ17-AJ23</f>
        <v>-912</v>
      </c>
      <c r="AK40" s="420">
        <f>SUM(AG40:AJ40)</f>
        <v>-2884</v>
      </c>
      <c r="AL40" s="419">
        <f>AL17-AL23</f>
        <v>-714</v>
      </c>
      <c r="AM40" s="419">
        <f>AM17-AM23</f>
        <v>-733</v>
      </c>
      <c r="AN40" s="419">
        <f>AN17-AN23</f>
        <v>-765</v>
      </c>
      <c r="AO40" s="419">
        <f>AO17-AO23</f>
        <v>-930</v>
      </c>
      <c r="AP40" s="420">
        <f>SUM(AL40:AO40)</f>
        <v>-3142</v>
      </c>
      <c r="AQ40" s="419">
        <f>AQ17-AQ23</f>
        <v>-749</v>
      </c>
      <c r="AR40" s="419">
        <f>AR17-AR23</f>
        <v>-722</v>
      </c>
      <c r="AS40" s="419">
        <f>AS17-AS23</f>
        <v>-735</v>
      </c>
      <c r="AT40" s="419">
        <f>AT17-AT23</f>
        <v>-801</v>
      </c>
      <c r="AU40" s="420">
        <f>SUM(AQ40:AT40)</f>
        <v>-3007</v>
      </c>
      <c r="AV40" s="419">
        <f>AV17-AV23</f>
        <v>-737</v>
      </c>
      <c r="AW40" s="419">
        <f>AW17-AW23</f>
        <v>-740</v>
      </c>
      <c r="AX40" s="419">
        <f>AX17-AX23</f>
        <v>-730</v>
      </c>
      <c r="AY40" s="419">
        <f>AY17-AY23</f>
        <v>-927</v>
      </c>
      <c r="AZ40" s="420">
        <f>SUM(AV40:AY40)</f>
        <v>-3134</v>
      </c>
      <c r="BA40" s="419">
        <f>BA17-BA23</f>
        <v>-732</v>
      </c>
      <c r="BB40" s="419">
        <f>BB17-BB23</f>
        <v>-732</v>
      </c>
      <c r="BC40" s="419">
        <f>BC17-BC23</f>
        <v>-767</v>
      </c>
      <c r="BD40" s="455" t="s">
        <v>169</v>
      </c>
      <c r="BE40" s="420" t="s">
        <v>169</v>
      </c>
      <c r="BF40" s="455"/>
      <c r="BG40" s="441"/>
      <c r="BH40" s="468"/>
      <c r="BI40" s="455"/>
      <c r="BJ40" s="442"/>
      <c r="BK40" s="441"/>
      <c r="BL40" s="468"/>
      <c r="BM40" s="441"/>
      <c r="BN40" s="455"/>
      <c r="BO40" s="442"/>
      <c r="BP40" s="441"/>
      <c r="BQ40" s="441"/>
      <c r="BR40" s="441"/>
      <c r="BS40" s="455"/>
      <c r="BT40" s="442"/>
      <c r="BU40" s="441"/>
      <c r="BV40" s="441"/>
      <c r="BW40" s="441"/>
      <c r="BX40" s="455"/>
      <c r="BY40" s="442"/>
      <c r="BZ40" s="441"/>
      <c r="CA40" s="441"/>
      <c r="CB40" s="441"/>
      <c r="CC40" s="441"/>
      <c r="CD40" s="442"/>
      <c r="CE40" s="441"/>
      <c r="CF40" s="441"/>
      <c r="CG40" s="441"/>
      <c r="CH40" s="455"/>
      <c r="CI40" s="442"/>
      <c r="CJ40" s="441"/>
      <c r="CK40" s="441"/>
      <c r="CL40" s="441"/>
      <c r="CM40" s="455"/>
      <c r="CN40" s="442"/>
      <c r="CO40" s="441"/>
      <c r="CP40" s="441"/>
      <c r="CQ40" s="441"/>
      <c r="CR40" s="455"/>
      <c r="CS40" s="442"/>
      <c r="CT40" s="441"/>
      <c r="CU40" s="441"/>
      <c r="CV40" s="441"/>
      <c r="CW40" s="455"/>
      <c r="CX40" s="442"/>
      <c r="CY40" s="441"/>
      <c r="CZ40" s="441"/>
      <c r="DA40" s="441"/>
      <c r="DB40" s="455"/>
      <c r="DC40" s="442"/>
      <c r="DD40" s="441"/>
      <c r="DE40" s="441"/>
      <c r="DF40" s="441"/>
      <c r="DG40" s="455"/>
      <c r="DH40" s="442"/>
      <c r="DI40" s="441"/>
      <c r="DJ40" s="441"/>
      <c r="DK40" s="441"/>
      <c r="DL40" s="455"/>
      <c r="DM40" s="442"/>
      <c r="DN40" s="207"/>
    </row>
    <row r="41" spans="1:118" ht="14.25" hidden="1" customHeight="1" outlineLevel="1" x14ac:dyDescent="0.2">
      <c r="A41" s="418"/>
      <c r="B41" s="454" t="s">
        <v>27</v>
      </c>
      <c r="C41" s="423"/>
      <c r="D41" s="423"/>
      <c r="E41" s="423"/>
      <c r="F41" s="423"/>
      <c r="G41" s="424"/>
      <c r="H41" s="423"/>
      <c r="I41" s="423"/>
      <c r="J41" s="423"/>
      <c r="K41" s="423"/>
      <c r="L41" s="424"/>
      <c r="M41" s="423"/>
      <c r="N41" s="423"/>
      <c r="O41" s="423"/>
      <c r="P41" s="423"/>
      <c r="Q41" s="424"/>
      <c r="R41" s="423"/>
      <c r="S41" s="423"/>
      <c r="T41" s="423"/>
      <c r="U41" s="423"/>
      <c r="V41" s="424"/>
      <c r="W41" s="423">
        <f t="shared" ref="W41:BC41" si="50">-W40/W5</f>
        <v>0.11455847255369929</v>
      </c>
      <c r="X41" s="423">
        <f t="shared" si="50"/>
        <v>0.10517416300304362</v>
      </c>
      <c r="Y41" s="423">
        <f t="shared" si="50"/>
        <v>0.11847748391708363</v>
      </c>
      <c r="Z41" s="423">
        <f t="shared" si="50"/>
        <v>0.1669869331283628</v>
      </c>
      <c r="AA41" s="424">
        <f t="shared" si="50"/>
        <v>0.12556342562781714</v>
      </c>
      <c r="AB41" s="423">
        <f t="shared" si="50"/>
        <v>0.11467537456780638</v>
      </c>
      <c r="AC41" s="423">
        <f t="shared" si="50"/>
        <v>0.10412044374009509</v>
      </c>
      <c r="AD41" s="423">
        <f t="shared" si="50"/>
        <v>0.10087791949643862</v>
      </c>
      <c r="AE41" s="423">
        <f t="shared" si="50"/>
        <v>0.16105206269140696</v>
      </c>
      <c r="AF41" s="424">
        <f t="shared" si="50"/>
        <v>0.11932998614958448</v>
      </c>
      <c r="AG41" s="423">
        <f t="shared" si="50"/>
        <v>0.12399540757749714</v>
      </c>
      <c r="AH41" s="423">
        <f t="shared" si="50"/>
        <v>9.5892526250772075E-2</v>
      </c>
      <c r="AI41" s="423">
        <f t="shared" si="50"/>
        <v>0.10892469786179114</v>
      </c>
      <c r="AJ41" s="423">
        <f t="shared" si="50"/>
        <v>0.15374241402562375</v>
      </c>
      <c r="AK41" s="424">
        <f t="shared" si="50"/>
        <v>0.11972766522749917</v>
      </c>
      <c r="AL41" s="423">
        <f t="shared" si="50"/>
        <v>0.11699164345403899</v>
      </c>
      <c r="AM41" s="423">
        <f t="shared" si="50"/>
        <v>9.4788568472779E-2</v>
      </c>
      <c r="AN41" s="423">
        <f t="shared" si="50"/>
        <v>9.9479843953185959E-2</v>
      </c>
      <c r="AO41" s="423">
        <f t="shared" si="50"/>
        <v>0.12685854590096848</v>
      </c>
      <c r="AP41" s="424">
        <f t="shared" si="50"/>
        <v>0.10888172713726306</v>
      </c>
      <c r="AQ41" s="423">
        <f t="shared" si="50"/>
        <v>0.10150426887112075</v>
      </c>
      <c r="AR41" s="423">
        <f t="shared" si="50"/>
        <v>7.9814282555825775E-2</v>
      </c>
      <c r="AS41" s="423">
        <f t="shared" si="50"/>
        <v>8.7572977481234368E-2</v>
      </c>
      <c r="AT41" s="423">
        <f t="shared" si="50"/>
        <v>0.11240527645242773</v>
      </c>
      <c r="AU41" s="424">
        <f t="shared" si="50"/>
        <v>9.4133483596293518E-2</v>
      </c>
      <c r="AV41" s="423">
        <f t="shared" si="50"/>
        <v>0.10280373831775701</v>
      </c>
      <c r="AW41" s="423">
        <f t="shared" si="50"/>
        <v>8.9512519656465464E-2</v>
      </c>
      <c r="AX41" s="423">
        <f t="shared" si="50"/>
        <v>9.075087021382397E-2</v>
      </c>
      <c r="AY41" s="423">
        <f t="shared" si="50"/>
        <v>0.12343541944074567</v>
      </c>
      <c r="AZ41" s="424">
        <f t="shared" si="50"/>
        <v>0.10112939657954179</v>
      </c>
      <c r="BA41" s="423">
        <f t="shared" si="50"/>
        <v>9.7275747508305643E-2</v>
      </c>
      <c r="BB41" s="423">
        <f t="shared" si="50"/>
        <v>8.4390131427253864E-2</v>
      </c>
      <c r="BC41" s="423">
        <f t="shared" si="50"/>
        <v>9.1027771184429146E-2</v>
      </c>
      <c r="BD41" s="455" t="s">
        <v>169</v>
      </c>
      <c r="BE41" s="424" t="s">
        <v>169</v>
      </c>
      <c r="BF41" s="455"/>
      <c r="BG41" s="441"/>
      <c r="BH41" s="468"/>
      <c r="BI41" s="455"/>
      <c r="BJ41" s="442"/>
      <c r="BK41" s="441"/>
      <c r="BL41" s="468"/>
      <c r="BM41" s="441"/>
      <c r="BN41" s="455"/>
      <c r="BO41" s="442"/>
      <c r="BP41" s="441"/>
      <c r="BQ41" s="441"/>
      <c r="BR41" s="441"/>
      <c r="BS41" s="455"/>
      <c r="BT41" s="442"/>
      <c r="BU41" s="441"/>
      <c r="BV41" s="441"/>
      <c r="BW41" s="441"/>
      <c r="BX41" s="455"/>
      <c r="BY41" s="442"/>
      <c r="BZ41" s="441"/>
      <c r="CA41" s="441"/>
      <c r="CB41" s="441"/>
      <c r="CC41" s="441"/>
      <c r="CD41" s="442"/>
      <c r="CE41" s="441"/>
      <c r="CF41" s="441"/>
      <c r="CG41" s="441"/>
      <c r="CH41" s="455"/>
      <c r="CI41" s="442"/>
      <c r="CJ41" s="441"/>
      <c r="CK41" s="441"/>
      <c r="CL41" s="441"/>
      <c r="CM41" s="455"/>
      <c r="CN41" s="442"/>
      <c r="CO41" s="441"/>
      <c r="CP41" s="441"/>
      <c r="CQ41" s="441"/>
      <c r="CR41" s="455"/>
      <c r="CS41" s="442"/>
      <c r="CT41" s="441"/>
      <c r="CU41" s="441"/>
      <c r="CV41" s="441"/>
      <c r="CW41" s="455"/>
      <c r="CX41" s="442"/>
      <c r="CY41" s="441"/>
      <c r="CZ41" s="441"/>
      <c r="DA41" s="441"/>
      <c r="DB41" s="455"/>
      <c r="DC41" s="442"/>
      <c r="DD41" s="441"/>
      <c r="DE41" s="441"/>
      <c r="DF41" s="441"/>
      <c r="DG41" s="455"/>
      <c r="DH41" s="442"/>
      <c r="DI41" s="441"/>
      <c r="DJ41" s="441"/>
      <c r="DK41" s="441"/>
      <c r="DL41" s="455"/>
      <c r="DM41" s="442"/>
      <c r="DN41" s="207"/>
    </row>
    <row r="42" spans="1:118" ht="14.25" hidden="1" customHeight="1" outlineLevel="1" x14ac:dyDescent="0.2">
      <c r="A42" s="418"/>
      <c r="B42" s="454" t="s">
        <v>20</v>
      </c>
      <c r="C42" s="423"/>
      <c r="D42" s="423"/>
      <c r="E42" s="423"/>
      <c r="F42" s="423"/>
      <c r="G42" s="424"/>
      <c r="H42" s="423"/>
      <c r="I42" s="423"/>
      <c r="J42" s="423"/>
      <c r="K42" s="423"/>
      <c r="L42" s="424"/>
      <c r="M42" s="423"/>
      <c r="N42" s="423"/>
      <c r="O42" s="423"/>
      <c r="P42" s="423"/>
      <c r="Q42" s="424"/>
      <c r="R42" s="423"/>
      <c r="S42" s="423"/>
      <c r="T42" s="423"/>
      <c r="U42" s="423"/>
      <c r="V42" s="424"/>
      <c r="W42" s="423"/>
      <c r="X42" s="423"/>
      <c r="Y42" s="423"/>
      <c r="Z42" s="423"/>
      <c r="AA42" s="424"/>
      <c r="AB42" s="423">
        <f t="shared" ref="AB42:BC42" si="51">AB40/W40-1</f>
        <v>3.6458333333333259E-2</v>
      </c>
      <c r="AC42" s="423">
        <f t="shared" si="51"/>
        <v>5.6270096463022501E-2</v>
      </c>
      <c r="AD42" s="423">
        <f t="shared" si="51"/>
        <v>-8.1447963800905021E-2</v>
      </c>
      <c r="AE42" s="423">
        <f t="shared" si="51"/>
        <v>2.8768699654775576E-2</v>
      </c>
      <c r="AF42" s="424">
        <f t="shared" si="51"/>
        <v>9.890109890109855E-3</v>
      </c>
      <c r="AG42" s="423">
        <f t="shared" si="51"/>
        <v>8.5427135678391997E-2</v>
      </c>
      <c r="AH42" s="423">
        <f t="shared" si="51"/>
        <v>-5.4794520547945202E-2</v>
      </c>
      <c r="AI42" s="423">
        <f t="shared" si="51"/>
        <v>0.15435139573070611</v>
      </c>
      <c r="AJ42" s="423">
        <f t="shared" si="51"/>
        <v>2.0134228187919545E-2</v>
      </c>
      <c r="AK42" s="424">
        <f t="shared" si="51"/>
        <v>4.6064562930721697E-2</v>
      </c>
      <c r="AL42" s="423">
        <f t="shared" si="51"/>
        <v>0.10185185185185186</v>
      </c>
      <c r="AM42" s="423">
        <f t="shared" si="51"/>
        <v>0.18035426731078896</v>
      </c>
      <c r="AN42" s="423">
        <f t="shared" si="51"/>
        <v>8.819345661450928E-2</v>
      </c>
      <c r="AO42" s="423">
        <f t="shared" si="51"/>
        <v>1.9736842105263053E-2</v>
      </c>
      <c r="AP42" s="424">
        <f t="shared" si="51"/>
        <v>8.9459084604715633E-2</v>
      </c>
      <c r="AQ42" s="423">
        <f t="shared" si="51"/>
        <v>4.9019607843137303E-2</v>
      </c>
      <c r="AR42" s="423">
        <f t="shared" si="51"/>
        <v>-1.5006821282401051E-2</v>
      </c>
      <c r="AS42" s="423">
        <f t="shared" si="51"/>
        <v>-3.9215686274509776E-2</v>
      </c>
      <c r="AT42" s="423">
        <f t="shared" si="51"/>
        <v>-0.1387096774193548</v>
      </c>
      <c r="AU42" s="424">
        <f t="shared" si="51"/>
        <v>-4.2966263526416304E-2</v>
      </c>
      <c r="AV42" s="423">
        <f t="shared" si="51"/>
        <v>-1.6021361815754309E-2</v>
      </c>
      <c r="AW42" s="423">
        <f t="shared" si="51"/>
        <v>2.4930747922437657E-2</v>
      </c>
      <c r="AX42" s="423">
        <f t="shared" si="51"/>
        <v>-6.8027210884353817E-3</v>
      </c>
      <c r="AY42" s="423">
        <f t="shared" si="51"/>
        <v>0.15730337078651679</v>
      </c>
      <c r="AZ42" s="424">
        <f t="shared" si="51"/>
        <v>4.223478550049875E-2</v>
      </c>
      <c r="BA42" s="423">
        <f t="shared" si="51"/>
        <v>-6.7842605156037683E-3</v>
      </c>
      <c r="BB42" s="423">
        <f t="shared" si="51"/>
        <v>-1.0810810810810811E-2</v>
      </c>
      <c r="BC42" s="423">
        <f t="shared" si="51"/>
        <v>5.0684931506849384E-2</v>
      </c>
      <c r="BD42" s="455" t="s">
        <v>169</v>
      </c>
      <c r="BE42" s="424" t="s">
        <v>169</v>
      </c>
      <c r="BF42" s="455"/>
      <c r="BG42" s="441"/>
      <c r="BH42" s="468"/>
      <c r="BI42" s="455"/>
      <c r="BJ42" s="442"/>
      <c r="BK42" s="441"/>
      <c r="BL42" s="468"/>
      <c r="BM42" s="441"/>
      <c r="BN42" s="455"/>
      <c r="BO42" s="442"/>
      <c r="BP42" s="441"/>
      <c r="BQ42" s="441"/>
      <c r="BR42" s="441"/>
      <c r="BS42" s="455"/>
      <c r="BT42" s="442"/>
      <c r="BU42" s="441"/>
      <c r="BV42" s="441"/>
      <c r="BW42" s="441"/>
      <c r="BX42" s="455"/>
      <c r="BY42" s="442"/>
      <c r="BZ42" s="441"/>
      <c r="CA42" s="441"/>
      <c r="CB42" s="441"/>
      <c r="CC42" s="441"/>
      <c r="CD42" s="442"/>
      <c r="CE42" s="441"/>
      <c r="CF42" s="441"/>
      <c r="CG42" s="441"/>
      <c r="CH42" s="455"/>
      <c r="CI42" s="442"/>
      <c r="CJ42" s="441"/>
      <c r="CK42" s="441"/>
      <c r="CL42" s="441"/>
      <c r="CM42" s="455"/>
      <c r="CN42" s="442"/>
      <c r="CO42" s="441"/>
      <c r="CP42" s="441"/>
      <c r="CQ42" s="441"/>
      <c r="CR42" s="455"/>
      <c r="CS42" s="442"/>
      <c r="CT42" s="441"/>
      <c r="CU42" s="441"/>
      <c r="CV42" s="441"/>
      <c r="CW42" s="455"/>
      <c r="CX42" s="442"/>
      <c r="CY42" s="441"/>
      <c r="CZ42" s="441"/>
      <c r="DA42" s="441"/>
      <c r="DB42" s="455"/>
      <c r="DC42" s="442"/>
      <c r="DD42" s="441"/>
      <c r="DE42" s="441"/>
      <c r="DF42" s="441"/>
      <c r="DG42" s="455"/>
      <c r="DH42" s="442"/>
      <c r="DI42" s="441"/>
      <c r="DJ42" s="441"/>
      <c r="DK42" s="441"/>
      <c r="DL42" s="455"/>
      <c r="DM42" s="442"/>
      <c r="DN42" s="207"/>
    </row>
    <row r="43" spans="1:118" ht="14.25" hidden="1" customHeight="1" outlineLevel="1" x14ac:dyDescent="0.2">
      <c r="A43" s="418"/>
      <c r="B43" s="435" t="s">
        <v>26</v>
      </c>
      <c r="C43" s="437"/>
      <c r="D43" s="437"/>
      <c r="E43" s="437"/>
      <c r="F43" s="437"/>
      <c r="G43" s="438"/>
      <c r="H43" s="437"/>
      <c r="I43" s="437"/>
      <c r="J43" s="437"/>
      <c r="K43" s="437"/>
      <c r="L43" s="438"/>
      <c r="M43" s="437"/>
      <c r="N43" s="437"/>
      <c r="O43" s="437"/>
      <c r="P43" s="437"/>
      <c r="Q43" s="438"/>
      <c r="R43" s="437"/>
      <c r="S43" s="437"/>
      <c r="T43" s="437"/>
      <c r="U43" s="437"/>
      <c r="V43" s="438"/>
      <c r="W43" s="437"/>
      <c r="X43" s="437"/>
      <c r="Y43" s="437"/>
      <c r="Z43" s="437"/>
      <c r="AA43" s="438"/>
      <c r="AB43" s="437">
        <f t="shared" ref="AB43:BC43" si="52">(AB41-W41)*10000</f>
        <v>1.1690201410709256</v>
      </c>
      <c r="AC43" s="437">
        <f t="shared" si="52"/>
        <v>-10.537192629485325</v>
      </c>
      <c r="AD43" s="437">
        <f t="shared" si="52"/>
        <v>-175.99564420645004</v>
      </c>
      <c r="AE43" s="437">
        <f t="shared" si="52"/>
        <v>-59.348704369558412</v>
      </c>
      <c r="AF43" s="438">
        <f t="shared" si="52"/>
        <v>-62.334394782326555</v>
      </c>
      <c r="AG43" s="437">
        <f t="shared" si="52"/>
        <v>93.200330096907535</v>
      </c>
      <c r="AH43" s="437">
        <f t="shared" si="52"/>
        <v>-82.279174893230135</v>
      </c>
      <c r="AI43" s="437">
        <f t="shared" si="52"/>
        <v>80.46778365352516</v>
      </c>
      <c r="AJ43" s="437">
        <f t="shared" si="52"/>
        <v>-73.096486657832088</v>
      </c>
      <c r="AK43" s="438">
        <f t="shared" si="52"/>
        <v>3.976790779146866</v>
      </c>
      <c r="AL43" s="437">
        <f t="shared" si="52"/>
        <v>-70.037641234581415</v>
      </c>
      <c r="AM43" s="437">
        <f t="shared" si="52"/>
        <v>-11.039577779930754</v>
      </c>
      <c r="AN43" s="437">
        <f t="shared" si="52"/>
        <v>-94.448539086051809</v>
      </c>
      <c r="AO43" s="437">
        <f t="shared" si="52"/>
        <v>-268.83868124655265</v>
      </c>
      <c r="AP43" s="438">
        <f t="shared" si="52"/>
        <v>-108.45938090236109</v>
      </c>
      <c r="AQ43" s="437">
        <f t="shared" si="52"/>
        <v>-154.87374582918238</v>
      </c>
      <c r="AR43" s="437">
        <f t="shared" si="52"/>
        <v>-149.74285916953227</v>
      </c>
      <c r="AS43" s="437">
        <f t="shared" si="52"/>
        <v>-119.06866471951591</v>
      </c>
      <c r="AT43" s="437">
        <f t="shared" si="52"/>
        <v>-144.53269448540752</v>
      </c>
      <c r="AU43" s="438">
        <f t="shared" si="52"/>
        <v>-147.4824354096954</v>
      </c>
      <c r="AV43" s="437">
        <f t="shared" si="52"/>
        <v>12.994694466362533</v>
      </c>
      <c r="AW43" s="437">
        <f t="shared" si="52"/>
        <v>96.982371006396889</v>
      </c>
      <c r="AX43" s="437">
        <f t="shared" si="52"/>
        <v>31.778927325896017</v>
      </c>
      <c r="AY43" s="437">
        <f t="shared" si="52"/>
        <v>110.30142988317934</v>
      </c>
      <c r="AZ43" s="438">
        <f t="shared" si="52"/>
        <v>69.959129832482674</v>
      </c>
      <c r="BA43" s="437">
        <f t="shared" si="52"/>
        <v>-55.279908094513637</v>
      </c>
      <c r="BB43" s="437">
        <f t="shared" si="52"/>
        <v>-51.223882292115995</v>
      </c>
      <c r="BC43" s="437">
        <f t="shared" si="52"/>
        <v>2.7690097060517616</v>
      </c>
      <c r="BD43" s="455" t="s">
        <v>169</v>
      </c>
      <c r="BE43" s="438" t="s">
        <v>169</v>
      </c>
      <c r="BF43" s="455"/>
      <c r="BG43" s="441"/>
      <c r="BH43" s="468"/>
      <c r="BI43" s="455"/>
      <c r="BJ43" s="442"/>
      <c r="BK43" s="441"/>
      <c r="BL43" s="468"/>
      <c r="BM43" s="441"/>
      <c r="BN43" s="455"/>
      <c r="BO43" s="442"/>
      <c r="BP43" s="441"/>
      <c r="BQ43" s="441"/>
      <c r="BR43" s="441"/>
      <c r="BS43" s="455"/>
      <c r="BT43" s="442"/>
      <c r="BU43" s="441"/>
      <c r="BV43" s="441"/>
      <c r="BW43" s="441"/>
      <c r="BX43" s="455"/>
      <c r="BY43" s="442"/>
      <c r="BZ43" s="441"/>
      <c r="CA43" s="441"/>
      <c r="CB43" s="441"/>
      <c r="CC43" s="441"/>
      <c r="CD43" s="442"/>
      <c r="CE43" s="441"/>
      <c r="CF43" s="441"/>
      <c r="CG43" s="441"/>
      <c r="CH43" s="455"/>
      <c r="CI43" s="442"/>
      <c r="CJ43" s="441"/>
      <c r="CK43" s="441"/>
      <c r="CL43" s="441"/>
      <c r="CM43" s="455"/>
      <c r="CN43" s="442"/>
      <c r="CO43" s="441"/>
      <c r="CP43" s="441"/>
      <c r="CQ43" s="441"/>
      <c r="CR43" s="455"/>
      <c r="CS43" s="442"/>
      <c r="CT43" s="441"/>
      <c r="CU43" s="441"/>
      <c r="CV43" s="441"/>
      <c r="CW43" s="455"/>
      <c r="CX43" s="442"/>
      <c r="CY43" s="441"/>
      <c r="CZ43" s="441"/>
      <c r="DA43" s="441"/>
      <c r="DB43" s="455"/>
      <c r="DC43" s="442"/>
      <c r="DD43" s="441"/>
      <c r="DE43" s="441"/>
      <c r="DF43" s="441"/>
      <c r="DG43" s="455"/>
      <c r="DH43" s="442"/>
      <c r="DI43" s="441"/>
      <c r="DJ43" s="441"/>
      <c r="DK43" s="441"/>
      <c r="DL43" s="455"/>
      <c r="DM43" s="442"/>
      <c r="DN43" s="207"/>
    </row>
    <row r="44" spans="1:118" ht="14.25" hidden="1" customHeight="1" outlineLevel="1" x14ac:dyDescent="0.2">
      <c r="A44" s="418"/>
      <c r="B44" s="435"/>
      <c r="C44" s="437"/>
      <c r="D44" s="437"/>
      <c r="E44" s="437"/>
      <c r="F44" s="437"/>
      <c r="G44" s="438"/>
      <c r="H44" s="437"/>
      <c r="I44" s="437"/>
      <c r="J44" s="437"/>
      <c r="K44" s="437"/>
      <c r="L44" s="438"/>
      <c r="M44" s="437"/>
      <c r="N44" s="437"/>
      <c r="O44" s="437"/>
      <c r="P44" s="437"/>
      <c r="Q44" s="438"/>
      <c r="R44" s="437"/>
      <c r="S44" s="437"/>
      <c r="T44" s="437"/>
      <c r="U44" s="437"/>
      <c r="V44" s="438"/>
      <c r="W44" s="437"/>
      <c r="X44" s="437"/>
      <c r="Y44" s="437"/>
      <c r="Z44" s="437"/>
      <c r="AA44" s="438"/>
      <c r="AB44" s="437"/>
      <c r="AC44" s="437"/>
      <c r="AD44" s="437"/>
      <c r="AE44" s="437"/>
      <c r="AF44" s="438"/>
      <c r="AG44" s="437"/>
      <c r="AH44" s="437"/>
      <c r="AI44" s="437"/>
      <c r="AJ44" s="437"/>
      <c r="AK44" s="438"/>
      <c r="AL44" s="437"/>
      <c r="AM44" s="437"/>
      <c r="AN44" s="437"/>
      <c r="AO44" s="437"/>
      <c r="AP44" s="438"/>
      <c r="AQ44" s="437"/>
      <c r="AR44" s="437"/>
      <c r="AS44" s="437"/>
      <c r="AT44" s="437"/>
      <c r="AU44" s="438"/>
      <c r="AV44" s="437"/>
      <c r="AW44" s="437"/>
      <c r="AX44" s="437"/>
      <c r="AY44" s="437"/>
      <c r="AZ44" s="438"/>
      <c r="BA44" s="437"/>
      <c r="BB44" s="437"/>
      <c r="BC44" s="437"/>
      <c r="BD44" s="455"/>
      <c r="BE44" s="438"/>
      <c r="BF44" s="455"/>
      <c r="BG44" s="441"/>
      <c r="BH44" s="468"/>
      <c r="BI44" s="455"/>
      <c r="BJ44" s="442"/>
      <c r="BK44" s="441"/>
      <c r="BL44" s="468"/>
      <c r="BM44" s="441"/>
      <c r="BN44" s="455"/>
      <c r="BO44" s="442"/>
      <c r="BP44" s="441"/>
      <c r="BQ44" s="441"/>
      <c r="BR44" s="441"/>
      <c r="BS44" s="455"/>
      <c r="BT44" s="442"/>
      <c r="BU44" s="441"/>
      <c r="BV44" s="441"/>
      <c r="BW44" s="441"/>
      <c r="BX44" s="455"/>
      <c r="BY44" s="442"/>
      <c r="BZ44" s="441"/>
      <c r="CA44" s="441"/>
      <c r="CB44" s="441"/>
      <c r="CC44" s="441"/>
      <c r="CD44" s="442"/>
      <c r="CE44" s="441"/>
      <c r="CF44" s="441"/>
      <c r="CG44" s="441"/>
      <c r="CH44" s="455"/>
      <c r="CI44" s="442"/>
      <c r="CJ44" s="441"/>
      <c r="CK44" s="441"/>
      <c r="CL44" s="441"/>
      <c r="CM44" s="455"/>
      <c r="CN44" s="442"/>
      <c r="CO44" s="441"/>
      <c r="CP44" s="441"/>
      <c r="CQ44" s="441"/>
      <c r="CR44" s="455"/>
      <c r="CS44" s="442"/>
      <c r="CT44" s="441"/>
      <c r="CU44" s="441"/>
      <c r="CV44" s="441"/>
      <c r="CW44" s="455"/>
      <c r="CX44" s="442"/>
      <c r="CY44" s="441"/>
      <c r="CZ44" s="441"/>
      <c r="DA44" s="441"/>
      <c r="DB44" s="455"/>
      <c r="DC44" s="442"/>
      <c r="DD44" s="441"/>
      <c r="DE44" s="441"/>
      <c r="DF44" s="441"/>
      <c r="DG44" s="455"/>
      <c r="DH44" s="442"/>
      <c r="DI44" s="441"/>
      <c r="DJ44" s="441"/>
      <c r="DK44" s="441"/>
      <c r="DL44" s="455"/>
      <c r="DM44" s="442"/>
      <c r="DN44" s="207"/>
    </row>
    <row r="45" spans="1:118" ht="14.25" hidden="1" customHeight="1" outlineLevel="1" x14ac:dyDescent="0.25">
      <c r="A45" s="418" t="s">
        <v>296</v>
      </c>
      <c r="B45" s="435"/>
      <c r="C45" s="437"/>
      <c r="D45" s="437"/>
      <c r="E45" s="437"/>
      <c r="F45" s="437"/>
      <c r="G45" s="438"/>
      <c r="H45" s="437"/>
      <c r="I45" s="437"/>
      <c r="J45" s="437"/>
      <c r="K45" s="437"/>
      <c r="L45" s="438"/>
      <c r="M45" s="437"/>
      <c r="N45" s="437"/>
      <c r="O45" s="437"/>
      <c r="P45" s="437"/>
      <c r="Q45" s="438"/>
      <c r="R45" s="437"/>
      <c r="S45" s="437"/>
      <c r="T45" s="437"/>
      <c r="U45" s="437"/>
      <c r="V45" s="438"/>
      <c r="W45" s="437"/>
      <c r="X45" s="437"/>
      <c r="Y45" s="437"/>
      <c r="Z45" s="437"/>
      <c r="AA45" s="438"/>
      <c r="AB45" s="437"/>
      <c r="AC45" s="437"/>
      <c r="AD45" s="437"/>
      <c r="AE45" s="437"/>
      <c r="AF45" s="438"/>
      <c r="AG45" s="437"/>
      <c r="AH45" s="437"/>
      <c r="AI45" s="437"/>
      <c r="AJ45" s="437"/>
      <c r="AK45" s="438"/>
      <c r="AL45" s="437"/>
      <c r="AM45" s="437"/>
      <c r="AN45" s="437"/>
      <c r="AO45" s="437"/>
      <c r="AP45" s="438"/>
      <c r="AQ45" s="437"/>
      <c r="AR45" s="437"/>
      <c r="AS45" s="437"/>
      <c r="AT45" s="437"/>
      <c r="AU45" s="420">
        <v>-2815</v>
      </c>
      <c r="AV45" s="437"/>
      <c r="AW45" s="437"/>
      <c r="AX45" s="437"/>
      <c r="AY45" s="437"/>
      <c r="AZ45" s="420">
        <v>-2627</v>
      </c>
      <c r="BA45" s="437"/>
      <c r="BB45" s="437"/>
      <c r="BC45" s="437"/>
      <c r="BD45" s="455"/>
      <c r="BE45" s="420">
        <v>-3902</v>
      </c>
      <c r="BF45" s="455"/>
      <c r="BG45" s="441"/>
      <c r="BH45" s="468"/>
      <c r="BI45" s="455"/>
      <c r="BJ45" s="420">
        <v>-8502</v>
      </c>
      <c r="BK45" s="441"/>
      <c r="BL45" s="468"/>
      <c r="BM45" s="441"/>
      <c r="BN45" s="455"/>
      <c r="BO45" s="420">
        <v>-8905</v>
      </c>
      <c r="BP45" s="441">
        <v>-2162</v>
      </c>
      <c r="BQ45" s="441">
        <v>-2155</v>
      </c>
      <c r="BR45" s="441">
        <v>-2064</v>
      </c>
      <c r="BS45" s="455">
        <f>BT45-SUM(BP45:BR45)</f>
        <v>-2129</v>
      </c>
      <c r="BT45" s="420">
        <v>-8510</v>
      </c>
      <c r="BU45" s="441">
        <v>-2073</v>
      </c>
      <c r="BV45" s="441">
        <v>-2124</v>
      </c>
      <c r="BW45" s="441">
        <v>-2086</v>
      </c>
      <c r="BX45" s="455">
        <f>BY45-SUM(BU45:BW45)</f>
        <v>-2098</v>
      </c>
      <c r="BY45" s="442">
        <v>-8381</v>
      </c>
      <c r="BZ45" s="441"/>
      <c r="CA45" s="441"/>
      <c r="CB45" s="441"/>
      <c r="CC45" s="441"/>
      <c r="CD45" s="442"/>
      <c r="CE45" s="441"/>
      <c r="CF45" s="441"/>
      <c r="CG45" s="441"/>
      <c r="CH45" s="455"/>
      <c r="CI45" s="442"/>
      <c r="CJ45" s="441"/>
      <c r="CK45" s="441"/>
      <c r="CL45" s="441"/>
      <c r="CM45" s="455"/>
      <c r="CN45" s="442"/>
      <c r="CO45" s="441"/>
      <c r="CP45" s="441"/>
      <c r="CQ45" s="441"/>
      <c r="CR45" s="455"/>
      <c r="CS45" s="442"/>
      <c r="CT45" s="441"/>
      <c r="CU45" s="441"/>
      <c r="CV45" s="441"/>
      <c r="CW45" s="455"/>
      <c r="CX45" s="442"/>
      <c r="CY45" s="441"/>
      <c r="CZ45" s="441"/>
      <c r="DA45" s="441"/>
      <c r="DB45" s="455"/>
      <c r="DC45" s="442"/>
      <c r="DD45" s="441"/>
      <c r="DE45" s="441"/>
      <c r="DF45" s="441"/>
      <c r="DG45" s="455"/>
      <c r="DH45" s="442"/>
      <c r="DI45" s="441"/>
      <c r="DJ45" s="441"/>
      <c r="DK45" s="441"/>
      <c r="DL45" s="455"/>
      <c r="DM45" s="442"/>
      <c r="DN45" s="207"/>
    </row>
    <row r="46" spans="1:118" ht="14.25" hidden="1" customHeight="1" outlineLevel="1" x14ac:dyDescent="0.2">
      <c r="A46" s="418"/>
      <c r="B46" s="454" t="s">
        <v>27</v>
      </c>
      <c r="C46" s="437"/>
      <c r="D46" s="437"/>
      <c r="E46" s="437"/>
      <c r="F46" s="437"/>
      <c r="G46" s="438"/>
      <c r="H46" s="437"/>
      <c r="I46" s="437"/>
      <c r="J46" s="437"/>
      <c r="K46" s="437"/>
      <c r="L46" s="438"/>
      <c r="M46" s="437"/>
      <c r="N46" s="437"/>
      <c r="O46" s="437"/>
      <c r="P46" s="437"/>
      <c r="Q46" s="438"/>
      <c r="R46" s="437"/>
      <c r="S46" s="437"/>
      <c r="T46" s="437"/>
      <c r="U46" s="437"/>
      <c r="V46" s="438"/>
      <c r="W46" s="437"/>
      <c r="X46" s="437"/>
      <c r="Y46" s="437"/>
      <c r="Z46" s="437"/>
      <c r="AA46" s="438"/>
      <c r="AB46" s="437"/>
      <c r="AC46" s="437"/>
      <c r="AD46" s="437"/>
      <c r="AE46" s="437"/>
      <c r="AF46" s="438"/>
      <c r="AG46" s="437"/>
      <c r="AH46" s="437"/>
      <c r="AI46" s="437"/>
      <c r="AJ46" s="437"/>
      <c r="AK46" s="438"/>
      <c r="AL46" s="437"/>
      <c r="AM46" s="437"/>
      <c r="AN46" s="437"/>
      <c r="AO46" s="437"/>
      <c r="AP46" s="438"/>
      <c r="AQ46" s="437"/>
      <c r="AR46" s="437"/>
      <c r="AS46" s="437"/>
      <c r="AT46" s="437"/>
      <c r="AU46" s="424">
        <f>-AU45/AU5</f>
        <v>8.8122965189080887E-2</v>
      </c>
      <c r="AV46" s="437"/>
      <c r="AW46" s="437"/>
      <c r="AX46" s="437"/>
      <c r="AY46" s="437"/>
      <c r="AZ46" s="424">
        <f>-AZ45/AZ5</f>
        <v>8.4769280413036469E-2</v>
      </c>
      <c r="BA46" s="437"/>
      <c r="BB46" s="437"/>
      <c r="BC46" s="437"/>
      <c r="BD46" s="455"/>
      <c r="BE46" s="424">
        <f>-BE45/BE5</f>
        <v>0.11109529368220254</v>
      </c>
      <c r="BF46" s="455"/>
      <c r="BG46" s="441"/>
      <c r="BH46" s="468"/>
      <c r="BI46" s="455"/>
      <c r="BJ46" s="424">
        <f>-BJ45/BJ5</f>
        <v>0.18262662714267303</v>
      </c>
      <c r="BK46" s="441"/>
      <c r="BL46" s="468"/>
      <c r="BM46" s="441"/>
      <c r="BN46" s="455"/>
      <c r="BO46" s="424">
        <f>-BO45/BO5</f>
        <v>0.18539723517654896</v>
      </c>
      <c r="BP46" s="441"/>
      <c r="BQ46" s="441"/>
      <c r="BR46" s="441"/>
      <c r="BS46" s="455"/>
      <c r="BT46" s="424">
        <f>-BT45/BT5</f>
        <v>0.18131458399914777</v>
      </c>
      <c r="BU46" s="441"/>
      <c r="BV46" s="441"/>
      <c r="BW46" s="441"/>
      <c r="BX46" s="455"/>
      <c r="BY46" s="442"/>
      <c r="BZ46" s="441"/>
      <c r="CA46" s="441"/>
      <c r="CB46" s="441"/>
      <c r="CC46" s="441"/>
      <c r="CD46" s="442"/>
      <c r="CE46" s="441"/>
      <c r="CF46" s="441"/>
      <c r="CG46" s="441"/>
      <c r="CH46" s="455"/>
      <c r="CI46" s="442"/>
      <c r="CJ46" s="441"/>
      <c r="CK46" s="441"/>
      <c r="CL46" s="441"/>
      <c r="CM46" s="455"/>
      <c r="CN46" s="442"/>
      <c r="CO46" s="441"/>
      <c r="CP46" s="441"/>
      <c r="CQ46" s="441"/>
      <c r="CR46" s="455"/>
      <c r="CS46" s="442"/>
      <c r="CT46" s="441"/>
      <c r="CU46" s="441"/>
      <c r="CV46" s="441"/>
      <c r="CW46" s="455"/>
      <c r="CX46" s="442"/>
      <c r="CY46" s="441"/>
      <c r="CZ46" s="441"/>
      <c r="DA46" s="441"/>
      <c r="DB46" s="455"/>
      <c r="DC46" s="442"/>
      <c r="DD46" s="441"/>
      <c r="DE46" s="441"/>
      <c r="DF46" s="441"/>
      <c r="DG46" s="455"/>
      <c r="DH46" s="442"/>
      <c r="DI46" s="441"/>
      <c r="DJ46" s="441"/>
      <c r="DK46" s="441"/>
      <c r="DL46" s="455"/>
      <c r="DM46" s="442"/>
      <c r="DN46" s="207"/>
    </row>
    <row r="47" spans="1:118" ht="14.25" hidden="1" customHeight="1" outlineLevel="1" x14ac:dyDescent="0.2">
      <c r="A47" s="418"/>
      <c r="B47" s="454" t="s">
        <v>20</v>
      </c>
      <c r="C47" s="437"/>
      <c r="D47" s="437"/>
      <c r="E47" s="437"/>
      <c r="F47" s="437"/>
      <c r="G47" s="438"/>
      <c r="H47" s="437"/>
      <c r="I47" s="437"/>
      <c r="J47" s="437"/>
      <c r="K47" s="437"/>
      <c r="L47" s="438"/>
      <c r="M47" s="437"/>
      <c r="N47" s="437"/>
      <c r="O47" s="437"/>
      <c r="P47" s="437"/>
      <c r="Q47" s="438"/>
      <c r="R47" s="437"/>
      <c r="S47" s="437"/>
      <c r="T47" s="437"/>
      <c r="U47" s="437"/>
      <c r="V47" s="438"/>
      <c r="W47" s="437"/>
      <c r="X47" s="437"/>
      <c r="Y47" s="437"/>
      <c r="Z47" s="437"/>
      <c r="AA47" s="438"/>
      <c r="AB47" s="437"/>
      <c r="AC47" s="437"/>
      <c r="AD47" s="437"/>
      <c r="AE47" s="437"/>
      <c r="AF47" s="438"/>
      <c r="AG47" s="437"/>
      <c r="AH47" s="437"/>
      <c r="AI47" s="437"/>
      <c r="AJ47" s="437"/>
      <c r="AK47" s="438"/>
      <c r="AL47" s="437"/>
      <c r="AM47" s="437"/>
      <c r="AN47" s="437"/>
      <c r="AO47" s="437"/>
      <c r="AP47" s="438"/>
      <c r="AQ47" s="437"/>
      <c r="AR47" s="437"/>
      <c r="AS47" s="437"/>
      <c r="AT47" s="437"/>
      <c r="AU47" s="424"/>
      <c r="AV47" s="437"/>
      <c r="AW47" s="437"/>
      <c r="AX47" s="437"/>
      <c r="AY47" s="437"/>
      <c r="AZ47" s="424">
        <f>AZ45/AU45-1</f>
        <v>-6.6785079928951996E-2</v>
      </c>
      <c r="BA47" s="437"/>
      <c r="BB47" s="437"/>
      <c r="BC47" s="437"/>
      <c r="BD47" s="455"/>
      <c r="BE47" s="424">
        <f>BE45/AZ45-1</f>
        <v>0.48534449942900637</v>
      </c>
      <c r="BF47" s="455"/>
      <c r="BG47" s="441"/>
      <c r="BH47" s="468"/>
      <c r="BI47" s="455"/>
      <c r="BJ47" s="424">
        <f>BJ45/BE45-1</f>
        <v>1.1788826242952331</v>
      </c>
      <c r="BK47" s="441"/>
      <c r="BL47" s="468"/>
      <c r="BM47" s="441"/>
      <c r="BN47" s="455"/>
      <c r="BO47" s="424">
        <f>BO45/BJ45-1</f>
        <v>4.7400611620795008E-2</v>
      </c>
      <c r="BP47" s="441"/>
      <c r="BQ47" s="441"/>
      <c r="BR47" s="441"/>
      <c r="BS47" s="455"/>
      <c r="BT47" s="424">
        <f>BT45/BO45-1</f>
        <v>-4.4357102751263366E-2</v>
      </c>
      <c r="BU47" s="441"/>
      <c r="BV47" s="441"/>
      <c r="BW47" s="441"/>
      <c r="BX47" s="455"/>
      <c r="BY47" s="442"/>
      <c r="BZ47" s="441"/>
      <c r="CA47" s="441"/>
      <c r="CB47" s="441"/>
      <c r="CC47" s="441"/>
      <c r="CD47" s="442"/>
      <c r="CE47" s="441"/>
      <c r="CF47" s="441"/>
      <c r="CG47" s="441"/>
      <c r="CH47" s="455"/>
      <c r="CI47" s="442"/>
      <c r="CJ47" s="441"/>
      <c r="CK47" s="441"/>
      <c r="CL47" s="441"/>
      <c r="CM47" s="455"/>
      <c r="CN47" s="442"/>
      <c r="CO47" s="441"/>
      <c r="CP47" s="441"/>
      <c r="CQ47" s="441"/>
      <c r="CR47" s="455"/>
      <c r="CS47" s="442"/>
      <c r="CT47" s="441"/>
      <c r="CU47" s="441"/>
      <c r="CV47" s="441"/>
      <c r="CW47" s="455"/>
      <c r="CX47" s="442"/>
      <c r="CY47" s="441"/>
      <c r="CZ47" s="441"/>
      <c r="DA47" s="441"/>
      <c r="DB47" s="455"/>
      <c r="DC47" s="442"/>
      <c r="DD47" s="441"/>
      <c r="DE47" s="441"/>
      <c r="DF47" s="441"/>
      <c r="DG47" s="455"/>
      <c r="DH47" s="442"/>
      <c r="DI47" s="441"/>
      <c r="DJ47" s="441"/>
      <c r="DK47" s="441"/>
      <c r="DL47" s="455"/>
      <c r="DM47" s="442"/>
      <c r="DN47" s="207"/>
    </row>
    <row r="48" spans="1:118" ht="14.25" hidden="1" customHeight="1" outlineLevel="1" x14ac:dyDescent="0.2">
      <c r="A48" s="418"/>
      <c r="B48" s="435" t="s">
        <v>26</v>
      </c>
      <c r="C48" s="437"/>
      <c r="D48" s="437"/>
      <c r="E48" s="437"/>
      <c r="F48" s="437"/>
      <c r="G48" s="438"/>
      <c r="H48" s="437"/>
      <c r="I48" s="437"/>
      <c r="J48" s="437"/>
      <c r="K48" s="437"/>
      <c r="L48" s="438"/>
      <c r="M48" s="437"/>
      <c r="N48" s="437"/>
      <c r="O48" s="437"/>
      <c r="P48" s="437"/>
      <c r="Q48" s="438"/>
      <c r="R48" s="437"/>
      <c r="S48" s="437"/>
      <c r="T48" s="437"/>
      <c r="U48" s="437"/>
      <c r="V48" s="438"/>
      <c r="W48" s="437"/>
      <c r="X48" s="437"/>
      <c r="Y48" s="437"/>
      <c r="Z48" s="437"/>
      <c r="AA48" s="438"/>
      <c r="AB48" s="437"/>
      <c r="AC48" s="437"/>
      <c r="AD48" s="437"/>
      <c r="AE48" s="437"/>
      <c r="AF48" s="438"/>
      <c r="AG48" s="437"/>
      <c r="AH48" s="437"/>
      <c r="AI48" s="437"/>
      <c r="AJ48" s="437"/>
      <c r="AK48" s="438"/>
      <c r="AL48" s="437"/>
      <c r="AM48" s="437"/>
      <c r="AN48" s="437"/>
      <c r="AO48" s="437"/>
      <c r="AP48" s="438"/>
      <c r="AQ48" s="437"/>
      <c r="AR48" s="437"/>
      <c r="AS48" s="437"/>
      <c r="AT48" s="437"/>
      <c r="AU48" s="438"/>
      <c r="AV48" s="437"/>
      <c r="AW48" s="437"/>
      <c r="AX48" s="437"/>
      <c r="AY48" s="437"/>
      <c r="AZ48" s="438">
        <f>(AZ46-AU46)*10000</f>
        <v>-33.536847760444189</v>
      </c>
      <c r="BA48" s="437"/>
      <c r="BB48" s="437"/>
      <c r="BC48" s="437"/>
      <c r="BD48" s="455"/>
      <c r="BE48" s="438">
        <f>(BE46-AZ46)*10000</f>
        <v>263.26013269166071</v>
      </c>
      <c r="BF48" s="455"/>
      <c r="BG48" s="441"/>
      <c r="BH48" s="468"/>
      <c r="BI48" s="455"/>
      <c r="BJ48" s="438">
        <f>(BJ46-BE46)*10000</f>
        <v>715.31333460470489</v>
      </c>
      <c r="BK48" s="441"/>
      <c r="BL48" s="468"/>
      <c r="BM48" s="441"/>
      <c r="BN48" s="455"/>
      <c r="BO48" s="438">
        <f>(BO46-BJ46)*10000</f>
        <v>27.706080338759374</v>
      </c>
      <c r="BP48" s="441"/>
      <c r="BQ48" s="441"/>
      <c r="BR48" s="441"/>
      <c r="BS48" s="455"/>
      <c r="BT48" s="438">
        <f>(BT46-BO46)*10000</f>
        <v>-40.826511774011976</v>
      </c>
      <c r="BU48" s="441"/>
      <c r="BV48" s="441"/>
      <c r="BW48" s="441"/>
      <c r="BX48" s="455"/>
      <c r="BY48" s="442"/>
      <c r="BZ48" s="441"/>
      <c r="CA48" s="441"/>
      <c r="CB48" s="441"/>
      <c r="CC48" s="441"/>
      <c r="CD48" s="442"/>
      <c r="CE48" s="441"/>
      <c r="CF48" s="441"/>
      <c r="CG48" s="441"/>
      <c r="CH48" s="455"/>
      <c r="CI48" s="442"/>
      <c r="CJ48" s="441"/>
      <c r="CK48" s="441"/>
      <c r="CL48" s="441"/>
      <c r="CM48" s="455"/>
      <c r="CN48" s="442"/>
      <c r="CO48" s="441"/>
      <c r="CP48" s="441"/>
      <c r="CQ48" s="441"/>
      <c r="CR48" s="455"/>
      <c r="CS48" s="442"/>
      <c r="CT48" s="441"/>
      <c r="CU48" s="441"/>
      <c r="CV48" s="441"/>
      <c r="CW48" s="455"/>
      <c r="CX48" s="442"/>
      <c r="CY48" s="441"/>
      <c r="CZ48" s="441"/>
      <c r="DA48" s="441"/>
      <c r="DB48" s="455"/>
      <c r="DC48" s="442"/>
      <c r="DD48" s="441"/>
      <c r="DE48" s="441"/>
      <c r="DF48" s="441"/>
      <c r="DG48" s="455"/>
      <c r="DH48" s="442"/>
      <c r="DI48" s="441"/>
      <c r="DJ48" s="441"/>
      <c r="DK48" s="441"/>
      <c r="DL48" s="455"/>
      <c r="DM48" s="442"/>
      <c r="DN48" s="207"/>
    </row>
    <row r="49" spans="1:118" ht="14.25" hidden="1" customHeight="1" outlineLevel="1" x14ac:dyDescent="0.2">
      <c r="A49" s="418"/>
      <c r="B49" s="435"/>
      <c r="C49" s="437"/>
      <c r="D49" s="437"/>
      <c r="E49" s="437"/>
      <c r="F49" s="437"/>
      <c r="G49" s="438"/>
      <c r="H49" s="437"/>
      <c r="I49" s="437"/>
      <c r="J49" s="437"/>
      <c r="K49" s="437"/>
      <c r="L49" s="438"/>
      <c r="M49" s="437"/>
      <c r="N49" s="437"/>
      <c r="O49" s="437"/>
      <c r="P49" s="437"/>
      <c r="Q49" s="438"/>
      <c r="R49" s="437"/>
      <c r="S49" s="437"/>
      <c r="T49" s="437"/>
      <c r="U49" s="437"/>
      <c r="V49" s="438"/>
      <c r="W49" s="437"/>
      <c r="X49" s="437"/>
      <c r="Y49" s="437"/>
      <c r="Z49" s="437"/>
      <c r="AA49" s="438"/>
      <c r="AB49" s="437"/>
      <c r="AC49" s="437"/>
      <c r="AD49" s="437"/>
      <c r="AE49" s="437"/>
      <c r="AF49" s="438"/>
      <c r="AG49" s="437"/>
      <c r="AH49" s="437"/>
      <c r="AI49" s="437"/>
      <c r="AJ49" s="437"/>
      <c r="AK49" s="438"/>
      <c r="AL49" s="437"/>
      <c r="AM49" s="437"/>
      <c r="AN49" s="437"/>
      <c r="AO49" s="437"/>
      <c r="AP49" s="438"/>
      <c r="AQ49" s="437"/>
      <c r="AR49" s="437"/>
      <c r="AS49" s="437"/>
      <c r="AT49" s="437"/>
      <c r="AU49" s="438"/>
      <c r="AV49" s="437"/>
      <c r="AW49" s="437"/>
      <c r="AX49" s="437"/>
      <c r="AY49" s="437"/>
      <c r="AZ49" s="438"/>
      <c r="BA49" s="437"/>
      <c r="BB49" s="437"/>
      <c r="BC49" s="437"/>
      <c r="BD49" s="455"/>
      <c r="BE49" s="438"/>
      <c r="BF49" s="455"/>
      <c r="BG49" s="441"/>
      <c r="BH49" s="468"/>
      <c r="BI49" s="455"/>
      <c r="BJ49" s="442"/>
      <c r="BK49" s="441"/>
      <c r="BL49" s="468"/>
      <c r="BM49" s="441"/>
      <c r="BN49" s="455"/>
      <c r="BO49" s="442"/>
      <c r="BP49" s="441"/>
      <c r="BQ49" s="441"/>
      <c r="BR49" s="441"/>
      <c r="BS49" s="455"/>
      <c r="BT49" s="442"/>
      <c r="BU49" s="441"/>
      <c r="BV49" s="441"/>
      <c r="BW49" s="441"/>
      <c r="BX49" s="455"/>
      <c r="BY49" s="442"/>
      <c r="BZ49" s="441"/>
      <c r="CA49" s="441"/>
      <c r="CB49" s="441"/>
      <c r="CC49" s="441"/>
      <c r="CD49" s="442"/>
      <c r="CE49" s="441"/>
      <c r="CF49" s="441"/>
      <c r="CG49" s="441"/>
      <c r="CH49" s="455"/>
      <c r="CI49" s="442"/>
      <c r="CJ49" s="441"/>
      <c r="CK49" s="441"/>
      <c r="CL49" s="441"/>
      <c r="CM49" s="455"/>
      <c r="CN49" s="442"/>
      <c r="CO49" s="441"/>
      <c r="CP49" s="441"/>
      <c r="CQ49" s="441"/>
      <c r="CR49" s="455"/>
      <c r="CS49" s="442"/>
      <c r="CT49" s="441"/>
      <c r="CU49" s="441"/>
      <c r="CV49" s="441"/>
      <c r="CW49" s="455"/>
      <c r="CX49" s="442"/>
      <c r="CY49" s="441"/>
      <c r="CZ49" s="441"/>
      <c r="DA49" s="441"/>
      <c r="DB49" s="455"/>
      <c r="DC49" s="442"/>
      <c r="DD49" s="441"/>
      <c r="DE49" s="441"/>
      <c r="DF49" s="441"/>
      <c r="DG49" s="455"/>
      <c r="DH49" s="442"/>
      <c r="DI49" s="441"/>
      <c r="DJ49" s="441"/>
      <c r="DK49" s="441"/>
      <c r="DL49" s="455"/>
      <c r="DM49" s="442"/>
      <c r="DN49" s="207"/>
    </row>
    <row r="50" spans="1:118" ht="14.25" hidden="1" customHeight="1" outlineLevel="1" x14ac:dyDescent="0.25">
      <c r="A50" s="418" t="s">
        <v>297</v>
      </c>
      <c r="B50" s="435"/>
      <c r="C50" s="437"/>
      <c r="D50" s="437"/>
      <c r="E50" s="437"/>
      <c r="F50" s="437"/>
      <c r="G50" s="438"/>
      <c r="H50" s="437"/>
      <c r="I50" s="437"/>
      <c r="J50" s="437"/>
      <c r="K50" s="437"/>
      <c r="L50" s="438"/>
      <c r="M50" s="437"/>
      <c r="N50" s="437"/>
      <c r="O50" s="437"/>
      <c r="P50" s="437"/>
      <c r="Q50" s="438"/>
      <c r="R50" s="437"/>
      <c r="S50" s="437"/>
      <c r="T50" s="437"/>
      <c r="U50" s="437"/>
      <c r="V50" s="438"/>
      <c r="W50" s="437"/>
      <c r="X50" s="437"/>
      <c r="Y50" s="437"/>
      <c r="Z50" s="437"/>
      <c r="AA50" s="438"/>
      <c r="AB50" s="437"/>
      <c r="AC50" s="437"/>
      <c r="AD50" s="437"/>
      <c r="AE50" s="437"/>
      <c r="AF50" s="438"/>
      <c r="AG50" s="437"/>
      <c r="AH50" s="437"/>
      <c r="AI50" s="437"/>
      <c r="AJ50" s="437"/>
      <c r="AK50" s="438"/>
      <c r="AL50" s="437"/>
      <c r="AM50" s="437"/>
      <c r="AN50" s="437"/>
      <c r="AO50" s="437"/>
      <c r="AP50" s="438"/>
      <c r="AQ50" s="437"/>
      <c r="AR50" s="437"/>
      <c r="AS50" s="437"/>
      <c r="AT50" s="437"/>
      <c r="AU50" s="420">
        <f>AU17-AU34-AU45</f>
        <v>-5968</v>
      </c>
      <c r="AV50" s="437"/>
      <c r="AW50" s="437"/>
      <c r="AX50" s="437"/>
      <c r="AY50" s="437"/>
      <c r="AZ50" s="420">
        <f>AZ17-AZ34-AZ45</f>
        <v>-5940</v>
      </c>
      <c r="BA50" s="437"/>
      <c r="BB50" s="437"/>
      <c r="BC50" s="437"/>
      <c r="BD50" s="455"/>
      <c r="BE50" s="420">
        <f>BE17-BE34-BE45</f>
        <v>-6265</v>
      </c>
      <c r="BF50" s="455"/>
      <c r="BG50" s="441"/>
      <c r="BH50" s="468"/>
      <c r="BI50" s="455"/>
      <c r="BJ50" s="420">
        <f>BJ17-BJ34-BJ45</f>
        <v>-5659</v>
      </c>
      <c r="BK50" s="441"/>
      <c r="BL50" s="468"/>
      <c r="BM50" s="441"/>
      <c r="BN50" s="455"/>
      <c r="BO50" s="420">
        <f>BO17-BO34-BO45</f>
        <v>-5502</v>
      </c>
      <c r="BP50" s="441"/>
      <c r="BQ50" s="441"/>
      <c r="BR50" s="441"/>
      <c r="BS50" s="455"/>
      <c r="BT50" s="420">
        <f>BT17-BT34-BT45</f>
        <v>-5528</v>
      </c>
      <c r="BU50" s="441"/>
      <c r="BV50" s="441"/>
      <c r="BW50" s="441"/>
      <c r="BX50" s="455"/>
      <c r="BY50" s="442">
        <v>-5129</v>
      </c>
      <c r="BZ50" s="441"/>
      <c r="CA50" s="441"/>
      <c r="CB50" s="441"/>
      <c r="CC50" s="441"/>
      <c r="CD50" s="442"/>
      <c r="CE50" s="441"/>
      <c r="CF50" s="441"/>
      <c r="CG50" s="441"/>
      <c r="CH50" s="455"/>
      <c r="CI50" s="442"/>
      <c r="CJ50" s="441"/>
      <c r="CK50" s="441"/>
      <c r="CL50" s="441"/>
      <c r="CM50" s="455"/>
      <c r="CN50" s="442"/>
      <c r="CO50" s="441"/>
      <c r="CP50" s="441"/>
      <c r="CQ50" s="441"/>
      <c r="CR50" s="455"/>
      <c r="CS50" s="442"/>
      <c r="CT50" s="441"/>
      <c r="CU50" s="441"/>
      <c r="CV50" s="441"/>
      <c r="CW50" s="455"/>
      <c r="CX50" s="442"/>
      <c r="CY50" s="441"/>
      <c r="CZ50" s="441"/>
      <c r="DA50" s="441"/>
      <c r="DB50" s="455"/>
      <c r="DC50" s="442"/>
      <c r="DD50" s="441"/>
      <c r="DE50" s="441"/>
      <c r="DF50" s="441"/>
      <c r="DG50" s="455"/>
      <c r="DH50" s="442"/>
      <c r="DI50" s="441"/>
      <c r="DJ50" s="441"/>
      <c r="DK50" s="441"/>
      <c r="DL50" s="455"/>
      <c r="DM50" s="442"/>
      <c r="DN50" s="207"/>
    </row>
    <row r="51" spans="1:118" ht="14.25" hidden="1" customHeight="1" outlineLevel="1" x14ac:dyDescent="0.2">
      <c r="A51" s="418"/>
      <c r="B51" s="454" t="s">
        <v>27</v>
      </c>
      <c r="C51" s="437"/>
      <c r="D51" s="437"/>
      <c r="E51" s="437"/>
      <c r="F51" s="437"/>
      <c r="G51" s="438"/>
      <c r="H51" s="437"/>
      <c r="I51" s="437"/>
      <c r="J51" s="437"/>
      <c r="K51" s="437"/>
      <c r="L51" s="438"/>
      <c r="M51" s="437"/>
      <c r="N51" s="437"/>
      <c r="O51" s="437"/>
      <c r="P51" s="437"/>
      <c r="Q51" s="438"/>
      <c r="R51" s="437"/>
      <c r="S51" s="437"/>
      <c r="T51" s="437"/>
      <c r="U51" s="437"/>
      <c r="V51" s="438"/>
      <c r="W51" s="437"/>
      <c r="X51" s="437"/>
      <c r="Y51" s="437"/>
      <c r="Z51" s="437"/>
      <c r="AA51" s="438"/>
      <c r="AB51" s="437"/>
      <c r="AC51" s="437"/>
      <c r="AD51" s="437"/>
      <c r="AE51" s="437"/>
      <c r="AF51" s="438"/>
      <c r="AG51" s="437"/>
      <c r="AH51" s="437"/>
      <c r="AI51" s="437"/>
      <c r="AJ51" s="437"/>
      <c r="AK51" s="438"/>
      <c r="AL51" s="437"/>
      <c r="AM51" s="437"/>
      <c r="AN51" s="437"/>
      <c r="AO51" s="437"/>
      <c r="AP51" s="438"/>
      <c r="AQ51" s="437"/>
      <c r="AR51" s="437"/>
      <c r="AS51" s="437"/>
      <c r="AT51" s="437"/>
      <c r="AU51" s="424">
        <f>-AU50/AU5</f>
        <v>0.18682694715752568</v>
      </c>
      <c r="AV51" s="437"/>
      <c r="AW51" s="437"/>
      <c r="AX51" s="437"/>
      <c r="AY51" s="437"/>
      <c r="AZ51" s="424">
        <f>-AZ50/AZ5</f>
        <v>0.19167473378509198</v>
      </c>
      <c r="BA51" s="437"/>
      <c r="BB51" s="437"/>
      <c r="BC51" s="437"/>
      <c r="BD51" s="455"/>
      <c r="BE51" s="424">
        <f>-BE50/BE5</f>
        <v>0.1783731458018962</v>
      </c>
      <c r="BF51" s="455"/>
      <c r="BG51" s="441"/>
      <c r="BH51" s="468"/>
      <c r="BI51" s="455"/>
      <c r="BJ51" s="424">
        <f>-BJ50/BJ5</f>
        <v>0.12155776087983847</v>
      </c>
      <c r="BK51" s="441"/>
      <c r="BL51" s="468"/>
      <c r="BM51" s="441"/>
      <c r="BN51" s="455"/>
      <c r="BO51" s="424">
        <f>-BO50/BO5</f>
        <v>0.11454863424383745</v>
      </c>
      <c r="BP51" s="441"/>
      <c r="BQ51" s="441"/>
      <c r="BR51" s="441"/>
      <c r="BS51" s="455"/>
      <c r="BT51" s="424">
        <f>-BT50/BT5</f>
        <v>0.11777990838393523</v>
      </c>
      <c r="BU51" s="441"/>
      <c r="BV51" s="441"/>
      <c r="BW51" s="441"/>
      <c r="BX51" s="455"/>
      <c r="BY51" s="442"/>
      <c r="BZ51" s="441"/>
      <c r="CA51" s="441"/>
      <c r="CB51" s="441"/>
      <c r="CC51" s="441"/>
      <c r="CD51" s="442"/>
      <c r="CE51" s="441"/>
      <c r="CF51" s="441"/>
      <c r="CG51" s="441"/>
      <c r="CH51" s="455"/>
      <c r="CI51" s="442"/>
      <c r="CJ51" s="441"/>
      <c r="CK51" s="441"/>
      <c r="CL51" s="441"/>
      <c r="CM51" s="455"/>
      <c r="CN51" s="442"/>
      <c r="CO51" s="441"/>
      <c r="CP51" s="441"/>
      <c r="CQ51" s="441"/>
      <c r="CR51" s="455"/>
      <c r="CS51" s="442"/>
      <c r="CT51" s="441"/>
      <c r="CU51" s="441"/>
      <c r="CV51" s="441"/>
      <c r="CW51" s="455"/>
      <c r="CX51" s="442"/>
      <c r="CY51" s="441"/>
      <c r="CZ51" s="441"/>
      <c r="DA51" s="441"/>
      <c r="DB51" s="455"/>
      <c r="DC51" s="442"/>
      <c r="DD51" s="441"/>
      <c r="DE51" s="441"/>
      <c r="DF51" s="441"/>
      <c r="DG51" s="455"/>
      <c r="DH51" s="442"/>
      <c r="DI51" s="441"/>
      <c r="DJ51" s="441"/>
      <c r="DK51" s="441"/>
      <c r="DL51" s="455"/>
      <c r="DM51" s="442"/>
      <c r="DN51" s="207"/>
    </row>
    <row r="52" spans="1:118" ht="14.25" hidden="1" customHeight="1" outlineLevel="1" x14ac:dyDescent="0.2">
      <c r="A52" s="418"/>
      <c r="B52" s="454" t="s">
        <v>20</v>
      </c>
      <c r="C52" s="437"/>
      <c r="D52" s="437"/>
      <c r="E52" s="437"/>
      <c r="F52" s="437"/>
      <c r="G52" s="438"/>
      <c r="H52" s="437"/>
      <c r="I52" s="437"/>
      <c r="J52" s="437"/>
      <c r="K52" s="437"/>
      <c r="L52" s="438"/>
      <c r="M52" s="437"/>
      <c r="N52" s="437"/>
      <c r="O52" s="437"/>
      <c r="P52" s="437"/>
      <c r="Q52" s="438"/>
      <c r="R52" s="437"/>
      <c r="S52" s="437"/>
      <c r="T52" s="437"/>
      <c r="U52" s="437"/>
      <c r="V52" s="438"/>
      <c r="W52" s="437"/>
      <c r="X52" s="437"/>
      <c r="Y52" s="437"/>
      <c r="Z52" s="437"/>
      <c r="AA52" s="438"/>
      <c r="AB52" s="437"/>
      <c r="AC52" s="437"/>
      <c r="AD52" s="437"/>
      <c r="AE52" s="437"/>
      <c r="AF52" s="438"/>
      <c r="AG52" s="437"/>
      <c r="AH52" s="437"/>
      <c r="AI52" s="437"/>
      <c r="AJ52" s="437"/>
      <c r="AK52" s="438"/>
      <c r="AL52" s="437"/>
      <c r="AM52" s="437"/>
      <c r="AN52" s="437"/>
      <c r="AO52" s="437"/>
      <c r="AP52" s="438"/>
      <c r="AQ52" s="437"/>
      <c r="AR52" s="437"/>
      <c r="AS52" s="437"/>
      <c r="AT52" s="437"/>
      <c r="AU52" s="424"/>
      <c r="AV52" s="437"/>
      <c r="AW52" s="437"/>
      <c r="AX52" s="437"/>
      <c r="AY52" s="437"/>
      <c r="AZ52" s="424">
        <f>AZ50/AU50-1</f>
        <v>-4.6916890080428431E-3</v>
      </c>
      <c r="BA52" s="437"/>
      <c r="BB52" s="437"/>
      <c r="BC52" s="437"/>
      <c r="BD52" s="455"/>
      <c r="BE52" s="424">
        <f>BE50/AZ50-1</f>
        <v>5.4713804713804715E-2</v>
      </c>
      <c r="BF52" s="455"/>
      <c r="BG52" s="441"/>
      <c r="BH52" s="468"/>
      <c r="BI52" s="455"/>
      <c r="BJ52" s="424">
        <f>BJ50/BE50-1</f>
        <v>-9.6727853152434151E-2</v>
      </c>
      <c r="BK52" s="441"/>
      <c r="BL52" s="468"/>
      <c r="BM52" s="441"/>
      <c r="BN52" s="455"/>
      <c r="BO52" s="424">
        <f>BO50/BJ50-1</f>
        <v>-2.7743417564940809E-2</v>
      </c>
      <c r="BP52" s="441"/>
      <c r="BQ52" s="441"/>
      <c r="BR52" s="441"/>
      <c r="BS52" s="455"/>
      <c r="BT52" s="424">
        <f>BT50/BO50-1</f>
        <v>4.7255543438748937E-3</v>
      </c>
      <c r="BU52" s="441"/>
      <c r="BV52" s="441"/>
      <c r="BW52" s="441"/>
      <c r="BX52" s="455"/>
      <c r="BY52" s="442"/>
      <c r="BZ52" s="441"/>
      <c r="CA52" s="441"/>
      <c r="CB52" s="441"/>
      <c r="CC52" s="441"/>
      <c r="CD52" s="442"/>
      <c r="CE52" s="441"/>
      <c r="CF52" s="441"/>
      <c r="CG52" s="441"/>
      <c r="CH52" s="455"/>
      <c r="CI52" s="442"/>
      <c r="CJ52" s="441"/>
      <c r="CK52" s="441"/>
      <c r="CL52" s="441"/>
      <c r="CM52" s="455"/>
      <c r="CN52" s="442"/>
      <c r="CO52" s="441"/>
      <c r="CP52" s="441"/>
      <c r="CQ52" s="441"/>
      <c r="CR52" s="455"/>
      <c r="CS52" s="442"/>
      <c r="CT52" s="441"/>
      <c r="CU52" s="441"/>
      <c r="CV52" s="441"/>
      <c r="CW52" s="455"/>
      <c r="CX52" s="442"/>
      <c r="CY52" s="441"/>
      <c r="CZ52" s="441"/>
      <c r="DA52" s="441"/>
      <c r="DB52" s="455"/>
      <c r="DC52" s="442"/>
      <c r="DD52" s="441"/>
      <c r="DE52" s="441"/>
      <c r="DF52" s="441"/>
      <c r="DG52" s="455"/>
      <c r="DH52" s="442"/>
      <c r="DI52" s="441"/>
      <c r="DJ52" s="441"/>
      <c r="DK52" s="441"/>
      <c r="DL52" s="455"/>
      <c r="DM52" s="442"/>
      <c r="DN52" s="207"/>
    </row>
    <row r="53" spans="1:118" ht="14.25" hidden="1" customHeight="1" outlineLevel="1" x14ac:dyDescent="0.2">
      <c r="A53" s="418"/>
      <c r="B53" s="435" t="s">
        <v>26</v>
      </c>
      <c r="C53" s="437"/>
      <c r="D53" s="437"/>
      <c r="E53" s="437"/>
      <c r="F53" s="437"/>
      <c r="G53" s="438"/>
      <c r="H53" s="437"/>
      <c r="I53" s="437"/>
      <c r="J53" s="437"/>
      <c r="K53" s="437"/>
      <c r="L53" s="438"/>
      <c r="M53" s="437"/>
      <c r="N53" s="437"/>
      <c r="O53" s="437"/>
      <c r="P53" s="437"/>
      <c r="Q53" s="438"/>
      <c r="R53" s="437"/>
      <c r="S53" s="437"/>
      <c r="T53" s="437"/>
      <c r="U53" s="437"/>
      <c r="V53" s="438"/>
      <c r="W53" s="437"/>
      <c r="X53" s="437"/>
      <c r="Y53" s="437"/>
      <c r="Z53" s="437"/>
      <c r="AA53" s="438"/>
      <c r="AB53" s="437"/>
      <c r="AC53" s="437"/>
      <c r="AD53" s="437"/>
      <c r="AE53" s="437"/>
      <c r="AF53" s="438"/>
      <c r="AG53" s="437"/>
      <c r="AH53" s="437"/>
      <c r="AI53" s="437"/>
      <c r="AJ53" s="437"/>
      <c r="AK53" s="438"/>
      <c r="AL53" s="437"/>
      <c r="AM53" s="437"/>
      <c r="AN53" s="437"/>
      <c r="AO53" s="437"/>
      <c r="AP53" s="438"/>
      <c r="AQ53" s="437"/>
      <c r="AR53" s="437"/>
      <c r="AS53" s="437"/>
      <c r="AT53" s="437"/>
      <c r="AU53" s="438"/>
      <c r="AV53" s="437"/>
      <c r="AW53" s="437"/>
      <c r="AX53" s="437"/>
      <c r="AY53" s="437"/>
      <c r="AZ53" s="438">
        <f>(AZ51-AU51)*10000</f>
        <v>48.477866275662976</v>
      </c>
      <c r="BA53" s="437"/>
      <c r="BB53" s="437"/>
      <c r="BC53" s="437"/>
      <c r="BD53" s="455"/>
      <c r="BE53" s="438">
        <f>(BE51-AZ51)*10000</f>
        <v>-133.01587983195779</v>
      </c>
      <c r="BF53" s="455"/>
      <c r="BG53" s="441"/>
      <c r="BH53" s="468"/>
      <c r="BI53" s="455"/>
      <c r="BJ53" s="438">
        <f>(BJ51-BE51)*10000</f>
        <v>-568.15384922057729</v>
      </c>
      <c r="BK53" s="441"/>
      <c r="BL53" s="468"/>
      <c r="BM53" s="441"/>
      <c r="BN53" s="455"/>
      <c r="BO53" s="438">
        <f>(BO51-BJ51)*10000</f>
        <v>-70.091266360010195</v>
      </c>
      <c r="BP53" s="441"/>
      <c r="BQ53" s="441"/>
      <c r="BR53" s="441"/>
      <c r="BS53" s="455"/>
      <c r="BT53" s="438">
        <f>(BT51-BO51)*10000</f>
        <v>32.31274140097787</v>
      </c>
      <c r="BU53" s="441"/>
      <c r="BV53" s="441"/>
      <c r="BW53" s="441"/>
      <c r="BX53" s="455"/>
      <c r="BY53" s="442"/>
      <c r="BZ53" s="441"/>
      <c r="CA53" s="441"/>
      <c r="CB53" s="441"/>
      <c r="CC53" s="441"/>
      <c r="CD53" s="442"/>
      <c r="CE53" s="441"/>
      <c r="CF53" s="441"/>
      <c r="CG53" s="441"/>
      <c r="CH53" s="455"/>
      <c r="CI53" s="442"/>
      <c r="CJ53" s="441"/>
      <c r="CK53" s="441"/>
      <c r="CL53" s="441"/>
      <c r="CM53" s="455"/>
      <c r="CN53" s="442"/>
      <c r="CO53" s="441"/>
      <c r="CP53" s="441"/>
      <c r="CQ53" s="441"/>
      <c r="CR53" s="455"/>
      <c r="CS53" s="442"/>
      <c r="CT53" s="441"/>
      <c r="CU53" s="441"/>
      <c r="CV53" s="441"/>
      <c r="CW53" s="455"/>
      <c r="CX53" s="442"/>
      <c r="CY53" s="441"/>
      <c r="CZ53" s="441"/>
      <c r="DA53" s="441"/>
      <c r="DB53" s="455"/>
      <c r="DC53" s="442"/>
      <c r="DD53" s="441"/>
      <c r="DE53" s="441"/>
      <c r="DF53" s="441"/>
      <c r="DG53" s="455"/>
      <c r="DH53" s="442"/>
      <c r="DI53" s="441"/>
      <c r="DJ53" s="441"/>
      <c r="DK53" s="441"/>
      <c r="DL53" s="455"/>
      <c r="DM53" s="442"/>
      <c r="DN53" s="207"/>
    </row>
    <row r="54" spans="1:118" ht="14.25" hidden="1" customHeight="1" outlineLevel="1" x14ac:dyDescent="0.2">
      <c r="A54" s="418"/>
      <c r="B54" s="435"/>
      <c r="C54" s="437"/>
      <c r="D54" s="437"/>
      <c r="E54" s="437"/>
      <c r="F54" s="437"/>
      <c r="G54" s="438"/>
      <c r="H54" s="437"/>
      <c r="I54" s="437"/>
      <c r="J54" s="437"/>
      <c r="K54" s="437"/>
      <c r="L54" s="438"/>
      <c r="M54" s="437"/>
      <c r="N54" s="437"/>
      <c r="O54" s="437"/>
      <c r="P54" s="437"/>
      <c r="Q54" s="438"/>
      <c r="R54" s="437"/>
      <c r="S54" s="437"/>
      <c r="T54" s="437"/>
      <c r="U54" s="437"/>
      <c r="V54" s="438"/>
      <c r="W54" s="437"/>
      <c r="X54" s="437"/>
      <c r="Y54" s="437"/>
      <c r="Z54" s="437"/>
      <c r="AA54" s="438"/>
      <c r="AB54" s="437"/>
      <c r="AC54" s="437"/>
      <c r="AD54" s="437"/>
      <c r="AE54" s="437"/>
      <c r="AF54" s="438"/>
      <c r="AG54" s="437"/>
      <c r="AH54" s="437"/>
      <c r="AI54" s="437"/>
      <c r="AJ54" s="437"/>
      <c r="AK54" s="438"/>
      <c r="AL54" s="437"/>
      <c r="AM54" s="437"/>
      <c r="AN54" s="437"/>
      <c r="AO54" s="437"/>
      <c r="AP54" s="438"/>
      <c r="AQ54" s="437"/>
      <c r="AR54" s="437"/>
      <c r="AS54" s="437"/>
      <c r="AT54" s="437"/>
      <c r="AU54" s="438"/>
      <c r="AV54" s="437"/>
      <c r="AW54" s="437"/>
      <c r="AX54" s="437"/>
      <c r="AY54" s="437"/>
      <c r="AZ54" s="438"/>
      <c r="BA54" s="437"/>
      <c r="BB54" s="437"/>
      <c r="BC54" s="468"/>
      <c r="BD54" s="455"/>
      <c r="BE54" s="442"/>
      <c r="BF54" s="455"/>
      <c r="BG54" s="441"/>
      <c r="BH54" s="468"/>
      <c r="BI54" s="455"/>
      <c r="BJ54" s="442"/>
      <c r="BK54" s="441"/>
      <c r="BL54" s="468"/>
      <c r="BM54" s="441"/>
      <c r="BN54" s="455"/>
      <c r="BO54" s="442"/>
      <c r="BP54" s="441"/>
      <c r="BQ54" s="441"/>
      <c r="BR54" s="441"/>
      <c r="BS54" s="455"/>
      <c r="BT54" s="442"/>
      <c r="BU54" s="441"/>
      <c r="BV54" s="441"/>
      <c r="BW54" s="441"/>
      <c r="BX54" s="455"/>
      <c r="BY54" s="442"/>
      <c r="BZ54" s="441"/>
      <c r="CA54" s="441"/>
      <c r="CB54" s="441"/>
      <c r="CC54" s="441"/>
      <c r="CD54" s="442"/>
      <c r="CE54" s="441"/>
      <c r="CF54" s="441"/>
      <c r="CG54" s="441"/>
      <c r="CH54" s="455"/>
      <c r="CI54" s="442"/>
      <c r="CJ54" s="441"/>
      <c r="CK54" s="441"/>
      <c r="CL54" s="441"/>
      <c r="CM54" s="455"/>
      <c r="CN54" s="442"/>
      <c r="CO54" s="441"/>
      <c r="CP54" s="441"/>
      <c r="CQ54" s="441"/>
      <c r="CR54" s="455"/>
      <c r="CS54" s="442"/>
      <c r="CT54" s="441"/>
      <c r="CU54" s="441"/>
      <c r="CV54" s="441"/>
      <c r="CW54" s="455"/>
      <c r="CX54" s="442"/>
      <c r="CY54" s="441"/>
      <c r="CZ54" s="441"/>
      <c r="DA54" s="441"/>
      <c r="DB54" s="455"/>
      <c r="DC54" s="442"/>
      <c r="DD54" s="441"/>
      <c r="DE54" s="441"/>
      <c r="DF54" s="441"/>
      <c r="DG54" s="455"/>
      <c r="DH54" s="442"/>
      <c r="DI54" s="441"/>
      <c r="DJ54" s="441"/>
      <c r="DK54" s="441"/>
      <c r="DL54" s="455"/>
      <c r="DM54" s="442"/>
      <c r="DN54" s="207"/>
    </row>
    <row r="55" spans="1:118" ht="16.5" customHeight="1" collapsed="1" x14ac:dyDescent="0.25">
      <c r="A55" s="466" t="s">
        <v>31</v>
      </c>
      <c r="B55" s="422"/>
      <c r="C55" s="419">
        <f t="shared" ref="C55:AH55" si="53">C13+C17</f>
        <v>920</v>
      </c>
      <c r="D55" s="419">
        <f t="shared" si="53"/>
        <v>1476</v>
      </c>
      <c r="E55" s="419">
        <f t="shared" si="53"/>
        <v>1391</v>
      </c>
      <c r="F55" s="419">
        <f t="shared" si="53"/>
        <v>1317</v>
      </c>
      <c r="G55" s="420">
        <f t="shared" si="53"/>
        <v>5104</v>
      </c>
      <c r="H55" s="419">
        <f t="shared" si="53"/>
        <v>1280</v>
      </c>
      <c r="I55" s="419">
        <f t="shared" si="53"/>
        <v>1513</v>
      </c>
      <c r="J55" s="419">
        <f t="shared" si="53"/>
        <v>1311</v>
      </c>
      <c r="K55" s="419">
        <f t="shared" si="53"/>
        <v>1248</v>
      </c>
      <c r="L55" s="420">
        <f t="shared" si="53"/>
        <v>5352</v>
      </c>
      <c r="M55" s="419">
        <f t="shared" si="53"/>
        <v>1158</v>
      </c>
      <c r="N55" s="419">
        <f t="shared" si="53"/>
        <v>1560</v>
      </c>
      <c r="O55" s="419">
        <f t="shared" si="53"/>
        <v>1450</v>
      </c>
      <c r="P55" s="419">
        <f t="shared" si="53"/>
        <v>1290</v>
      </c>
      <c r="Q55" s="420">
        <f t="shared" si="53"/>
        <v>5458</v>
      </c>
      <c r="R55" s="419">
        <f t="shared" si="53"/>
        <v>1168</v>
      </c>
      <c r="S55" s="419">
        <f t="shared" si="53"/>
        <v>1593</v>
      </c>
      <c r="T55" s="419">
        <f t="shared" si="53"/>
        <v>1473</v>
      </c>
      <c r="U55" s="419">
        <f t="shared" si="53"/>
        <v>1297</v>
      </c>
      <c r="V55" s="420">
        <f t="shared" si="53"/>
        <v>5531</v>
      </c>
      <c r="W55" s="419">
        <f t="shared" si="53"/>
        <v>1451</v>
      </c>
      <c r="X55" s="419">
        <f t="shared" si="53"/>
        <v>1882</v>
      </c>
      <c r="Y55" s="419">
        <f t="shared" si="53"/>
        <v>1489</v>
      </c>
      <c r="Z55" s="419">
        <f t="shared" si="53"/>
        <v>1337</v>
      </c>
      <c r="AA55" s="420">
        <f t="shared" si="53"/>
        <v>6159</v>
      </c>
      <c r="AB55" s="419">
        <f t="shared" si="53"/>
        <v>1409</v>
      </c>
      <c r="AC55" s="419">
        <f t="shared" si="53"/>
        <v>1930</v>
      </c>
      <c r="AD55" s="419">
        <f t="shared" si="53"/>
        <v>1581</v>
      </c>
      <c r="AE55" s="419">
        <f t="shared" si="53"/>
        <v>1257</v>
      </c>
      <c r="AF55" s="420">
        <f t="shared" si="53"/>
        <v>6177</v>
      </c>
      <c r="AG55" s="419">
        <f t="shared" si="53"/>
        <v>1440</v>
      </c>
      <c r="AH55" s="419">
        <f t="shared" si="53"/>
        <v>2070</v>
      </c>
      <c r="AI55" s="419">
        <f t="shared" ref="AI55:BD55" si="54">AI13+AI17</f>
        <v>1701</v>
      </c>
      <c r="AJ55" s="419">
        <f t="shared" si="54"/>
        <v>1386</v>
      </c>
      <c r="AK55" s="420">
        <f t="shared" si="54"/>
        <v>6597</v>
      </c>
      <c r="AL55" s="419">
        <f t="shared" si="54"/>
        <v>1637</v>
      </c>
      <c r="AM55" s="419">
        <f t="shared" si="54"/>
        <v>2318</v>
      </c>
      <c r="AN55" s="419">
        <f t="shared" si="54"/>
        <v>1913</v>
      </c>
      <c r="AO55" s="419">
        <f t="shared" si="54"/>
        <v>1651</v>
      </c>
      <c r="AP55" s="420">
        <f t="shared" si="54"/>
        <v>7519</v>
      </c>
      <c r="AQ55" s="419">
        <f t="shared" si="54"/>
        <v>1952</v>
      </c>
      <c r="AR55" s="419">
        <f t="shared" si="54"/>
        <v>2789</v>
      </c>
      <c r="AS55" s="419">
        <f t="shared" si="54"/>
        <v>2234</v>
      </c>
      <c r="AT55" s="419">
        <f t="shared" si="54"/>
        <v>1814</v>
      </c>
      <c r="AU55" s="420">
        <f t="shared" si="54"/>
        <v>8789</v>
      </c>
      <c r="AV55" s="419">
        <f t="shared" si="54"/>
        <v>1955</v>
      </c>
      <c r="AW55" s="419">
        <f t="shared" si="54"/>
        <v>2510</v>
      </c>
      <c r="AX55" s="419">
        <f t="shared" si="54"/>
        <v>2198</v>
      </c>
      <c r="AY55" s="419">
        <f t="shared" si="54"/>
        <v>1881</v>
      </c>
      <c r="AZ55" s="420">
        <f t="shared" si="54"/>
        <v>8544</v>
      </c>
      <c r="BA55" s="419">
        <f t="shared" si="54"/>
        <v>2279</v>
      </c>
      <c r="BB55" s="419">
        <f t="shared" si="54"/>
        <v>2841</v>
      </c>
      <c r="BC55" s="419">
        <f t="shared" si="54"/>
        <v>2444</v>
      </c>
      <c r="BD55" s="419">
        <f t="shared" si="54"/>
        <v>2015</v>
      </c>
      <c r="BE55" s="420">
        <f>SUM(BA55:BD55)</f>
        <v>9579</v>
      </c>
      <c r="BF55" s="419">
        <f>BF13+BF17</f>
        <v>2503</v>
      </c>
      <c r="BG55" s="419">
        <f>BG13+BG17</f>
        <v>3351</v>
      </c>
      <c r="BH55" s="419">
        <f>BH13+BH17</f>
        <v>2962</v>
      </c>
      <c r="BI55" s="419">
        <f>BI13+BI17</f>
        <v>2234</v>
      </c>
      <c r="BJ55" s="420">
        <f>SUM(BF55:BI55)</f>
        <v>11050</v>
      </c>
      <c r="BK55" s="419">
        <f>BK13+BK17</f>
        <v>2564</v>
      </c>
      <c r="BL55" s="419">
        <f>BL13+BL17</f>
        <v>3413</v>
      </c>
      <c r="BM55" s="419">
        <f>BM13+BM17</f>
        <v>2790</v>
      </c>
      <c r="BN55" s="419">
        <f>BN13+BN17</f>
        <v>2483</v>
      </c>
      <c r="BO55" s="420">
        <f>SUM(BK55:BN55)</f>
        <v>11250</v>
      </c>
      <c r="BP55" s="419">
        <f>BP13+BP17</f>
        <v>2611</v>
      </c>
      <c r="BQ55" s="419">
        <f>BQ13+BQ17</f>
        <v>3418</v>
      </c>
      <c r="BR55" s="419">
        <f>BR13+BR17</f>
        <v>2848</v>
      </c>
      <c r="BS55" s="419">
        <f>BS13+BS17</f>
        <v>2383</v>
      </c>
      <c r="BT55" s="420">
        <f>SUM(BP55:BS55)</f>
        <v>11260</v>
      </c>
      <c r="BU55" s="419">
        <f>BU13+BU17</f>
        <v>2459</v>
      </c>
      <c r="BV55" s="419">
        <f>BV13+BV17</f>
        <v>3326</v>
      </c>
      <c r="BW55" s="419">
        <f>BW13+BW17</f>
        <v>2840</v>
      </c>
      <c r="BX55" s="419">
        <f>BX13+BX17</f>
        <v>2329</v>
      </c>
      <c r="BY55" s="420">
        <f>SUM(BU55:BX55)</f>
        <v>10954</v>
      </c>
      <c r="BZ55" s="419">
        <f>BZ13+BZ17</f>
        <v>2508</v>
      </c>
      <c r="CA55" s="419">
        <f>CA13+CA17</f>
        <v>3154</v>
      </c>
      <c r="CB55" s="419">
        <f>CB13+CB17</f>
        <v>2705</v>
      </c>
      <c r="CC55" s="419">
        <f>CC13+CC17</f>
        <v>2006</v>
      </c>
      <c r="CD55" s="420">
        <f>SUM(BZ55:CC55)</f>
        <v>10373</v>
      </c>
      <c r="CE55" s="419">
        <f>CE13+CE17</f>
        <v>2447</v>
      </c>
      <c r="CF55" s="419">
        <f>CF13+CF17</f>
        <v>3050</v>
      </c>
      <c r="CG55" s="419">
        <f>CG13+CG17</f>
        <v>2482</v>
      </c>
      <c r="CH55" s="419">
        <f>CH13+CH17</f>
        <v>1979</v>
      </c>
      <c r="CI55" s="420">
        <f>SUM(CE55:CH55)</f>
        <v>9958</v>
      </c>
      <c r="CJ55" s="421">
        <f>Segments!BJ169</f>
        <v>2252</v>
      </c>
      <c r="CK55" s="421">
        <f>Segments!BK169</f>
        <v>2899</v>
      </c>
      <c r="CL55" s="421">
        <f>Segments!BL169</f>
        <v>2443</v>
      </c>
      <c r="CM55" s="421">
        <f>Segments!BM169</f>
        <v>1946</v>
      </c>
      <c r="CN55" s="420">
        <f>SUM(CJ55:CM55)</f>
        <v>9540</v>
      </c>
      <c r="CO55" s="846">
        <f>CO13+CO17</f>
        <v>2337</v>
      </c>
      <c r="CP55" s="421">
        <f>Segments!BP169</f>
        <v>2886.6143747064043</v>
      </c>
      <c r="CQ55" s="421">
        <f>Segments!BQ169</f>
        <v>2642.8599366542803</v>
      </c>
      <c r="CR55" s="421">
        <f>Segments!BR169</f>
        <v>2170.2381049353507</v>
      </c>
      <c r="CS55" s="420">
        <f>SUM(CO55:CR55)</f>
        <v>10036.712416296035</v>
      </c>
      <c r="CT55" s="421">
        <f>Segments!BT169</f>
        <v>2500.40742196679</v>
      </c>
      <c r="CU55" s="421">
        <f>Segments!BU169</f>
        <v>3091.2023806452739</v>
      </c>
      <c r="CV55" s="421">
        <f>Segments!BV169</f>
        <v>2836.5876567526493</v>
      </c>
      <c r="CW55" s="421">
        <f>Segments!BW169</f>
        <v>2339.1074078871688</v>
      </c>
      <c r="CX55" s="420">
        <f>SUM(CT55:CW55)</f>
        <v>10767.304867251882</v>
      </c>
      <c r="CY55" s="421">
        <f>Segments!BY169</f>
        <v>2685.9408327565407</v>
      </c>
      <c r="CZ55" s="421">
        <f>Segments!BZ169</f>
        <v>3306.2976280622897</v>
      </c>
      <c r="DA55" s="421">
        <f>Segments!CA169</f>
        <v>3040.4210401089922</v>
      </c>
      <c r="DB55" s="421">
        <f>Segments!CB169</f>
        <v>2517.0708626850628</v>
      </c>
      <c r="DC55" s="420">
        <f>SUM(CY55:DB55)</f>
        <v>11549.730363612885</v>
      </c>
      <c r="DD55" s="421">
        <f>Segments!CD169</f>
        <v>2870.1988270365264</v>
      </c>
      <c r="DE55" s="421">
        <f>Segments!CE169</f>
        <v>3519.5378281546764</v>
      </c>
      <c r="DF55" s="421">
        <f>Segments!CF169</f>
        <v>3242.6375978201863</v>
      </c>
      <c r="DG55" s="421">
        <f>Segments!CG169</f>
        <v>2694.5301472699562</v>
      </c>
      <c r="DH55" s="420">
        <f>SUM(DD55:DG55)</f>
        <v>12326.904400281344</v>
      </c>
      <c r="DI55" s="421">
        <f>Segments!CI169</f>
        <v>3050.4619334172421</v>
      </c>
      <c r="DJ55" s="421">
        <f>Segments!CJ169</f>
        <v>3729.2029181325051</v>
      </c>
      <c r="DK55" s="421">
        <f>Segments!CK169</f>
        <v>3440.8316659732336</v>
      </c>
      <c r="DL55" s="421">
        <f>Segments!CL169</f>
        <v>2867.6535680450861</v>
      </c>
      <c r="DM55" s="420">
        <f>SUM(DI55:DL55)</f>
        <v>13088.150085568068</v>
      </c>
      <c r="DN55" s="278"/>
    </row>
    <row r="56" spans="1:118" ht="16.5" customHeight="1" x14ac:dyDescent="0.2">
      <c r="A56" s="422"/>
      <c r="B56" s="474" t="s">
        <v>32</v>
      </c>
      <c r="C56" s="423"/>
      <c r="D56" s="423">
        <f t="shared" ref="D56:AI56" si="55">D55/D5</f>
        <v>0.26899945325314378</v>
      </c>
      <c r="E56" s="423">
        <f t="shared" si="55"/>
        <v>0.25692648688585151</v>
      </c>
      <c r="F56" s="423">
        <f t="shared" si="55"/>
        <v>0.2783178360101437</v>
      </c>
      <c r="G56" s="424">
        <f t="shared" si="55"/>
        <v>0.25662426466891247</v>
      </c>
      <c r="H56" s="423">
        <f t="shared" si="55"/>
        <v>0.32331396817378127</v>
      </c>
      <c r="I56" s="423">
        <f t="shared" si="55"/>
        <v>0.32516655920911242</v>
      </c>
      <c r="J56" s="423">
        <f t="shared" si="55"/>
        <v>0.2792332268370607</v>
      </c>
      <c r="K56" s="423">
        <f t="shared" si="55"/>
        <v>0.29447852760736198</v>
      </c>
      <c r="L56" s="424">
        <f t="shared" si="55"/>
        <v>0.30504417212881163</v>
      </c>
      <c r="M56" s="423">
        <f t="shared" si="55"/>
        <v>0.28389311105663151</v>
      </c>
      <c r="N56" s="423">
        <f t="shared" si="55"/>
        <v>0.29061102831594637</v>
      </c>
      <c r="O56" s="423">
        <f t="shared" si="55"/>
        <v>0.27245396467493421</v>
      </c>
      <c r="P56" s="423">
        <f t="shared" si="55"/>
        <v>0.26903023983315955</v>
      </c>
      <c r="Q56" s="424">
        <f t="shared" si="55"/>
        <v>0.27898180331220607</v>
      </c>
      <c r="R56" s="423">
        <f t="shared" si="55"/>
        <v>0.26247191011235954</v>
      </c>
      <c r="S56" s="423">
        <f t="shared" si="55"/>
        <v>0.28199681359532663</v>
      </c>
      <c r="T56" s="423">
        <f t="shared" si="55"/>
        <v>0.26098511693834159</v>
      </c>
      <c r="U56" s="423">
        <f t="shared" si="55"/>
        <v>0.25361752053187331</v>
      </c>
      <c r="V56" s="424">
        <f t="shared" si="55"/>
        <v>0.26518674785443735</v>
      </c>
      <c r="W56" s="423">
        <f t="shared" si="55"/>
        <v>0.28858392999204457</v>
      </c>
      <c r="X56" s="423">
        <f t="shared" si="55"/>
        <v>0.31822793371660468</v>
      </c>
      <c r="Y56" s="423">
        <f t="shared" si="55"/>
        <v>0.26608291636883491</v>
      </c>
      <c r="Z56" s="423">
        <f t="shared" si="55"/>
        <v>0.25691775557263641</v>
      </c>
      <c r="AA56" s="424">
        <f t="shared" si="55"/>
        <v>0.28327660748781158</v>
      </c>
      <c r="AB56" s="423">
        <f t="shared" si="55"/>
        <v>0.27064925086438724</v>
      </c>
      <c r="AC56" s="423">
        <f t="shared" si="55"/>
        <v>0.30586370839936611</v>
      </c>
      <c r="AD56" s="423">
        <f t="shared" si="55"/>
        <v>0.26188504223952297</v>
      </c>
      <c r="AE56" s="423">
        <f t="shared" si="55"/>
        <v>0.22644568546207891</v>
      </c>
      <c r="AF56" s="424">
        <f t="shared" si="55"/>
        <v>0.26735630193905818</v>
      </c>
      <c r="AG56" s="423">
        <f t="shared" si="55"/>
        <v>0.27554535017221582</v>
      </c>
      <c r="AH56" s="423">
        <f t="shared" si="55"/>
        <v>0.31964175416924029</v>
      </c>
      <c r="AI56" s="423">
        <f t="shared" si="55"/>
        <v>0.2635574837310195</v>
      </c>
      <c r="AJ56" s="423">
        <f t="shared" ref="AJ56:BP56" si="56">AJ55/AJ5</f>
        <v>0.23364801078894135</v>
      </c>
      <c r="AK56" s="424">
        <f t="shared" si="56"/>
        <v>0.27387080704085021</v>
      </c>
      <c r="AL56" s="423">
        <f t="shared" si="56"/>
        <v>0.26822873996395213</v>
      </c>
      <c r="AM56" s="423">
        <f t="shared" si="56"/>
        <v>0.29975429975429974</v>
      </c>
      <c r="AN56" s="423">
        <f t="shared" si="56"/>
        <v>0.24876462938881663</v>
      </c>
      <c r="AO56" s="423">
        <f t="shared" si="56"/>
        <v>0.22520802073386986</v>
      </c>
      <c r="AP56" s="424">
        <f t="shared" si="56"/>
        <v>0.26056069584502894</v>
      </c>
      <c r="AQ56" s="423">
        <f t="shared" si="56"/>
        <v>0.26453448976826127</v>
      </c>
      <c r="AR56" s="423">
        <f t="shared" si="56"/>
        <v>0.30831306654875085</v>
      </c>
      <c r="AS56" s="423">
        <f t="shared" si="56"/>
        <v>0.26617419277969739</v>
      </c>
      <c r="AT56" s="423">
        <f t="shared" si="56"/>
        <v>0.25456076340162787</v>
      </c>
      <c r="AU56" s="424">
        <f t="shared" si="56"/>
        <v>0.27513774104683197</v>
      </c>
      <c r="AV56" s="423">
        <f t="shared" si="56"/>
        <v>0.27270191100571906</v>
      </c>
      <c r="AW56" s="423">
        <f t="shared" si="56"/>
        <v>0.30361678964557881</v>
      </c>
      <c r="AX56" s="423">
        <f t="shared" si="56"/>
        <v>0.27324714072600698</v>
      </c>
      <c r="AY56" s="423">
        <f t="shared" si="56"/>
        <v>0.2504660452729694</v>
      </c>
      <c r="AZ56" s="424">
        <f t="shared" si="56"/>
        <v>0.27570183930300096</v>
      </c>
      <c r="BA56" s="423">
        <f t="shared" si="56"/>
        <v>0.30285714285714288</v>
      </c>
      <c r="BB56" s="423">
        <f t="shared" si="56"/>
        <v>0.32753055107216972</v>
      </c>
      <c r="BC56" s="423">
        <f t="shared" si="56"/>
        <v>0.29005459292665559</v>
      </c>
      <c r="BD56" s="436">
        <f t="shared" si="56"/>
        <v>0.19194132215660126</v>
      </c>
      <c r="BE56" s="424">
        <f t="shared" si="56"/>
        <v>0.27272727272727271</v>
      </c>
      <c r="BF56" s="436">
        <f t="shared" si="56"/>
        <v>0.23736367946894263</v>
      </c>
      <c r="BG56" s="436">
        <f t="shared" si="56"/>
        <v>0.26325712938958284</v>
      </c>
      <c r="BH56" s="423">
        <f t="shared" si="56"/>
        <v>0.24193416646246835</v>
      </c>
      <c r="BI56" s="423">
        <f t="shared" si="56"/>
        <v>0.20241007520159462</v>
      </c>
      <c r="BJ56" s="424">
        <f t="shared" si="56"/>
        <v>0.23735876616402457</v>
      </c>
      <c r="BK56" s="423">
        <f t="shared" si="56"/>
        <v>0.23018224257114642</v>
      </c>
      <c r="BL56" s="423">
        <f t="shared" si="56"/>
        <v>0.2608529501681443</v>
      </c>
      <c r="BM56" s="423">
        <f t="shared" si="56"/>
        <v>0.22602073882047957</v>
      </c>
      <c r="BN56" s="423">
        <f t="shared" si="56"/>
        <v>0.21657217618839947</v>
      </c>
      <c r="BO56" s="424">
        <f t="shared" si="56"/>
        <v>0.23421885409726848</v>
      </c>
      <c r="BP56" s="423">
        <f t="shared" si="56"/>
        <v>0.23652504755865567</v>
      </c>
      <c r="BQ56" s="436">
        <f t="shared" ref="BQ56:CU56" si="57">BQ55/BQ5</f>
        <v>0.26812048948854722</v>
      </c>
      <c r="BR56" s="436">
        <f t="shared" si="57"/>
        <v>0.23508047874535701</v>
      </c>
      <c r="BS56" s="436">
        <f t="shared" si="57"/>
        <v>0.21598839844104051</v>
      </c>
      <c r="BT56" s="424">
        <f t="shared" si="57"/>
        <v>0.23990625332907212</v>
      </c>
      <c r="BU56" s="436">
        <f>BU55/BU5</f>
        <v>0.23233182161753591</v>
      </c>
      <c r="BV56" s="436">
        <f>BV55/BV5</f>
        <v>0.26510441575003985</v>
      </c>
      <c r="BW56" s="436">
        <f t="shared" si="57"/>
        <v>0.23704198313997163</v>
      </c>
      <c r="BX56" s="436">
        <f t="shared" si="57"/>
        <v>0.21365012384184937</v>
      </c>
      <c r="BY56" s="424">
        <f>BY55/BY5</f>
        <v>0.23806833000086933</v>
      </c>
      <c r="BZ56" s="436">
        <f t="shared" si="57"/>
        <v>0.2343268242548818</v>
      </c>
      <c r="CA56" s="436">
        <f t="shared" si="57"/>
        <v>0.25960984443164048</v>
      </c>
      <c r="CB56" s="436">
        <f t="shared" si="57"/>
        <v>0.23728070175438595</v>
      </c>
      <c r="CC56" s="436">
        <f t="shared" si="57"/>
        <v>0.20049975012493754</v>
      </c>
      <c r="CD56" s="424">
        <f>CD55/CD5</f>
        <v>0.23438100187540953</v>
      </c>
      <c r="CE56" s="436">
        <f t="shared" si="57"/>
        <v>0.23690579920611871</v>
      </c>
      <c r="CF56" s="436">
        <f t="shared" si="57"/>
        <v>0.2646650468587296</v>
      </c>
      <c r="CG56" s="436">
        <f t="shared" si="57"/>
        <v>0.23357801618671184</v>
      </c>
      <c r="CH56" s="436">
        <f t="shared" ref="CH56" si="58">CH55/CH5</f>
        <v>0.21109333333333333</v>
      </c>
      <c r="CI56" s="424">
        <f>CI55/CI5</f>
        <v>0.23792230133320591</v>
      </c>
      <c r="CJ56" s="436">
        <f t="shared" si="57"/>
        <v>0.24698398771660451</v>
      </c>
      <c r="CK56" s="436">
        <f t="shared" ref="CK56" si="59">CK55/CK5</f>
        <v>0.29880437023294165</v>
      </c>
      <c r="CL56" s="436">
        <f t="shared" si="57"/>
        <v>0.26911213923771754</v>
      </c>
      <c r="CM56" s="436">
        <f t="shared" ref="CM56" si="60">CM55/CM5</f>
        <v>0.26050870147255689</v>
      </c>
      <c r="CN56" s="424">
        <f t="shared" si="57"/>
        <v>0.26973535399230941</v>
      </c>
      <c r="CO56" s="837">
        <f t="shared" si="57"/>
        <v>0.30653200419727178</v>
      </c>
      <c r="CP56" s="436">
        <f t="shared" si="57"/>
        <v>0.33042490670327551</v>
      </c>
      <c r="CQ56" s="436">
        <f t="shared" si="57"/>
        <v>0.31844400115275229</v>
      </c>
      <c r="CR56" s="436">
        <f t="shared" si="57"/>
        <v>0.29631697173143157</v>
      </c>
      <c r="CS56" s="424">
        <f t="shared" si="57"/>
        <v>0.31381002373338712</v>
      </c>
      <c r="CT56" s="436">
        <f t="shared" si="57"/>
        <v>0.31625562477693975</v>
      </c>
      <c r="CU56" s="436">
        <f t="shared" si="57"/>
        <v>0.34010449437230494</v>
      </c>
      <c r="CV56" s="436">
        <f t="shared" ref="CV56:DC56" si="61">CV55/CV5</f>
        <v>0.32819181582657259</v>
      </c>
      <c r="CW56" s="436">
        <f t="shared" si="61"/>
        <v>0.30603240673177856</v>
      </c>
      <c r="CX56" s="424">
        <f t="shared" si="61"/>
        <v>0.323520518755741</v>
      </c>
      <c r="CY56" s="436">
        <f t="shared" si="61"/>
        <v>0.32648466900359702</v>
      </c>
      <c r="CZ56" s="436">
        <f t="shared" si="61"/>
        <v>0.34971734378589869</v>
      </c>
      <c r="DA56" s="436">
        <f t="shared" si="61"/>
        <v>0.33786500829073757</v>
      </c>
      <c r="DB56" s="436">
        <f t="shared" si="61"/>
        <v>0.31566395693358296</v>
      </c>
      <c r="DC56" s="424">
        <f t="shared" si="61"/>
        <v>0.33328835208668373</v>
      </c>
      <c r="DD56" s="436">
        <f>DD55/DD5</f>
        <v>0.33681913169689609</v>
      </c>
      <c r="DE56" s="436">
        <f>DE55/DE5</f>
        <v>0.35942838278475947</v>
      </c>
      <c r="DF56" s="436">
        <f>DF55/DF5</f>
        <v>0.34753915967766058</v>
      </c>
      <c r="DG56" s="436">
        <f>DG55/DG5</f>
        <v>0.32522218622552085</v>
      </c>
      <c r="DH56" s="424">
        <f>DH55/DH5</f>
        <v>0.34309062790807648</v>
      </c>
      <c r="DI56" s="436">
        <f t="shared" ref="DI56:DM56" si="62">DI55/DI5</f>
        <v>0.34619627953199883</v>
      </c>
      <c r="DJ56" s="436">
        <f t="shared" si="62"/>
        <v>0.36829210885994917</v>
      </c>
      <c r="DK56" s="436">
        <f t="shared" si="62"/>
        <v>0.3563290132807409</v>
      </c>
      <c r="DL56" s="436">
        <f t="shared" si="62"/>
        <v>0.33387532533205805</v>
      </c>
      <c r="DM56" s="424">
        <f t="shared" si="62"/>
        <v>0.35199890816366841</v>
      </c>
      <c r="DN56" s="279"/>
    </row>
    <row r="57" spans="1:118" ht="16.5" customHeight="1" x14ac:dyDescent="0.2">
      <c r="A57" s="422"/>
      <c r="B57" s="474" t="s">
        <v>225</v>
      </c>
      <c r="C57" s="423"/>
      <c r="D57" s="423"/>
      <c r="E57" s="423"/>
      <c r="F57" s="423"/>
      <c r="G57" s="424"/>
      <c r="H57" s="423"/>
      <c r="I57" s="423"/>
      <c r="J57" s="423"/>
      <c r="K57" s="423"/>
      <c r="L57" s="424">
        <f t="shared" ref="L57:Q57" si="63">L55/G55-1</f>
        <v>4.8589341692790056E-2</v>
      </c>
      <c r="M57" s="423">
        <f t="shared" si="63"/>
        <v>-9.5312500000000022E-2</v>
      </c>
      <c r="N57" s="423">
        <f t="shared" si="63"/>
        <v>3.1064111037673481E-2</v>
      </c>
      <c r="O57" s="423">
        <f t="shared" si="63"/>
        <v>0.10602593440122043</v>
      </c>
      <c r="P57" s="423">
        <f t="shared" si="63"/>
        <v>3.3653846153846256E-2</v>
      </c>
      <c r="Q57" s="424">
        <f t="shared" si="63"/>
        <v>1.9805680119581393E-2</v>
      </c>
      <c r="R57" s="423">
        <f>R55/M55-1</f>
        <v>8.6355785837650689E-3</v>
      </c>
      <c r="S57" s="423">
        <f>S55/N55-1</f>
        <v>2.1153846153846079E-2</v>
      </c>
      <c r="T57" s="423">
        <f>T55/O55-1</f>
        <v>1.586206896551734E-2</v>
      </c>
      <c r="U57" s="423">
        <f>U55/P55-1</f>
        <v>5.4263565891472521E-3</v>
      </c>
      <c r="V57" s="424">
        <f>V55/Q55-1</f>
        <v>1.3374862587028247E-2</v>
      </c>
      <c r="W57" s="423">
        <f t="shared" ref="W57:AE57" si="64">W55/R55-1</f>
        <v>0.2422945205479452</v>
      </c>
      <c r="X57" s="423">
        <f t="shared" si="64"/>
        <v>0.18141870684243555</v>
      </c>
      <c r="Y57" s="423">
        <f t="shared" si="64"/>
        <v>1.0862186014935604E-2</v>
      </c>
      <c r="Z57" s="423">
        <f t="shared" si="64"/>
        <v>3.0840400925212119E-2</v>
      </c>
      <c r="AA57" s="424">
        <f t="shared" si="64"/>
        <v>0.11354185499909608</v>
      </c>
      <c r="AB57" s="423">
        <f t="shared" si="64"/>
        <v>-2.8945554789800099E-2</v>
      </c>
      <c r="AC57" s="423">
        <f t="shared" si="64"/>
        <v>2.5504782146652527E-2</v>
      </c>
      <c r="AD57" s="423">
        <f t="shared" si="64"/>
        <v>6.1786433848220357E-2</v>
      </c>
      <c r="AE57" s="423">
        <f t="shared" si="64"/>
        <v>-5.9835452505609621E-2</v>
      </c>
      <c r="AF57" s="424">
        <f t="shared" ref="AF57:AZ57" si="65">AF55/AA55-1</f>
        <v>2.9225523623965799E-3</v>
      </c>
      <c r="AG57" s="423">
        <f t="shared" si="65"/>
        <v>2.2001419446415982E-2</v>
      </c>
      <c r="AH57" s="423">
        <f t="shared" si="65"/>
        <v>7.2538860103626979E-2</v>
      </c>
      <c r="AI57" s="423">
        <f t="shared" si="65"/>
        <v>7.5901328273244806E-2</v>
      </c>
      <c r="AJ57" s="423">
        <f t="shared" si="65"/>
        <v>0.10262529832935563</v>
      </c>
      <c r="AK57" s="424">
        <f t="shared" si="65"/>
        <v>6.7994171928120517E-2</v>
      </c>
      <c r="AL57" s="423">
        <f t="shared" si="65"/>
        <v>0.13680555555555562</v>
      </c>
      <c r="AM57" s="423">
        <f t="shared" si="65"/>
        <v>0.11980676328502415</v>
      </c>
      <c r="AN57" s="423">
        <f t="shared" si="65"/>
        <v>0.12463256907701359</v>
      </c>
      <c r="AO57" s="423">
        <f t="shared" si="65"/>
        <v>0.19119769119769114</v>
      </c>
      <c r="AP57" s="424">
        <f t="shared" si="65"/>
        <v>0.13976049719569494</v>
      </c>
      <c r="AQ57" s="423">
        <f t="shared" si="65"/>
        <v>0.19242516799022602</v>
      </c>
      <c r="AR57" s="423">
        <f t="shared" si="65"/>
        <v>0.20319240724762722</v>
      </c>
      <c r="AS57" s="423">
        <f t="shared" si="65"/>
        <v>0.16779926816518564</v>
      </c>
      <c r="AT57" s="423">
        <f t="shared" si="65"/>
        <v>9.8728043609933369E-2</v>
      </c>
      <c r="AU57" s="424">
        <f t="shared" si="65"/>
        <v>0.16890543955313198</v>
      </c>
      <c r="AV57" s="423">
        <f t="shared" si="65"/>
        <v>1.5368852459016757E-3</v>
      </c>
      <c r="AW57" s="423">
        <f t="shared" si="65"/>
        <v>-0.10003585514521329</v>
      </c>
      <c r="AX57" s="423">
        <f t="shared" si="65"/>
        <v>-1.61145926589078E-2</v>
      </c>
      <c r="AY57" s="423">
        <f t="shared" si="65"/>
        <v>3.6934950385887566E-2</v>
      </c>
      <c r="AZ57" s="424">
        <f t="shared" si="65"/>
        <v>-2.7875753783138002E-2</v>
      </c>
      <c r="BA57" s="423">
        <f t="shared" ref="BA57:CF57" si="66">BA55/AV55-1</f>
        <v>0.16572890025575449</v>
      </c>
      <c r="BB57" s="423">
        <f t="shared" si="66"/>
        <v>0.13187250996015942</v>
      </c>
      <c r="BC57" s="423">
        <f t="shared" si="66"/>
        <v>0.11191992720655142</v>
      </c>
      <c r="BD57" s="436">
        <f t="shared" si="66"/>
        <v>7.1238702817650212E-2</v>
      </c>
      <c r="BE57" s="424">
        <f t="shared" si="66"/>
        <v>0.1211376404494382</v>
      </c>
      <c r="BF57" s="436">
        <f t="shared" si="66"/>
        <v>9.8288723124177357E-2</v>
      </c>
      <c r="BG57" s="436">
        <f t="shared" si="66"/>
        <v>0.1795142555438225</v>
      </c>
      <c r="BH57" s="423">
        <f t="shared" si="66"/>
        <v>0.21194762684124391</v>
      </c>
      <c r="BI57" s="423">
        <f t="shared" si="66"/>
        <v>0.10868486352357309</v>
      </c>
      <c r="BJ57" s="424">
        <f t="shared" si="66"/>
        <v>0.15356509030170162</v>
      </c>
      <c r="BK57" s="423">
        <f t="shared" si="66"/>
        <v>2.437075509388742E-2</v>
      </c>
      <c r="BL57" s="423">
        <f t="shared" si="66"/>
        <v>1.8501939719486771E-2</v>
      </c>
      <c r="BM57" s="423">
        <f t="shared" si="66"/>
        <v>-5.806887238352465E-2</v>
      </c>
      <c r="BN57" s="423">
        <f t="shared" si="66"/>
        <v>0.11145926589077892</v>
      </c>
      <c r="BO57" s="424">
        <f t="shared" si="66"/>
        <v>1.8099547511312153E-2</v>
      </c>
      <c r="BP57" s="423">
        <f t="shared" si="66"/>
        <v>1.833073322932921E-2</v>
      </c>
      <c r="BQ57" s="436">
        <f t="shared" si="66"/>
        <v>1.4649868151186407E-3</v>
      </c>
      <c r="BR57" s="436">
        <f t="shared" si="66"/>
        <v>2.0788530465949862E-2</v>
      </c>
      <c r="BS57" s="436">
        <f t="shared" si="66"/>
        <v>-4.0273862263391025E-2</v>
      </c>
      <c r="BT57" s="424">
        <f t="shared" si="66"/>
        <v>8.8888888888893902E-4</v>
      </c>
      <c r="BU57" s="436">
        <f>BU55/BP55-1</f>
        <v>-5.8215243201838351E-2</v>
      </c>
      <c r="BV57" s="436">
        <f>BV55/BQ55-1</f>
        <v>-2.691632533645405E-2</v>
      </c>
      <c r="BW57" s="436">
        <f>BW55/BR55-1</f>
        <v>-2.8089887640448952E-3</v>
      </c>
      <c r="BX57" s="436">
        <f>BX55/BS55-1</f>
        <v>-2.2660511959714635E-2</v>
      </c>
      <c r="BY57" s="424">
        <f>BY55/BT55-1</f>
        <v>-2.7175843694493773E-2</v>
      </c>
      <c r="BZ57" s="436">
        <f t="shared" si="66"/>
        <v>1.9926799511996718E-2</v>
      </c>
      <c r="CA57" s="436">
        <f t="shared" si="66"/>
        <v>-5.1713770294648187E-2</v>
      </c>
      <c r="CB57" s="436">
        <f t="shared" si="66"/>
        <v>-4.7535211267605626E-2</v>
      </c>
      <c r="CC57" s="436">
        <f t="shared" si="66"/>
        <v>-0.13868613138686137</v>
      </c>
      <c r="CD57" s="424">
        <f>CD55/BY55-1</f>
        <v>-5.3039985393463551E-2</v>
      </c>
      <c r="CE57" s="436">
        <f t="shared" si="66"/>
        <v>-2.4322169059011189E-2</v>
      </c>
      <c r="CF57" s="436">
        <f t="shared" si="66"/>
        <v>-3.2974001268230801E-2</v>
      </c>
      <c r="CG57" s="436">
        <f t="shared" ref="CG57:CX57" si="67">CG55/CB55-1</f>
        <v>-8.2439926062846558E-2</v>
      </c>
      <c r="CH57" s="436">
        <f t="shared" si="67"/>
        <v>-1.3459621136590272E-2</v>
      </c>
      <c r="CI57" s="424">
        <f>CI55/CD55-1</f>
        <v>-4.0007712330087708E-2</v>
      </c>
      <c r="CJ57" s="436">
        <f t="shared" si="67"/>
        <v>-7.9689415610952219E-2</v>
      </c>
      <c r="CK57" s="436">
        <f t="shared" si="67"/>
        <v>-4.9508196721311459E-2</v>
      </c>
      <c r="CL57" s="436">
        <f t="shared" si="67"/>
        <v>-1.5713134568896003E-2</v>
      </c>
      <c r="CM57" s="436">
        <f t="shared" si="67"/>
        <v>-1.6675088428499296E-2</v>
      </c>
      <c r="CN57" s="424">
        <f t="shared" si="67"/>
        <v>-4.1976300461940119E-2</v>
      </c>
      <c r="CO57" s="837">
        <f t="shared" si="67"/>
        <v>3.7744227353463611E-2</v>
      </c>
      <c r="CP57" s="436">
        <f t="shared" si="67"/>
        <v>-4.2723785076218546E-3</v>
      </c>
      <c r="CQ57" s="436">
        <f t="shared" si="67"/>
        <v>8.180922499151877E-2</v>
      </c>
      <c r="CR57" s="436">
        <f t="shared" si="67"/>
        <v>0.11523026975095108</v>
      </c>
      <c r="CS57" s="424">
        <f t="shared" si="67"/>
        <v>5.2066291016355848E-2</v>
      </c>
      <c r="CT57" s="436">
        <f t="shared" si="67"/>
        <v>6.9921875039276937E-2</v>
      </c>
      <c r="CU57" s="436">
        <f t="shared" si="67"/>
        <v>7.0874727061413623E-2</v>
      </c>
      <c r="CV57" s="436">
        <f t="shared" si="67"/>
        <v>7.3302303088985443E-2</v>
      </c>
      <c r="CW57" s="436">
        <f t="shared" si="67"/>
        <v>7.7811417359132884E-2</v>
      </c>
      <c r="CX57" s="424">
        <f t="shared" si="67"/>
        <v>7.2792008045346135E-2</v>
      </c>
      <c r="CY57" s="436">
        <f t="shared" ref="CY57:DH57" si="68">CY55/CT55-1</f>
        <v>7.4201271824658299E-2</v>
      </c>
      <c r="CZ57" s="436">
        <f t="shared" si="68"/>
        <v>6.9583036285096211E-2</v>
      </c>
      <c r="DA57" s="436">
        <f t="shared" si="68"/>
        <v>7.185865836760108E-2</v>
      </c>
      <c r="DB57" s="436">
        <f t="shared" si="68"/>
        <v>7.6081779826708384E-2</v>
      </c>
      <c r="DC57" s="424">
        <f t="shared" si="68"/>
        <v>7.2666791365841643E-2</v>
      </c>
      <c r="DD57" s="436">
        <f t="shared" si="68"/>
        <v>6.8600913330947977E-2</v>
      </c>
      <c r="DE57" s="436">
        <f t="shared" si="68"/>
        <v>6.4495161682513125E-2</v>
      </c>
      <c r="DF57" s="436">
        <f t="shared" si="68"/>
        <v>6.650939295695224E-2</v>
      </c>
      <c r="DG57" s="436">
        <f t="shared" si="68"/>
        <v>7.0502299802394308E-2</v>
      </c>
      <c r="DH57" s="424">
        <f t="shared" si="68"/>
        <v>6.7289366262343719E-2</v>
      </c>
      <c r="DI57" s="436">
        <f>DI55/DD55-1</f>
        <v>6.280509373869303E-2</v>
      </c>
      <c r="DJ57" s="436">
        <f>DJ55/DE55-1</f>
        <v>5.957176771921735E-2</v>
      </c>
      <c r="DK57" s="436">
        <f>DK55/DF55-1</f>
        <v>6.1121251504108853E-2</v>
      </c>
      <c r="DL57" s="436">
        <f>DL55/DG55-1</f>
        <v>6.4249947602380786E-2</v>
      </c>
      <c r="DM57" s="424">
        <f>DM55/DH55-1</f>
        <v>6.1754813744588466E-2</v>
      </c>
      <c r="DN57" s="279"/>
    </row>
    <row r="58" spans="1:118" ht="16.5" customHeight="1" x14ac:dyDescent="0.2">
      <c r="A58" s="422"/>
      <c r="B58" s="474" t="s">
        <v>33</v>
      </c>
      <c r="C58" s="437"/>
      <c r="D58" s="437"/>
      <c r="E58" s="437"/>
      <c r="F58" s="437"/>
      <c r="G58" s="438"/>
      <c r="H58" s="437"/>
      <c r="I58" s="437"/>
      <c r="J58" s="437"/>
      <c r="K58" s="437"/>
      <c r="L58" s="438">
        <f t="shared" ref="L58:Q58" si="69">(L56-G56)*10000</f>
        <v>484.19907459899156</v>
      </c>
      <c r="M58" s="437">
        <f t="shared" si="69"/>
        <v>-394.20857117149768</v>
      </c>
      <c r="N58" s="437">
        <f t="shared" si="69"/>
        <v>-345.55530893166042</v>
      </c>
      <c r="O58" s="437">
        <f t="shared" si="69"/>
        <v>-67.792621621264871</v>
      </c>
      <c r="P58" s="437">
        <f t="shared" si="69"/>
        <v>-254.48287774202439</v>
      </c>
      <c r="Q58" s="438">
        <f t="shared" si="69"/>
        <v>-260.62368816605562</v>
      </c>
      <c r="R58" s="437">
        <f>(R56-M56)*10000</f>
        <v>-214.21200944271968</v>
      </c>
      <c r="S58" s="437">
        <f>(S56-N56)*10000</f>
        <v>-86.142147206197393</v>
      </c>
      <c r="T58" s="437">
        <f>(T56-O56)*10000</f>
        <v>-114.68847736592625</v>
      </c>
      <c r="U58" s="437">
        <f>(U56-P56)*10000</f>
        <v>-154.12719301286236</v>
      </c>
      <c r="V58" s="438">
        <f>(V56-Q56)*10000</f>
        <v>-137.95055457768711</v>
      </c>
      <c r="W58" s="437">
        <f t="shared" ref="W58:AE58" si="70">(W56-R56)*10000</f>
        <v>261.12019879685033</v>
      </c>
      <c r="X58" s="437">
        <f t="shared" si="70"/>
        <v>362.31120121278047</v>
      </c>
      <c r="Y58" s="437">
        <f t="shared" si="70"/>
        <v>50.977994304933219</v>
      </c>
      <c r="Z58" s="437">
        <f t="shared" si="70"/>
        <v>33.002350407630999</v>
      </c>
      <c r="AA58" s="438">
        <f t="shared" si="70"/>
        <v>180.89859633374229</v>
      </c>
      <c r="AB58" s="437">
        <f t="shared" si="70"/>
        <v>-179.34679127657338</v>
      </c>
      <c r="AC58" s="437">
        <f t="shared" si="70"/>
        <v>-123.64225317238575</v>
      </c>
      <c r="AD58" s="437">
        <f t="shared" si="70"/>
        <v>-41.978741293119405</v>
      </c>
      <c r="AE58" s="437">
        <f t="shared" si="70"/>
        <v>-304.72070110557496</v>
      </c>
      <c r="AF58" s="438">
        <f t="shared" ref="AF58:AZ58" si="71">(AF56-AA56)*10000</f>
        <v>-159.20305548753399</v>
      </c>
      <c r="AG58" s="437">
        <f t="shared" si="71"/>
        <v>48.960993078285831</v>
      </c>
      <c r="AH58" s="437">
        <f t="shared" si="71"/>
        <v>137.7804576987418</v>
      </c>
      <c r="AI58" s="437">
        <f t="shared" si="71"/>
        <v>16.724414914965347</v>
      </c>
      <c r="AJ58" s="437">
        <f t="shared" si="71"/>
        <v>72.023253268624359</v>
      </c>
      <c r="AK58" s="438">
        <f t="shared" si="71"/>
        <v>65.145051017920224</v>
      </c>
      <c r="AL58" s="437">
        <f t="shared" si="71"/>
        <v>-73.166102082636854</v>
      </c>
      <c r="AM58" s="437">
        <f t="shared" si="71"/>
        <v>-198.87454414940552</v>
      </c>
      <c r="AN58" s="437">
        <f t="shared" si="71"/>
        <v>-147.92854342202872</v>
      </c>
      <c r="AO58" s="437">
        <f t="shared" si="71"/>
        <v>-84.399900550714833</v>
      </c>
      <c r="AP58" s="438">
        <f t="shared" si="71"/>
        <v>-133.10111195821261</v>
      </c>
      <c r="AQ58" s="437">
        <f t="shared" si="71"/>
        <v>-36.942501956908622</v>
      </c>
      <c r="AR58" s="437">
        <f t="shared" si="71"/>
        <v>85.587667944511111</v>
      </c>
      <c r="AS58" s="437">
        <f t="shared" si="71"/>
        <v>174.0956339088076</v>
      </c>
      <c r="AT58" s="437">
        <f t="shared" si="71"/>
        <v>293.52742667758002</v>
      </c>
      <c r="AU58" s="438">
        <f t="shared" si="71"/>
        <v>145.77045201803028</v>
      </c>
      <c r="AV58" s="437">
        <f t="shared" si="71"/>
        <v>81.674212374577834</v>
      </c>
      <c r="AW58" s="437">
        <f t="shared" si="71"/>
        <v>-46.962769031720363</v>
      </c>
      <c r="AX58" s="437">
        <f t="shared" si="71"/>
        <v>70.729479463095828</v>
      </c>
      <c r="AY58" s="437">
        <f t="shared" si="71"/>
        <v>-40.947181286584701</v>
      </c>
      <c r="AZ58" s="438">
        <f t="shared" si="71"/>
        <v>5.6409825616898779</v>
      </c>
      <c r="BA58" s="437">
        <f t="shared" ref="BA58:CF58" si="72">(BA56-AV56)*10000</f>
        <v>301.55231851423827</v>
      </c>
      <c r="BB58" s="437">
        <f t="shared" si="72"/>
        <v>239.13761426590906</v>
      </c>
      <c r="BC58" s="437">
        <f t="shared" si="72"/>
        <v>168.07452200648609</v>
      </c>
      <c r="BD58" s="455">
        <f t="shared" si="72"/>
        <v>-585.24723116368136</v>
      </c>
      <c r="BE58" s="438">
        <f t="shared" si="72"/>
        <v>-29.745665757282545</v>
      </c>
      <c r="BF58" s="455">
        <f t="shared" si="72"/>
        <v>-654.93463388200246</v>
      </c>
      <c r="BG58" s="455">
        <f t="shared" si="72"/>
        <v>-642.73421682586877</v>
      </c>
      <c r="BH58" s="437">
        <f t="shared" si="72"/>
        <v>-481.20426464187238</v>
      </c>
      <c r="BI58" s="437">
        <f t="shared" si="72"/>
        <v>104.68753044993367</v>
      </c>
      <c r="BJ58" s="438">
        <f t="shared" si="72"/>
        <v>-353.68506563248138</v>
      </c>
      <c r="BK58" s="437">
        <f t="shared" si="72"/>
        <v>-71.814368977962118</v>
      </c>
      <c r="BL58" s="437">
        <f t="shared" si="72"/>
        <v>-24.041792214385403</v>
      </c>
      <c r="BM58" s="437">
        <f t="shared" si="72"/>
        <v>-159.13427641988775</v>
      </c>
      <c r="BN58" s="437">
        <f t="shared" si="72"/>
        <v>141.62100986804842</v>
      </c>
      <c r="BO58" s="438">
        <f t="shared" si="72"/>
        <v>-31.399120667560954</v>
      </c>
      <c r="BP58" s="437">
        <f t="shared" si="72"/>
        <v>63.428049875092483</v>
      </c>
      <c r="BQ58" s="455">
        <f t="shared" si="72"/>
        <v>72.675393204029163</v>
      </c>
      <c r="BR58" s="455">
        <f t="shared" si="72"/>
        <v>90.597399248774352</v>
      </c>
      <c r="BS58" s="455">
        <f t="shared" si="72"/>
        <v>-5.8377774735896004</v>
      </c>
      <c r="BT58" s="438">
        <f>(BT56-BO56)*10000</f>
        <v>56.873992318036414</v>
      </c>
      <c r="BU58" s="455">
        <f>(BU56-BP56)*10000</f>
        <v>-41.932259411197606</v>
      </c>
      <c r="BV58" s="455">
        <f>(BV56-BQ56)*10000</f>
        <v>-30.160737385073745</v>
      </c>
      <c r="BW58" s="455">
        <f t="shared" si="72"/>
        <v>19.615043946146216</v>
      </c>
      <c r="BX58" s="455">
        <f>(BX56-BS56)*10000</f>
        <v>-23.382745991911424</v>
      </c>
      <c r="BY58" s="438">
        <f>(BY56-BT56)*10000</f>
        <v>-18.379233282027897</v>
      </c>
      <c r="BZ58" s="455">
        <f t="shared" si="72"/>
        <v>19.95002637345894</v>
      </c>
      <c r="CA58" s="455">
        <f t="shared" si="72"/>
        <v>-54.945713183993661</v>
      </c>
      <c r="CB58" s="455">
        <f t="shared" si="72"/>
        <v>2.3871861441432385</v>
      </c>
      <c r="CC58" s="455">
        <f t="shared" si="72"/>
        <v>-131.5037371691183</v>
      </c>
      <c r="CD58" s="438">
        <f>(CD56-BY56)*10000</f>
        <v>-36.873281254597991</v>
      </c>
      <c r="CE58" s="455">
        <f t="shared" si="72"/>
        <v>25.789749512369063</v>
      </c>
      <c r="CF58" s="455">
        <f t="shared" si="72"/>
        <v>50.552024270891224</v>
      </c>
      <c r="CG58" s="455">
        <f t="shared" ref="CG58:CX58" si="73">(CG56-CB56)*10000</f>
        <v>-37.026855676741135</v>
      </c>
      <c r="CH58" s="455">
        <f t="shared" si="73"/>
        <v>105.93583208395791</v>
      </c>
      <c r="CI58" s="438">
        <f>(CI56-CD56)*10000</f>
        <v>35.412994577963822</v>
      </c>
      <c r="CJ58" s="455">
        <f t="shared" si="73"/>
        <v>100.78188510485808</v>
      </c>
      <c r="CK58" s="455">
        <f t="shared" si="73"/>
        <v>341.39323374212051</v>
      </c>
      <c r="CL58" s="455">
        <f t="shared" si="73"/>
        <v>355.34123051005702</v>
      </c>
      <c r="CM58" s="455">
        <f t="shared" si="73"/>
        <v>494.15368139223563</v>
      </c>
      <c r="CN58" s="438">
        <f t="shared" si="73"/>
        <v>318.13052659103505</v>
      </c>
      <c r="CO58" s="847">
        <f t="shared" si="73"/>
        <v>595.48016480667263</v>
      </c>
      <c r="CP58" s="455">
        <f t="shared" si="73"/>
        <v>316.2053647033386</v>
      </c>
      <c r="CQ58" s="455">
        <f t="shared" si="73"/>
        <v>493.31861915034744</v>
      </c>
      <c r="CR58" s="455">
        <f t="shared" si="73"/>
        <v>358.08270258874677</v>
      </c>
      <c r="CS58" s="438">
        <f t="shared" si="73"/>
        <v>440.74669741077707</v>
      </c>
      <c r="CT58" s="455">
        <f t="shared" si="73"/>
        <v>97.236205796679684</v>
      </c>
      <c r="CU58" s="455">
        <f t="shared" si="73"/>
        <v>96.795876690294321</v>
      </c>
      <c r="CV58" s="455">
        <f t="shared" si="73"/>
        <v>97.47814673820298</v>
      </c>
      <c r="CW58" s="455">
        <f t="shared" si="73"/>
        <v>97.154350003469943</v>
      </c>
      <c r="CX58" s="438">
        <f t="shared" si="73"/>
        <v>97.104950223538822</v>
      </c>
      <c r="CY58" s="455">
        <f t="shared" ref="CY58:DH58" si="74">(CY56-CT56)*10000</f>
        <v>102.29044226657268</v>
      </c>
      <c r="CZ58" s="455">
        <f t="shared" si="74"/>
        <v>96.128494135937487</v>
      </c>
      <c r="DA58" s="455">
        <f t="shared" si="74"/>
        <v>96.731924641649812</v>
      </c>
      <c r="DB58" s="455">
        <f t="shared" si="74"/>
        <v>96.315502018043958</v>
      </c>
      <c r="DC58" s="438">
        <f t="shared" si="74"/>
        <v>97.678333309427217</v>
      </c>
      <c r="DD58" s="455">
        <f t="shared" si="74"/>
        <v>103.34462693299074</v>
      </c>
      <c r="DE58" s="455">
        <f t="shared" si="74"/>
        <v>97.110389988607764</v>
      </c>
      <c r="DF58" s="455">
        <f t="shared" si="74"/>
        <v>96.741513869230133</v>
      </c>
      <c r="DG58" s="455">
        <f t="shared" si="74"/>
        <v>95.582292919378915</v>
      </c>
      <c r="DH58" s="438">
        <f t="shared" si="74"/>
        <v>98.022758213927588</v>
      </c>
      <c r="DI58" s="455">
        <f>(DI56-DD56)*10000</f>
        <v>93.771478351027397</v>
      </c>
      <c r="DJ58" s="455">
        <f>(DJ56-DE56)*10000</f>
        <v>88.637260751897045</v>
      </c>
      <c r="DK58" s="455">
        <f>(DK56-DF56)*10000</f>
        <v>87.898536030803214</v>
      </c>
      <c r="DL58" s="455">
        <f>(DL56-DG56)*10000</f>
        <v>86.531391065371992</v>
      </c>
      <c r="DM58" s="438">
        <f>(DM56-DH56)*10000</f>
        <v>89.082802555919272</v>
      </c>
      <c r="DN58" s="207"/>
    </row>
    <row r="59" spans="1:118" ht="3.75" customHeight="1" x14ac:dyDescent="0.25">
      <c r="A59" s="418"/>
      <c r="B59" s="418"/>
      <c r="C59" s="422"/>
      <c r="D59" s="422"/>
      <c r="E59" s="422"/>
      <c r="F59" s="422"/>
      <c r="G59" s="443"/>
      <c r="H59" s="422"/>
      <c r="I59" s="422"/>
      <c r="J59" s="422"/>
      <c r="K59" s="422"/>
      <c r="L59" s="443"/>
      <c r="M59" s="422"/>
      <c r="N59" s="422"/>
      <c r="O59" s="422"/>
      <c r="P59" s="422"/>
      <c r="Q59" s="443"/>
      <c r="R59" s="422"/>
      <c r="S59" s="422"/>
      <c r="T59" s="422"/>
      <c r="U59" s="422"/>
      <c r="V59" s="443"/>
      <c r="W59" s="422"/>
      <c r="X59" s="422"/>
      <c r="Y59" s="422"/>
      <c r="Z59" s="422"/>
      <c r="AA59" s="443"/>
      <c r="AB59" s="422"/>
      <c r="AC59" s="422"/>
      <c r="AD59" s="422"/>
      <c r="AE59" s="422"/>
      <c r="AF59" s="443"/>
      <c r="AG59" s="422"/>
      <c r="AH59" s="422"/>
      <c r="AI59" s="422"/>
      <c r="AJ59" s="422"/>
      <c r="AK59" s="443"/>
      <c r="AL59" s="422"/>
      <c r="AM59" s="422"/>
      <c r="AN59" s="422"/>
      <c r="AO59" s="422"/>
      <c r="AP59" s="443"/>
      <c r="AQ59" s="422"/>
      <c r="AR59" s="422"/>
      <c r="AS59" s="422"/>
      <c r="AT59" s="422"/>
      <c r="AU59" s="443"/>
      <c r="AV59" s="422"/>
      <c r="AW59" s="422"/>
      <c r="AX59" s="475"/>
      <c r="AY59" s="467"/>
      <c r="AZ59" s="443"/>
      <c r="BA59" s="422"/>
      <c r="BB59" s="422"/>
      <c r="BC59" s="422"/>
      <c r="BD59" s="461"/>
      <c r="BE59" s="462"/>
      <c r="BF59" s="461"/>
      <c r="BG59" s="476"/>
      <c r="BH59" s="460"/>
      <c r="BI59" s="460"/>
      <c r="BJ59" s="464"/>
      <c r="BK59" s="477"/>
      <c r="BL59" s="477"/>
      <c r="BM59" s="477"/>
      <c r="BN59" s="478"/>
      <c r="BO59" s="479"/>
      <c r="BP59" s="480"/>
      <c r="BQ59" s="481"/>
      <c r="BR59" s="418"/>
      <c r="BS59" s="481"/>
      <c r="BT59" s="479"/>
      <c r="BU59" s="480"/>
      <c r="BV59" s="482"/>
      <c r="BW59" s="418"/>
      <c r="BX59" s="418"/>
      <c r="BY59" s="483"/>
      <c r="BZ59" s="418"/>
      <c r="CA59" s="418"/>
      <c r="CB59" s="418"/>
      <c r="CC59" s="418"/>
      <c r="CD59" s="443"/>
      <c r="CE59" s="418"/>
      <c r="CF59" s="418"/>
      <c r="CG59" s="418"/>
      <c r="CH59" s="418"/>
      <c r="CI59" s="443"/>
      <c r="CJ59" s="418"/>
      <c r="CK59" s="418"/>
      <c r="CL59" s="418"/>
      <c r="CM59" s="418"/>
      <c r="CN59" s="443"/>
      <c r="CO59" s="418"/>
      <c r="CP59" s="418"/>
      <c r="CQ59" s="418"/>
      <c r="CR59" s="418"/>
      <c r="CS59" s="443"/>
      <c r="CT59" s="418"/>
      <c r="CU59" s="418"/>
      <c r="CV59" s="418"/>
      <c r="CW59" s="418"/>
      <c r="CX59" s="443"/>
      <c r="CY59" s="418"/>
      <c r="CZ59" s="418"/>
      <c r="DA59" s="418"/>
      <c r="DB59" s="418"/>
      <c r="DC59" s="443"/>
      <c r="DD59" s="418"/>
      <c r="DE59" s="418"/>
      <c r="DF59" s="418"/>
      <c r="DG59" s="418"/>
      <c r="DH59" s="443"/>
      <c r="DI59" s="418"/>
      <c r="DJ59" s="418"/>
      <c r="DK59" s="418"/>
      <c r="DL59" s="418"/>
      <c r="DM59" s="443"/>
      <c r="DN59" s="207"/>
    </row>
    <row r="60" spans="1:118" ht="16.5" hidden="1" customHeight="1" outlineLevel="1" x14ac:dyDescent="0.2">
      <c r="A60" s="435" t="s">
        <v>119</v>
      </c>
      <c r="B60" s="418"/>
      <c r="C60" s="484">
        <f t="shared" ref="C60:L60" si="75">C162</f>
        <v>217</v>
      </c>
      <c r="D60" s="484">
        <f t="shared" si="75"/>
        <v>226</v>
      </c>
      <c r="E60" s="484">
        <f t="shared" si="75"/>
        <v>129</v>
      </c>
      <c r="F60" s="484">
        <f t="shared" si="75"/>
        <v>201</v>
      </c>
      <c r="G60" s="485">
        <f t="shared" si="75"/>
        <v>0</v>
      </c>
      <c r="H60" s="484">
        <f t="shared" si="75"/>
        <v>186</v>
      </c>
      <c r="I60" s="484">
        <f t="shared" si="75"/>
        <v>199</v>
      </c>
      <c r="J60" s="484">
        <f t="shared" si="75"/>
        <v>186</v>
      </c>
      <c r="K60" s="484">
        <f t="shared" si="75"/>
        <v>232</v>
      </c>
      <c r="L60" s="485">
        <f t="shared" si="75"/>
        <v>803</v>
      </c>
      <c r="M60" s="484">
        <f>M162</f>
        <v>195</v>
      </c>
      <c r="N60" s="484">
        <f t="shared" ref="N60:AY60" si="76">N162</f>
        <v>203</v>
      </c>
      <c r="O60" s="484">
        <f t="shared" si="76"/>
        <v>201</v>
      </c>
      <c r="P60" s="484">
        <f t="shared" si="76"/>
        <v>207</v>
      </c>
      <c r="Q60" s="485">
        <f>Q162</f>
        <v>806</v>
      </c>
      <c r="R60" s="484">
        <f t="shared" si="76"/>
        <v>198</v>
      </c>
      <c r="S60" s="484">
        <f t="shared" si="76"/>
        <v>213</v>
      </c>
      <c r="T60" s="484">
        <f t="shared" si="76"/>
        <v>211</v>
      </c>
      <c r="U60" s="484">
        <f t="shared" si="76"/>
        <v>228</v>
      </c>
      <c r="V60" s="485">
        <f>V162</f>
        <v>850</v>
      </c>
      <c r="W60" s="484">
        <f t="shared" si="76"/>
        <v>213</v>
      </c>
      <c r="X60" s="484">
        <f t="shared" si="76"/>
        <v>207</v>
      </c>
      <c r="Y60" s="484">
        <f t="shared" si="76"/>
        <v>210</v>
      </c>
      <c r="Z60" s="484">
        <f t="shared" si="76"/>
        <v>263</v>
      </c>
      <c r="AA60" s="485">
        <f>AA162</f>
        <v>893</v>
      </c>
      <c r="AB60" s="484">
        <f t="shared" si="76"/>
        <v>226</v>
      </c>
      <c r="AC60" s="484">
        <f t="shared" si="76"/>
        <v>223</v>
      </c>
      <c r="AD60" s="484">
        <f t="shared" si="76"/>
        <v>227</v>
      </c>
      <c r="AE60" s="484">
        <f t="shared" si="76"/>
        <v>256</v>
      </c>
      <c r="AF60" s="485">
        <f>AF162</f>
        <v>932</v>
      </c>
      <c r="AG60" s="484">
        <f t="shared" si="76"/>
        <v>209</v>
      </c>
      <c r="AH60" s="484">
        <f t="shared" si="76"/>
        <v>224</v>
      </c>
      <c r="AI60" s="484">
        <f t="shared" si="76"/>
        <v>233</v>
      </c>
      <c r="AJ60" s="484">
        <f t="shared" si="76"/>
        <v>272</v>
      </c>
      <c r="AK60" s="485">
        <f t="shared" si="76"/>
        <v>938</v>
      </c>
      <c r="AL60" s="484">
        <f t="shared" si="76"/>
        <v>241</v>
      </c>
      <c r="AM60" s="484">
        <f t="shared" si="76"/>
        <v>274</v>
      </c>
      <c r="AN60" s="484">
        <f t="shared" si="76"/>
        <v>279</v>
      </c>
      <c r="AO60" s="484">
        <f t="shared" si="76"/>
        <v>369</v>
      </c>
      <c r="AP60" s="485">
        <f>AP162</f>
        <v>1163</v>
      </c>
      <c r="AQ60" s="484">
        <f t="shared" si="76"/>
        <v>307</v>
      </c>
      <c r="AR60" s="484">
        <f t="shared" si="76"/>
        <v>330</v>
      </c>
      <c r="AS60" s="484">
        <f t="shared" si="76"/>
        <v>306</v>
      </c>
      <c r="AT60" s="484">
        <f t="shared" si="76"/>
        <v>285</v>
      </c>
      <c r="AU60" s="485">
        <f>AU162</f>
        <v>1228</v>
      </c>
      <c r="AV60" s="484">
        <f t="shared" si="76"/>
        <v>283</v>
      </c>
      <c r="AW60" s="484">
        <f t="shared" si="76"/>
        <v>302</v>
      </c>
      <c r="AX60" s="484">
        <f t="shared" si="76"/>
        <v>320</v>
      </c>
      <c r="AY60" s="484">
        <f t="shared" si="76"/>
        <v>331</v>
      </c>
      <c r="AZ60" s="430">
        <f>AZ162</f>
        <v>1236</v>
      </c>
      <c r="BA60" s="486">
        <f t="shared" ref="BA60:CF60" si="77">BA162</f>
        <v>295</v>
      </c>
      <c r="BB60" s="486">
        <f t="shared" si="77"/>
        <v>316</v>
      </c>
      <c r="BC60" s="486">
        <f t="shared" si="77"/>
        <v>323</v>
      </c>
      <c r="BD60" s="486">
        <f t="shared" si="77"/>
        <v>509</v>
      </c>
      <c r="BE60" s="430">
        <f t="shared" si="77"/>
        <v>1443</v>
      </c>
      <c r="BF60" s="486">
        <f t="shared" si="77"/>
        <v>486</v>
      </c>
      <c r="BG60" s="486">
        <f t="shared" si="77"/>
        <v>471</v>
      </c>
      <c r="BH60" s="487">
        <f t="shared" si="77"/>
        <v>466</v>
      </c>
      <c r="BI60" s="487">
        <f t="shared" si="77"/>
        <v>531</v>
      </c>
      <c r="BJ60" s="430">
        <f>BJ162</f>
        <v>1954</v>
      </c>
      <c r="BK60" s="487">
        <f t="shared" si="77"/>
        <v>447</v>
      </c>
      <c r="BL60" s="487">
        <f t="shared" si="77"/>
        <v>508</v>
      </c>
      <c r="BM60" s="486">
        <f t="shared" si="77"/>
        <v>514</v>
      </c>
      <c r="BN60" s="486">
        <f t="shared" si="77"/>
        <v>513</v>
      </c>
      <c r="BO60" s="430">
        <f t="shared" si="77"/>
        <v>1982</v>
      </c>
      <c r="BP60" s="486">
        <f t="shared" si="77"/>
        <v>473</v>
      </c>
      <c r="BQ60" s="486">
        <f t="shared" si="77"/>
        <v>474</v>
      </c>
      <c r="BR60" s="486">
        <f t="shared" si="77"/>
        <v>497</v>
      </c>
      <c r="BS60" s="486">
        <f t="shared" si="77"/>
        <v>533</v>
      </c>
      <c r="BT60" s="430">
        <f t="shared" si="77"/>
        <v>1977</v>
      </c>
      <c r="BU60" s="486">
        <f t="shared" si="77"/>
        <v>473</v>
      </c>
      <c r="BV60" s="486">
        <f t="shared" si="77"/>
        <v>494</v>
      </c>
      <c r="BW60" s="486">
        <f t="shared" si="77"/>
        <v>510</v>
      </c>
      <c r="BX60" s="486">
        <f t="shared" si="77"/>
        <v>499</v>
      </c>
      <c r="BY60" s="430">
        <f t="shared" si="77"/>
        <v>1976</v>
      </c>
      <c r="BZ60" s="486">
        <f t="shared" si="77"/>
        <v>473</v>
      </c>
      <c r="CA60" s="486">
        <f t="shared" si="77"/>
        <v>488</v>
      </c>
      <c r="CB60" s="486">
        <f t="shared" si="77"/>
        <v>482</v>
      </c>
      <c r="CC60" s="486">
        <f t="shared" si="77"/>
        <v>527</v>
      </c>
      <c r="CD60" s="430">
        <f t="shared" si="77"/>
        <v>1970</v>
      </c>
      <c r="CE60" s="486">
        <f t="shared" si="77"/>
        <v>458</v>
      </c>
      <c r="CF60" s="486">
        <f t="shared" si="77"/>
        <v>445</v>
      </c>
      <c r="CG60" s="486">
        <f t="shared" ref="CG60:CX60" si="78">CG162</f>
        <v>420</v>
      </c>
      <c r="CH60" s="486">
        <f t="shared" si="78"/>
        <v>464</v>
      </c>
      <c r="CI60" s="430">
        <f t="shared" si="78"/>
        <v>1787</v>
      </c>
      <c r="CJ60" s="486">
        <f t="shared" si="78"/>
        <v>328</v>
      </c>
      <c r="CK60" s="486">
        <f t="shared" si="78"/>
        <v>301</v>
      </c>
      <c r="CL60" s="486">
        <f t="shared" si="78"/>
        <v>297</v>
      </c>
      <c r="CM60" s="486">
        <f t="shared" si="78"/>
        <v>334</v>
      </c>
      <c r="CN60" s="430">
        <f t="shared" si="78"/>
        <v>1260</v>
      </c>
      <c r="CO60" s="486">
        <f t="shared" si="78"/>
        <v>270</v>
      </c>
      <c r="CP60" s="486">
        <f t="shared" si="78"/>
        <v>246.3653806689924</v>
      </c>
      <c r="CQ60" s="486">
        <f t="shared" si="78"/>
        <v>282.6212373397409</v>
      </c>
      <c r="CR60" s="486">
        <f t="shared" si="78"/>
        <v>340.28601350928068</v>
      </c>
      <c r="CS60" s="430">
        <f t="shared" si="78"/>
        <v>1139.2726315180139</v>
      </c>
      <c r="CT60" s="486">
        <f t="shared" si="78"/>
        <v>287.55861459047134</v>
      </c>
      <c r="CU60" s="486">
        <f t="shared" si="78"/>
        <v>272.75838156859692</v>
      </c>
      <c r="CV60" s="486">
        <f t="shared" si="78"/>
        <v>305.62738660947838</v>
      </c>
      <c r="CW60" s="486">
        <f t="shared" si="78"/>
        <v>360.43963945418386</v>
      </c>
      <c r="CX60" s="430">
        <f t="shared" si="78"/>
        <v>1226.3840222227304</v>
      </c>
      <c r="CY60" s="486">
        <f t="shared" ref="CY60:DH60" si="79">CY162</f>
        <v>299.27696631322476</v>
      </c>
      <c r="CZ60" s="486">
        <f t="shared" si="79"/>
        <v>283.8711770626021</v>
      </c>
      <c r="DA60" s="486">
        <f t="shared" si="79"/>
        <v>318.07234560493123</v>
      </c>
      <c r="DB60" s="486">
        <f t="shared" si="79"/>
        <v>375.12278869819488</v>
      </c>
      <c r="DC60" s="430">
        <f t="shared" si="79"/>
        <v>1276.343277678953</v>
      </c>
      <c r="DD60" s="486">
        <f t="shared" si="79"/>
        <v>311.50900354080017</v>
      </c>
      <c r="DE60" s="486">
        <f t="shared" si="79"/>
        <v>295.41134151106928</v>
      </c>
      <c r="DF60" s="486">
        <f t="shared" si="79"/>
        <v>330.93891674684983</v>
      </c>
      <c r="DG60" s="486">
        <f t="shared" si="79"/>
        <v>390.2446831448176</v>
      </c>
      <c r="DH60" s="430">
        <f t="shared" si="79"/>
        <v>1328.1039449435368</v>
      </c>
      <c r="DI60" s="486">
        <f>DI162</f>
        <v>324.04514117949458</v>
      </c>
      <c r="DJ60" s="486">
        <f>DJ162</f>
        <v>307.22035397740819</v>
      </c>
      <c r="DK60" s="486">
        <f>DK162</f>
        <v>344.08860612437906</v>
      </c>
      <c r="DL60" s="486">
        <f>DL162</f>
        <v>405.67909246165954</v>
      </c>
      <c r="DM60" s="430">
        <f>DM162</f>
        <v>1381.0331937429414</v>
      </c>
      <c r="DN60" s="207"/>
    </row>
    <row r="61" spans="1:118" ht="16.5" hidden="1" customHeight="1" outlineLevel="1" x14ac:dyDescent="0.2">
      <c r="A61" s="435" t="s">
        <v>120</v>
      </c>
      <c r="B61" s="418"/>
      <c r="C61" s="429">
        <f t="shared" ref="C61:AH61" si="80">C55+C60</f>
        <v>1137</v>
      </c>
      <c r="D61" s="429">
        <f t="shared" si="80"/>
        <v>1702</v>
      </c>
      <c r="E61" s="429">
        <f t="shared" si="80"/>
        <v>1520</v>
      </c>
      <c r="F61" s="429">
        <f t="shared" si="80"/>
        <v>1518</v>
      </c>
      <c r="G61" s="430">
        <f t="shared" si="80"/>
        <v>5104</v>
      </c>
      <c r="H61" s="429">
        <f t="shared" si="80"/>
        <v>1466</v>
      </c>
      <c r="I61" s="429">
        <f t="shared" si="80"/>
        <v>1712</v>
      </c>
      <c r="J61" s="429">
        <f t="shared" si="80"/>
        <v>1497</v>
      </c>
      <c r="K61" s="429">
        <f t="shared" si="80"/>
        <v>1480</v>
      </c>
      <c r="L61" s="430">
        <f t="shared" si="80"/>
        <v>6155</v>
      </c>
      <c r="M61" s="429">
        <f t="shared" si="80"/>
        <v>1353</v>
      </c>
      <c r="N61" s="429">
        <f t="shared" si="80"/>
        <v>1763</v>
      </c>
      <c r="O61" s="429">
        <f t="shared" si="80"/>
        <v>1651</v>
      </c>
      <c r="P61" s="429">
        <f t="shared" si="80"/>
        <v>1497</v>
      </c>
      <c r="Q61" s="430">
        <f t="shared" si="80"/>
        <v>6264</v>
      </c>
      <c r="R61" s="429">
        <f t="shared" si="80"/>
        <v>1366</v>
      </c>
      <c r="S61" s="429">
        <f t="shared" si="80"/>
        <v>1806</v>
      </c>
      <c r="T61" s="429">
        <f t="shared" si="80"/>
        <v>1684</v>
      </c>
      <c r="U61" s="429">
        <f t="shared" si="80"/>
        <v>1525</v>
      </c>
      <c r="V61" s="430">
        <f t="shared" si="80"/>
        <v>6381</v>
      </c>
      <c r="W61" s="429">
        <f t="shared" si="80"/>
        <v>1664</v>
      </c>
      <c r="X61" s="429">
        <f t="shared" si="80"/>
        <v>2089</v>
      </c>
      <c r="Y61" s="429">
        <f t="shared" si="80"/>
        <v>1699</v>
      </c>
      <c r="Z61" s="429">
        <f t="shared" si="80"/>
        <v>1600</v>
      </c>
      <c r="AA61" s="430">
        <f t="shared" si="80"/>
        <v>7052</v>
      </c>
      <c r="AB61" s="429">
        <f t="shared" si="80"/>
        <v>1635</v>
      </c>
      <c r="AC61" s="429">
        <f t="shared" si="80"/>
        <v>2153</v>
      </c>
      <c r="AD61" s="429">
        <f t="shared" si="80"/>
        <v>1808</v>
      </c>
      <c r="AE61" s="429">
        <f t="shared" si="80"/>
        <v>1513</v>
      </c>
      <c r="AF61" s="430">
        <f t="shared" si="80"/>
        <v>7109</v>
      </c>
      <c r="AG61" s="429">
        <f t="shared" si="80"/>
        <v>1649</v>
      </c>
      <c r="AH61" s="429">
        <f t="shared" si="80"/>
        <v>2294</v>
      </c>
      <c r="AI61" s="429">
        <f t="shared" ref="AI61:BN61" si="81">AI55+AI60</f>
        <v>1934</v>
      </c>
      <c r="AJ61" s="429">
        <f t="shared" si="81"/>
        <v>1658</v>
      </c>
      <c r="AK61" s="430">
        <f t="shared" si="81"/>
        <v>7535</v>
      </c>
      <c r="AL61" s="429">
        <f t="shared" si="81"/>
        <v>1878</v>
      </c>
      <c r="AM61" s="429">
        <f t="shared" si="81"/>
        <v>2592</v>
      </c>
      <c r="AN61" s="429">
        <f t="shared" si="81"/>
        <v>2192</v>
      </c>
      <c r="AO61" s="429">
        <f t="shared" si="81"/>
        <v>2020</v>
      </c>
      <c r="AP61" s="430">
        <f t="shared" si="81"/>
        <v>8682</v>
      </c>
      <c r="AQ61" s="429">
        <f t="shared" si="81"/>
        <v>2259</v>
      </c>
      <c r="AR61" s="429">
        <f t="shared" si="81"/>
        <v>3119</v>
      </c>
      <c r="AS61" s="429">
        <f t="shared" si="81"/>
        <v>2540</v>
      </c>
      <c r="AT61" s="429">
        <f t="shared" si="81"/>
        <v>2099</v>
      </c>
      <c r="AU61" s="430">
        <f t="shared" si="81"/>
        <v>10017</v>
      </c>
      <c r="AV61" s="429">
        <f t="shared" si="81"/>
        <v>2238</v>
      </c>
      <c r="AW61" s="429">
        <f t="shared" si="81"/>
        <v>2812</v>
      </c>
      <c r="AX61" s="429">
        <f t="shared" si="81"/>
        <v>2518</v>
      </c>
      <c r="AY61" s="429">
        <f t="shared" si="81"/>
        <v>2212</v>
      </c>
      <c r="AZ61" s="430">
        <f t="shared" si="81"/>
        <v>9780</v>
      </c>
      <c r="BA61" s="429">
        <f t="shared" si="81"/>
        <v>2574</v>
      </c>
      <c r="BB61" s="429">
        <f t="shared" si="81"/>
        <v>3157</v>
      </c>
      <c r="BC61" s="429">
        <f t="shared" si="81"/>
        <v>2767</v>
      </c>
      <c r="BD61" s="434">
        <f t="shared" si="81"/>
        <v>2524</v>
      </c>
      <c r="BE61" s="430">
        <f t="shared" si="81"/>
        <v>11022</v>
      </c>
      <c r="BF61" s="434">
        <f t="shared" si="81"/>
        <v>2989</v>
      </c>
      <c r="BG61" s="429">
        <f t="shared" si="81"/>
        <v>3822</v>
      </c>
      <c r="BH61" s="429">
        <f t="shared" si="81"/>
        <v>3428</v>
      </c>
      <c r="BI61" s="429">
        <f t="shared" si="81"/>
        <v>2765</v>
      </c>
      <c r="BJ61" s="430">
        <f t="shared" si="81"/>
        <v>13004</v>
      </c>
      <c r="BK61" s="429">
        <f>BK55+BK60</f>
        <v>3011</v>
      </c>
      <c r="BL61" s="429">
        <f t="shared" si="81"/>
        <v>3921</v>
      </c>
      <c r="BM61" s="429">
        <f t="shared" si="81"/>
        <v>3304</v>
      </c>
      <c r="BN61" s="434">
        <f t="shared" si="81"/>
        <v>2996</v>
      </c>
      <c r="BO61" s="430">
        <f t="shared" ref="BO61:CT61" si="82">BO55+BO60</f>
        <v>13232</v>
      </c>
      <c r="BP61" s="429">
        <f t="shared" si="82"/>
        <v>3084</v>
      </c>
      <c r="BQ61" s="429">
        <f t="shared" si="82"/>
        <v>3892</v>
      </c>
      <c r="BR61" s="429">
        <f t="shared" si="82"/>
        <v>3345</v>
      </c>
      <c r="BS61" s="434">
        <f t="shared" si="82"/>
        <v>2916</v>
      </c>
      <c r="BT61" s="430">
        <f t="shared" si="82"/>
        <v>13237</v>
      </c>
      <c r="BU61" s="429">
        <f t="shared" si="82"/>
        <v>2932</v>
      </c>
      <c r="BV61" s="429">
        <f t="shared" si="82"/>
        <v>3820</v>
      </c>
      <c r="BW61" s="429">
        <f t="shared" si="82"/>
        <v>3350</v>
      </c>
      <c r="BX61" s="434">
        <f t="shared" si="82"/>
        <v>2828</v>
      </c>
      <c r="BY61" s="430">
        <f t="shared" si="82"/>
        <v>12930</v>
      </c>
      <c r="BZ61" s="429">
        <f t="shared" si="82"/>
        <v>2981</v>
      </c>
      <c r="CA61" s="429">
        <f t="shared" si="82"/>
        <v>3642</v>
      </c>
      <c r="CB61" s="429">
        <f t="shared" si="82"/>
        <v>3187</v>
      </c>
      <c r="CC61" s="429">
        <f t="shared" si="82"/>
        <v>2533</v>
      </c>
      <c r="CD61" s="430">
        <f t="shared" si="82"/>
        <v>12343</v>
      </c>
      <c r="CE61" s="429">
        <f t="shared" si="82"/>
        <v>2905</v>
      </c>
      <c r="CF61" s="429">
        <f t="shared" si="82"/>
        <v>3495</v>
      </c>
      <c r="CG61" s="429">
        <f t="shared" si="82"/>
        <v>2902</v>
      </c>
      <c r="CH61" s="434">
        <f t="shared" si="82"/>
        <v>2443</v>
      </c>
      <c r="CI61" s="430">
        <f t="shared" si="82"/>
        <v>11745</v>
      </c>
      <c r="CJ61" s="429">
        <f t="shared" si="82"/>
        <v>2580</v>
      </c>
      <c r="CK61" s="429">
        <f t="shared" si="82"/>
        <v>3200</v>
      </c>
      <c r="CL61" s="429">
        <f t="shared" si="82"/>
        <v>2740</v>
      </c>
      <c r="CM61" s="434">
        <f t="shared" si="82"/>
        <v>2280</v>
      </c>
      <c r="CN61" s="430">
        <f t="shared" si="82"/>
        <v>10800</v>
      </c>
      <c r="CO61" s="429">
        <f t="shared" si="82"/>
        <v>2607</v>
      </c>
      <c r="CP61" s="429">
        <f t="shared" si="82"/>
        <v>3132.9797553753965</v>
      </c>
      <c r="CQ61" s="429">
        <f t="shared" si="82"/>
        <v>2925.4811739940214</v>
      </c>
      <c r="CR61" s="434">
        <f t="shared" si="82"/>
        <v>2510.5241184446313</v>
      </c>
      <c r="CS61" s="430">
        <f t="shared" si="82"/>
        <v>11175.985047814049</v>
      </c>
      <c r="CT61" s="429">
        <f t="shared" si="82"/>
        <v>2787.9660365572613</v>
      </c>
      <c r="CU61" s="429">
        <f t="shared" ref="CU61:DC61" si="83">CU55+CU60</f>
        <v>3363.960762213871</v>
      </c>
      <c r="CV61" s="429">
        <f t="shared" si="83"/>
        <v>3142.2150433621277</v>
      </c>
      <c r="CW61" s="434">
        <f t="shared" si="83"/>
        <v>2699.5470473413525</v>
      </c>
      <c r="CX61" s="430">
        <f t="shared" si="83"/>
        <v>11993.688889474612</v>
      </c>
      <c r="CY61" s="429">
        <f t="shared" si="83"/>
        <v>2985.2177990697655</v>
      </c>
      <c r="CZ61" s="429">
        <f t="shared" si="83"/>
        <v>3590.1688051248921</v>
      </c>
      <c r="DA61" s="429">
        <f t="shared" si="83"/>
        <v>3358.4933857139235</v>
      </c>
      <c r="DB61" s="434">
        <f t="shared" si="83"/>
        <v>2892.1936513832579</v>
      </c>
      <c r="DC61" s="430">
        <f t="shared" si="83"/>
        <v>12826.073641291838</v>
      </c>
      <c r="DD61" s="429">
        <f t="shared" ref="DD61:DM61" si="84">DD55+DD60</f>
        <v>3181.7078305773266</v>
      </c>
      <c r="DE61" s="429">
        <f t="shared" si="84"/>
        <v>3814.9491696657456</v>
      </c>
      <c r="DF61" s="429">
        <f t="shared" si="84"/>
        <v>3573.5765145670362</v>
      </c>
      <c r="DG61" s="434">
        <f t="shared" si="84"/>
        <v>3084.7748304147735</v>
      </c>
      <c r="DH61" s="430">
        <f t="shared" si="84"/>
        <v>13655.008345224882</v>
      </c>
      <c r="DI61" s="429">
        <f>DI55+DI60</f>
        <v>3374.5070745967369</v>
      </c>
      <c r="DJ61" s="429">
        <f>DJ55+DJ60</f>
        <v>4036.4232721099133</v>
      </c>
      <c r="DK61" s="429">
        <f>DK55+DK60</f>
        <v>3784.9202720976127</v>
      </c>
      <c r="DL61" s="434">
        <f>DL55+DL60</f>
        <v>3273.3326605067455</v>
      </c>
      <c r="DM61" s="430">
        <f t="shared" si="84"/>
        <v>14469.18327931101</v>
      </c>
      <c r="DN61" s="207"/>
    </row>
    <row r="62" spans="1:118" ht="16.5" hidden="1" customHeight="1" outlineLevel="1" x14ac:dyDescent="0.2">
      <c r="A62" s="488" t="s">
        <v>121</v>
      </c>
      <c r="B62" s="418"/>
      <c r="C62" s="423">
        <f t="shared" ref="C62:AH62" si="85">C61/C5</f>
        <v>0.26715225563909772</v>
      </c>
      <c r="D62" s="423">
        <f t="shared" si="85"/>
        <v>0.31018771642063059</v>
      </c>
      <c r="E62" s="423">
        <f t="shared" si="85"/>
        <v>0.28075360177318065</v>
      </c>
      <c r="F62" s="423">
        <f t="shared" si="85"/>
        <v>0.32079459002535926</v>
      </c>
      <c r="G62" s="424">
        <f t="shared" si="85"/>
        <v>0.25662426466891247</v>
      </c>
      <c r="H62" s="423">
        <f t="shared" si="85"/>
        <v>0.37029552917403386</v>
      </c>
      <c r="I62" s="423">
        <f t="shared" si="85"/>
        <v>0.36793466580700623</v>
      </c>
      <c r="J62" s="423">
        <f t="shared" si="85"/>
        <v>0.31884984025559104</v>
      </c>
      <c r="K62" s="423">
        <f t="shared" si="85"/>
        <v>0.34922133081642281</v>
      </c>
      <c r="L62" s="424">
        <f t="shared" si="85"/>
        <v>0.35081219720718154</v>
      </c>
      <c r="M62" s="423">
        <f t="shared" si="85"/>
        <v>0.33169894582005394</v>
      </c>
      <c r="N62" s="423">
        <f t="shared" si="85"/>
        <v>0.32842771982116242</v>
      </c>
      <c r="O62" s="423">
        <f t="shared" si="85"/>
        <v>0.31022172115745961</v>
      </c>
      <c r="P62" s="423">
        <f t="shared" si="85"/>
        <v>0.31220020855057351</v>
      </c>
      <c r="Q62" s="424">
        <f t="shared" si="85"/>
        <v>0.32017992230627684</v>
      </c>
      <c r="R62" s="423">
        <f t="shared" si="85"/>
        <v>0.30696629213483145</v>
      </c>
      <c r="S62" s="423">
        <f t="shared" si="85"/>
        <v>0.31970260223048325</v>
      </c>
      <c r="T62" s="423">
        <f t="shared" si="85"/>
        <v>0.29836995038979447</v>
      </c>
      <c r="U62" s="423">
        <f t="shared" si="85"/>
        <v>0.29820101681658195</v>
      </c>
      <c r="V62" s="424">
        <f t="shared" si="85"/>
        <v>0.30594045164692907</v>
      </c>
      <c r="W62" s="423">
        <f t="shared" si="85"/>
        <v>0.33094669848846459</v>
      </c>
      <c r="X62" s="423">
        <f t="shared" si="85"/>
        <v>0.35322962461954682</v>
      </c>
      <c r="Y62" s="423">
        <f t="shared" si="85"/>
        <v>0.30360972122944963</v>
      </c>
      <c r="Z62" s="423">
        <f t="shared" si="85"/>
        <v>0.30745580322828592</v>
      </c>
      <c r="AA62" s="424">
        <f t="shared" si="85"/>
        <v>0.3243491859074602</v>
      </c>
      <c r="AB62" s="423">
        <f t="shared" si="85"/>
        <v>0.31406069919323859</v>
      </c>
      <c r="AC62" s="423">
        <f t="shared" si="85"/>
        <v>0.34120443740095086</v>
      </c>
      <c r="AD62" s="423">
        <f t="shared" si="85"/>
        <v>0.29948649991717741</v>
      </c>
      <c r="AE62" s="423">
        <f t="shared" si="85"/>
        <v>0.27256350207169877</v>
      </c>
      <c r="AF62" s="424">
        <f t="shared" si="85"/>
        <v>0.30769563711911357</v>
      </c>
      <c r="AG62" s="423">
        <f t="shared" si="85"/>
        <v>0.31553769613471105</v>
      </c>
      <c r="AH62" s="423">
        <f t="shared" si="85"/>
        <v>0.35423100679431746</v>
      </c>
      <c r="AI62" s="423">
        <f t="shared" ref="AI62:BN62" si="86">AI61/AI5</f>
        <v>0.29965912612333434</v>
      </c>
      <c r="AJ62" s="423">
        <f t="shared" si="86"/>
        <v>0.27950101146325018</v>
      </c>
      <c r="AK62" s="424">
        <f t="shared" si="86"/>
        <v>0.31281135835270674</v>
      </c>
      <c r="AL62" s="423">
        <f t="shared" si="86"/>
        <v>0.30771751597574964</v>
      </c>
      <c r="AM62" s="423">
        <f t="shared" si="86"/>
        <v>0.33518686150265098</v>
      </c>
      <c r="AN62" s="423">
        <f t="shared" si="86"/>
        <v>0.28504551365409625</v>
      </c>
      <c r="AO62" s="423">
        <f t="shared" si="86"/>
        <v>0.27554221797844769</v>
      </c>
      <c r="AP62" s="424">
        <f t="shared" si="86"/>
        <v>0.30086287555878988</v>
      </c>
      <c r="AQ62" s="423">
        <f t="shared" si="86"/>
        <v>0.30613904323079005</v>
      </c>
      <c r="AR62" s="423">
        <f t="shared" si="86"/>
        <v>0.34479327879725846</v>
      </c>
      <c r="AS62" s="423">
        <f t="shared" si="86"/>
        <v>0.30263314666984392</v>
      </c>
      <c r="AT62" s="423">
        <f t="shared" si="86"/>
        <v>0.29455515015436429</v>
      </c>
      <c r="AU62" s="424">
        <f t="shared" si="86"/>
        <v>0.31358001502629601</v>
      </c>
      <c r="AV62" s="423">
        <f t="shared" si="86"/>
        <v>0.31217743060398939</v>
      </c>
      <c r="AW62" s="423">
        <f t="shared" si="86"/>
        <v>0.34014757469456874</v>
      </c>
      <c r="AX62" s="423">
        <f t="shared" si="86"/>
        <v>0.31302834410740926</v>
      </c>
      <c r="AY62" s="423">
        <f t="shared" si="86"/>
        <v>0.29454061251664448</v>
      </c>
      <c r="AZ62" s="424">
        <f t="shared" si="86"/>
        <v>0.31558567279767669</v>
      </c>
      <c r="BA62" s="423">
        <f t="shared" si="86"/>
        <v>0.34205980066445185</v>
      </c>
      <c r="BB62" s="423">
        <f t="shared" si="86"/>
        <v>0.3639612635462301</v>
      </c>
      <c r="BC62" s="423">
        <f t="shared" si="86"/>
        <v>0.32838832186090672</v>
      </c>
      <c r="BD62" s="436">
        <f t="shared" si="86"/>
        <v>0.24042674795199084</v>
      </c>
      <c r="BE62" s="424">
        <f t="shared" si="86"/>
        <v>0.31381146257438147</v>
      </c>
      <c r="BF62" s="436">
        <f t="shared" si="86"/>
        <v>0.28345187292555712</v>
      </c>
      <c r="BG62" s="423">
        <f t="shared" si="86"/>
        <v>0.30025925053028518</v>
      </c>
      <c r="BH62" s="423">
        <f t="shared" si="86"/>
        <v>0.2799967328269215</v>
      </c>
      <c r="BI62" s="423">
        <f t="shared" si="86"/>
        <v>0.25052097490260034</v>
      </c>
      <c r="BJ62" s="424">
        <f t="shared" si="86"/>
        <v>0.27933152897710184</v>
      </c>
      <c r="BK62" s="423">
        <f t="shared" si="86"/>
        <v>0.27031151808959514</v>
      </c>
      <c r="BL62" s="423">
        <f t="shared" si="86"/>
        <v>0.29967899724854785</v>
      </c>
      <c r="BM62" s="423">
        <f t="shared" si="86"/>
        <v>0.26766040181464679</v>
      </c>
      <c r="BN62" s="436">
        <f t="shared" si="86"/>
        <v>0.26131705189707805</v>
      </c>
      <c r="BO62" s="424">
        <f t="shared" ref="BO62:CT62" si="87">BO61/BO5</f>
        <v>0.27548301132578279</v>
      </c>
      <c r="BP62" s="423">
        <f t="shared" si="87"/>
        <v>0.27937313162424132</v>
      </c>
      <c r="BQ62" s="423">
        <f t="shared" si="87"/>
        <v>0.30530279259491683</v>
      </c>
      <c r="BR62" s="423">
        <f t="shared" si="87"/>
        <v>0.2761040033016921</v>
      </c>
      <c r="BS62" s="436">
        <f t="shared" si="87"/>
        <v>0.26429801504577177</v>
      </c>
      <c r="BT62" s="424">
        <f t="shared" si="87"/>
        <v>0.28202833706189412</v>
      </c>
      <c r="BU62" s="423">
        <f t="shared" si="87"/>
        <v>0.27702191987906272</v>
      </c>
      <c r="BV62" s="423">
        <f t="shared" si="87"/>
        <v>0.30447951538338913</v>
      </c>
      <c r="BW62" s="423">
        <f t="shared" si="87"/>
        <v>0.27960938152074116</v>
      </c>
      <c r="BX62" s="436">
        <f t="shared" si="87"/>
        <v>0.25942574075772867</v>
      </c>
      <c r="BY62" s="424">
        <f t="shared" si="87"/>
        <v>0.28101364861340522</v>
      </c>
      <c r="BZ62" s="423">
        <f t="shared" si="87"/>
        <v>0.27852004110996914</v>
      </c>
      <c r="CA62" s="423">
        <f t="shared" si="87"/>
        <v>0.29977775948637747</v>
      </c>
      <c r="CB62" s="423">
        <f t="shared" si="87"/>
        <v>0.27956140350877196</v>
      </c>
      <c r="CC62" s="423">
        <f t="shared" si="87"/>
        <v>0.2531734132933533</v>
      </c>
      <c r="CD62" s="424">
        <f t="shared" si="87"/>
        <v>0.27889373432451364</v>
      </c>
      <c r="CE62" s="423">
        <f t="shared" si="87"/>
        <v>0.28124697453770936</v>
      </c>
      <c r="CF62" s="423">
        <f t="shared" si="87"/>
        <v>0.30328011107254427</v>
      </c>
      <c r="CG62" s="423">
        <f t="shared" si="87"/>
        <v>0.2731037078863166</v>
      </c>
      <c r="CH62" s="436">
        <f t="shared" si="87"/>
        <v>0.26058666666666669</v>
      </c>
      <c r="CI62" s="424">
        <f t="shared" si="87"/>
        <v>0.28061833994361352</v>
      </c>
      <c r="CJ62" s="423">
        <f t="shared" si="87"/>
        <v>0.282956788769467</v>
      </c>
      <c r="CK62" s="423">
        <f t="shared" si="87"/>
        <v>0.32982890125747266</v>
      </c>
      <c r="CL62" s="423">
        <f t="shared" si="87"/>
        <v>0.3018285966071822</v>
      </c>
      <c r="CM62" s="436">
        <f t="shared" si="87"/>
        <v>0.30522088353413657</v>
      </c>
      <c r="CN62" s="424">
        <f t="shared" si="87"/>
        <v>0.30536077810450124</v>
      </c>
      <c r="CO62" s="423">
        <f t="shared" si="87"/>
        <v>0.34194648478488981</v>
      </c>
      <c r="CP62" s="423">
        <f t="shared" si="87"/>
        <v>0.35862585333326946</v>
      </c>
      <c r="CQ62" s="423">
        <f t="shared" si="87"/>
        <v>0.35249765506796615</v>
      </c>
      <c r="CR62" s="436">
        <f t="shared" si="87"/>
        <v>0.34277847326728944</v>
      </c>
      <c r="CS62" s="424">
        <f t="shared" si="87"/>
        <v>0.34943076852577443</v>
      </c>
      <c r="CT62" s="423">
        <f t="shared" si="87"/>
        <v>0.35262650918495625</v>
      </c>
      <c r="CU62" s="423">
        <f t="shared" ref="CU62:DC62" si="88">CU61/CU5</f>
        <v>0.37011428992306772</v>
      </c>
      <c r="CV62" s="423">
        <f t="shared" si="88"/>
        <v>0.36355275619409999</v>
      </c>
      <c r="CW62" s="436">
        <f t="shared" si="88"/>
        <v>0.35318980103174102</v>
      </c>
      <c r="CX62" s="424">
        <f t="shared" si="88"/>
        <v>0.36036914521842928</v>
      </c>
      <c r="CY62" s="423">
        <f t="shared" si="88"/>
        <v>0.36286273813138797</v>
      </c>
      <c r="CZ62" s="423">
        <f t="shared" si="88"/>
        <v>0.37974327768159921</v>
      </c>
      <c r="DA62" s="423">
        <f t="shared" si="88"/>
        <v>0.37321061150397278</v>
      </c>
      <c r="DB62" s="436">
        <f t="shared" si="88"/>
        <v>0.3627078227110116</v>
      </c>
      <c r="DC62" s="424">
        <f t="shared" si="88"/>
        <v>0.37011954505156153</v>
      </c>
      <c r="DD62" s="423">
        <f t="shared" ref="DD62:DM62" si="89">DD61/DD5</f>
        <v>0.37337485428309392</v>
      </c>
      <c r="DE62" s="423">
        <f t="shared" si="89"/>
        <v>0.38959689522017504</v>
      </c>
      <c r="DF62" s="423">
        <f t="shared" si="89"/>
        <v>0.38300850509823792</v>
      </c>
      <c r="DG62" s="436">
        <f t="shared" si="89"/>
        <v>0.37232361841540829</v>
      </c>
      <c r="DH62" s="424">
        <f t="shared" si="89"/>
        <v>0.38005530302857732</v>
      </c>
      <c r="DI62" s="423">
        <f>DI61/DI5</f>
        <v>0.38297209405628974</v>
      </c>
      <c r="DJ62" s="423">
        <f>DJ61/DJ5</f>
        <v>0.39863286385101865</v>
      </c>
      <c r="DK62" s="423">
        <f>DK61/DK5</f>
        <v>0.39196247792068156</v>
      </c>
      <c r="DL62" s="436">
        <f>DL61/DL5</f>
        <v>0.3811077527372923</v>
      </c>
      <c r="DM62" s="424">
        <f t="shared" si="89"/>
        <v>0.38914106906166518</v>
      </c>
      <c r="DN62" s="207"/>
    </row>
    <row r="63" spans="1:118" ht="3.75" customHeight="1" collapsed="1" x14ac:dyDescent="0.2">
      <c r="A63" s="418"/>
      <c r="B63" s="418"/>
      <c r="C63" s="422"/>
      <c r="D63" s="422"/>
      <c r="E63" s="422"/>
      <c r="F63" s="422"/>
      <c r="G63" s="443"/>
      <c r="H63" s="422"/>
      <c r="I63" s="422"/>
      <c r="J63" s="422"/>
      <c r="K63" s="422"/>
      <c r="L63" s="443"/>
      <c r="M63" s="422"/>
      <c r="N63" s="422"/>
      <c r="O63" s="422"/>
      <c r="P63" s="422"/>
      <c r="Q63" s="443"/>
      <c r="R63" s="422"/>
      <c r="S63" s="422"/>
      <c r="T63" s="422"/>
      <c r="U63" s="422"/>
      <c r="V63" s="443"/>
      <c r="W63" s="422"/>
      <c r="X63" s="422"/>
      <c r="Y63" s="422"/>
      <c r="Z63" s="422"/>
      <c r="AA63" s="443"/>
      <c r="AB63" s="422"/>
      <c r="AC63" s="422"/>
      <c r="AD63" s="422"/>
      <c r="AE63" s="422"/>
      <c r="AF63" s="443"/>
      <c r="AG63" s="422"/>
      <c r="AH63" s="422"/>
      <c r="AI63" s="422"/>
      <c r="AJ63" s="422"/>
      <c r="AK63" s="443"/>
      <c r="AL63" s="422"/>
      <c r="AM63" s="422"/>
      <c r="AN63" s="422"/>
      <c r="AO63" s="422"/>
      <c r="AP63" s="443"/>
      <c r="AQ63" s="422"/>
      <c r="AR63" s="422"/>
      <c r="AS63" s="422"/>
      <c r="AT63" s="422"/>
      <c r="AU63" s="443"/>
      <c r="AV63" s="422"/>
      <c r="AW63" s="422"/>
      <c r="AX63" s="422"/>
      <c r="AY63" s="422"/>
      <c r="AZ63" s="443"/>
      <c r="BA63" s="422"/>
      <c r="BB63" s="422"/>
      <c r="BC63" s="422"/>
      <c r="BD63" s="480"/>
      <c r="BE63" s="443"/>
      <c r="BF63" s="480"/>
      <c r="BG63" s="418"/>
      <c r="BH63" s="422"/>
      <c r="BI63" s="422"/>
      <c r="BJ63" s="443"/>
      <c r="BK63" s="418"/>
      <c r="BL63" s="422"/>
      <c r="BM63" s="418"/>
      <c r="BN63" s="418"/>
      <c r="BO63" s="443"/>
      <c r="BP63" s="418"/>
      <c r="BQ63" s="418"/>
      <c r="BR63" s="418"/>
      <c r="BS63" s="418"/>
      <c r="BT63" s="443"/>
      <c r="BU63" s="418"/>
      <c r="BV63" s="418"/>
      <c r="BW63" s="418"/>
      <c r="BX63" s="418"/>
      <c r="BY63" s="443"/>
      <c r="BZ63" s="418"/>
      <c r="CA63" s="418"/>
      <c r="CB63" s="418"/>
      <c r="CC63" s="418"/>
      <c r="CD63" s="443"/>
      <c r="CE63" s="418"/>
      <c r="CF63" s="418"/>
      <c r="CG63" s="418"/>
      <c r="CH63" s="418"/>
      <c r="CI63" s="443"/>
      <c r="CJ63" s="418"/>
      <c r="CK63" s="418"/>
      <c r="CL63" s="418"/>
      <c r="CM63" s="418"/>
      <c r="CN63" s="443"/>
      <c r="CO63" s="418"/>
      <c r="CP63" s="418"/>
      <c r="CQ63" s="418"/>
      <c r="CR63" s="418"/>
      <c r="CS63" s="443"/>
      <c r="CT63" s="418"/>
      <c r="CU63" s="418"/>
      <c r="CV63" s="418"/>
      <c r="CW63" s="418"/>
      <c r="CX63" s="443"/>
      <c r="CY63" s="418"/>
      <c r="CZ63" s="418"/>
      <c r="DA63" s="418"/>
      <c r="DB63" s="418"/>
      <c r="DC63" s="443"/>
      <c r="DD63" s="418"/>
      <c r="DE63" s="418"/>
      <c r="DF63" s="418"/>
      <c r="DG63" s="418"/>
      <c r="DH63" s="443"/>
      <c r="DI63" s="418"/>
      <c r="DJ63" s="418"/>
      <c r="DK63" s="418"/>
      <c r="DL63" s="418"/>
      <c r="DM63" s="443"/>
      <c r="DN63" s="207"/>
    </row>
    <row r="64" spans="1:118" ht="16.5" customHeight="1" x14ac:dyDescent="0.2">
      <c r="A64" s="418" t="s">
        <v>7</v>
      </c>
      <c r="B64" s="418"/>
      <c r="C64" s="429">
        <v>67</v>
      </c>
      <c r="D64" s="429">
        <v>98</v>
      </c>
      <c r="E64" s="429">
        <v>92</v>
      </c>
      <c r="F64" s="429">
        <v>88</v>
      </c>
      <c r="G64" s="430">
        <f>SUM(C64:F64)</f>
        <v>345</v>
      </c>
      <c r="H64" s="429">
        <v>81</v>
      </c>
      <c r="I64" s="429">
        <v>78</v>
      </c>
      <c r="J64" s="429">
        <v>68</v>
      </c>
      <c r="K64" s="429">
        <v>98</v>
      </c>
      <c r="L64" s="430">
        <f>SUM(H64:K64)</f>
        <v>325</v>
      </c>
      <c r="M64" s="429">
        <v>58</v>
      </c>
      <c r="N64" s="429">
        <v>52</v>
      </c>
      <c r="O64" s="429">
        <v>46</v>
      </c>
      <c r="P64" s="429">
        <v>53</v>
      </c>
      <c r="Q64" s="430">
        <f>SUM(M64:P64)</f>
        <v>209</v>
      </c>
      <c r="R64" s="429">
        <v>56</v>
      </c>
      <c r="S64" s="429">
        <v>45</v>
      </c>
      <c r="T64" s="429">
        <v>37</v>
      </c>
      <c r="U64" s="429">
        <v>38</v>
      </c>
      <c r="V64" s="430">
        <f>SUM(R64:U64)</f>
        <v>176</v>
      </c>
      <c r="W64" s="429">
        <v>35</v>
      </c>
      <c r="X64" s="429">
        <v>32</v>
      </c>
      <c r="Y64" s="429">
        <v>39</v>
      </c>
      <c r="Z64" s="429">
        <v>51</v>
      </c>
      <c r="AA64" s="430">
        <f>SUM(W64:Z64)</f>
        <v>157</v>
      </c>
      <c r="AB64" s="429">
        <v>60</v>
      </c>
      <c r="AC64" s="429">
        <v>54</v>
      </c>
      <c r="AD64" s="429">
        <v>49</v>
      </c>
      <c r="AE64" s="429">
        <v>72</v>
      </c>
      <c r="AF64" s="430">
        <f>SUM(AB64:AE64)</f>
        <v>235</v>
      </c>
      <c r="AG64" s="429">
        <v>70</v>
      </c>
      <c r="AH64" s="429">
        <v>47</v>
      </c>
      <c r="AI64" s="429">
        <v>35</v>
      </c>
      <c r="AJ64" s="429">
        <v>41</v>
      </c>
      <c r="AK64" s="430">
        <f>SUM(AG64:AJ64)</f>
        <v>193</v>
      </c>
      <c r="AL64" s="429">
        <v>37</v>
      </c>
      <c r="AM64" s="429">
        <v>54</v>
      </c>
      <c r="AN64" s="429">
        <v>59</v>
      </c>
      <c r="AO64" s="429">
        <v>86</v>
      </c>
      <c r="AP64" s="430">
        <f>SUM(AL64:AO64)</f>
        <v>236</v>
      </c>
      <c r="AQ64" s="429">
        <v>65</v>
      </c>
      <c r="AR64" s="429">
        <v>69</v>
      </c>
      <c r="AS64" s="429">
        <v>105</v>
      </c>
      <c r="AT64" s="429">
        <v>94</v>
      </c>
      <c r="AU64" s="430">
        <f>SUM(AQ64:AT64)</f>
        <v>333</v>
      </c>
      <c r="AV64" s="429">
        <v>60</v>
      </c>
      <c r="AW64" s="429">
        <v>57</v>
      </c>
      <c r="AX64" s="429">
        <v>67</v>
      </c>
      <c r="AY64" s="429">
        <v>65</v>
      </c>
      <c r="AZ64" s="430">
        <f>SUM(AV64:AY64)</f>
        <v>249</v>
      </c>
      <c r="BA64" s="429">
        <v>60</v>
      </c>
      <c r="BB64" s="429">
        <v>67</v>
      </c>
      <c r="BC64" s="429">
        <v>93</v>
      </c>
      <c r="BD64" s="429">
        <v>97</v>
      </c>
      <c r="BE64" s="430">
        <f>SUM(BA64:BD64)</f>
        <v>317</v>
      </c>
      <c r="BF64" s="429">
        <v>94</v>
      </c>
      <c r="BG64" s="429">
        <v>121</v>
      </c>
      <c r="BH64" s="429">
        <v>141</v>
      </c>
      <c r="BI64" s="429">
        <v>127</v>
      </c>
      <c r="BJ64" s="430">
        <f>SUM(BF64:BI64)</f>
        <v>483</v>
      </c>
      <c r="BK64" s="429">
        <v>115</v>
      </c>
      <c r="BL64" s="429">
        <v>112</v>
      </c>
      <c r="BM64" s="429">
        <v>118</v>
      </c>
      <c r="BN64" s="429">
        <v>126</v>
      </c>
      <c r="BO64" s="430">
        <f>SUM(BK64:BN64)</f>
        <v>471</v>
      </c>
      <c r="BP64" s="429">
        <v>116</v>
      </c>
      <c r="BQ64" s="429">
        <v>129</v>
      </c>
      <c r="BR64" s="429">
        <v>136</v>
      </c>
      <c r="BS64" s="429">
        <v>153</v>
      </c>
      <c r="BT64" s="430">
        <f>SUM(BP64:BS64)</f>
        <v>534</v>
      </c>
      <c r="BU64" s="429">
        <v>123</v>
      </c>
      <c r="BV64" s="429">
        <v>144</v>
      </c>
      <c r="BW64" s="429">
        <v>169</v>
      </c>
      <c r="BX64" s="429">
        <v>158</v>
      </c>
      <c r="BY64" s="430">
        <f>SUM(BU64:BX64)</f>
        <v>594</v>
      </c>
      <c r="BZ64" s="429">
        <v>155</v>
      </c>
      <c r="CA64" s="429">
        <v>149</v>
      </c>
      <c r="CB64" s="429">
        <v>155</v>
      </c>
      <c r="CC64" s="429">
        <v>154</v>
      </c>
      <c r="CD64" s="430">
        <f>SUM(BZ64:CC64)</f>
        <v>613</v>
      </c>
      <c r="CE64" s="434">
        <v>144</v>
      </c>
      <c r="CF64" s="434">
        <v>164</v>
      </c>
      <c r="CG64" s="434">
        <v>164</v>
      </c>
      <c r="CH64" s="434">
        <v>170</v>
      </c>
      <c r="CI64" s="430">
        <f>SUM(CE64:CH64)</f>
        <v>642</v>
      </c>
      <c r="CJ64" s="434">
        <v>155</v>
      </c>
      <c r="CK64" s="434">
        <v>165</v>
      </c>
      <c r="CL64" s="434">
        <v>175</v>
      </c>
      <c r="CM64" s="434">
        <v>182</v>
      </c>
      <c r="CN64" s="430">
        <f>SUM(CJ64:CM64)</f>
        <v>677</v>
      </c>
      <c r="CO64" s="838">
        <v>165</v>
      </c>
      <c r="CP64" s="434">
        <f ca="1">CP233/4*AVERAGE(CO230:CP230)</f>
        <v>177.78260221581868</v>
      </c>
      <c r="CQ64" s="434">
        <f t="shared" ref="CQ64:DG64" ca="1" si="90">CQ233/4*AVERAGE(CP230:CQ230)</f>
        <v>183.82367030565007</v>
      </c>
      <c r="CR64" s="434">
        <f t="shared" ca="1" si="90"/>
        <v>154.92212370184924</v>
      </c>
      <c r="CS64" s="430">
        <f ca="1">SUM(CO64:CR64)</f>
        <v>681.52839622331805</v>
      </c>
      <c r="CT64" s="434">
        <f t="shared" ca="1" si="90"/>
        <v>122.63105561201782</v>
      </c>
      <c r="CU64" s="434">
        <f t="shared" ca="1" si="90"/>
        <v>120.52179086097698</v>
      </c>
      <c r="CV64" s="434">
        <f t="shared" ca="1" si="90"/>
        <v>135.78072170845104</v>
      </c>
      <c r="CW64" s="434">
        <f t="shared" ca="1" si="90"/>
        <v>134.19958589274125</v>
      </c>
      <c r="CX64" s="430">
        <f ca="1">SUM(CT64:CW64)</f>
        <v>513.13315407418713</v>
      </c>
      <c r="CY64" s="434">
        <f t="shared" ca="1" si="90"/>
        <v>118.94065504526716</v>
      </c>
      <c r="CZ64" s="434">
        <f t="shared" ca="1" si="90"/>
        <v>120.94363771315422</v>
      </c>
      <c r="DA64" s="434">
        <f t="shared" ca="1" si="90"/>
        <v>136.84795406290277</v>
      </c>
      <c r="DB64" s="434">
        <f t="shared" ca="1" si="90"/>
        <v>135.69632361786122</v>
      </c>
      <c r="DC64" s="430">
        <f ca="1">SUM(CY64:DB64)</f>
        <v>512.42857043918536</v>
      </c>
      <c r="DD64" s="434">
        <f t="shared" ca="1" si="90"/>
        <v>119.7920072681127</v>
      </c>
      <c r="DE64" s="434">
        <f t="shared" ca="1" si="90"/>
        <v>121.11712686833715</v>
      </c>
      <c r="DF64" s="434">
        <f t="shared" ca="1" si="90"/>
        <v>137.56752595343019</v>
      </c>
      <c r="DG64" s="434">
        <f t="shared" ca="1" si="90"/>
        <v>137.16295868441256</v>
      </c>
      <c r="DH64" s="430">
        <f ca="1">SUM(DD64:DG64)</f>
        <v>515.63961877429256</v>
      </c>
      <c r="DI64" s="434">
        <f ca="1">DI233/4*AVERAGE(DH230:DI230)</f>
        <v>120.71255959931949</v>
      </c>
      <c r="DJ64" s="434">
        <f ca="1">DJ233/4*AVERAGE(DI230:DJ230)</f>
        <v>121.38918147441784</v>
      </c>
      <c r="DK64" s="434">
        <f ca="1">DK233/4*AVERAGE(DJ230:DK230)</f>
        <v>138.53094091642183</v>
      </c>
      <c r="DL64" s="434">
        <f ca="1">DL233/4*AVERAGE(DK230:DL230)</f>
        <v>138.97590736806282</v>
      </c>
      <c r="DM64" s="430">
        <f ca="1">SUM(DI64:DL64)</f>
        <v>519.60858935822205</v>
      </c>
      <c r="DN64" s="278"/>
    </row>
    <row r="65" spans="1:118" ht="16.5" customHeight="1" x14ac:dyDescent="0.2">
      <c r="A65" s="418" t="s">
        <v>8</v>
      </c>
      <c r="B65" s="418"/>
      <c r="C65" s="429">
        <v>-99</v>
      </c>
      <c r="D65" s="429">
        <v>-119</v>
      </c>
      <c r="E65" s="429">
        <v>-114.11024253357385</v>
      </c>
      <c r="F65" s="429">
        <v>-109</v>
      </c>
      <c r="G65" s="430">
        <f>SUM(C65:F65)</f>
        <v>-441.11024253357385</v>
      </c>
      <c r="H65" s="429">
        <v>-91</v>
      </c>
      <c r="I65" s="429">
        <v>-77</v>
      </c>
      <c r="J65" s="429">
        <v>-66</v>
      </c>
      <c r="K65" s="429">
        <v>-55</v>
      </c>
      <c r="L65" s="430">
        <f>SUM(H65:K65)</f>
        <v>-289</v>
      </c>
      <c r="M65" s="429">
        <v>-45</v>
      </c>
      <c r="N65" s="429">
        <v>-58</v>
      </c>
      <c r="O65" s="429">
        <v>-52.25</v>
      </c>
      <c r="P65" s="429">
        <v>-43.25</v>
      </c>
      <c r="Q65" s="430">
        <f>SUM(M65:P65)</f>
        <v>-198.5</v>
      </c>
      <c r="R65" s="429">
        <v>-45</v>
      </c>
      <c r="S65" s="429">
        <v>-43</v>
      </c>
      <c r="T65" s="429">
        <v>-42</v>
      </c>
      <c r="U65" s="429">
        <v>-48</v>
      </c>
      <c r="V65" s="430">
        <f>SUM(R65:U65)</f>
        <v>-178</v>
      </c>
      <c r="W65" s="429">
        <v>-44</v>
      </c>
      <c r="X65" s="429">
        <v>-47</v>
      </c>
      <c r="Y65" s="429">
        <v>-47</v>
      </c>
      <c r="Z65" s="429">
        <v>-58</v>
      </c>
      <c r="AA65" s="430">
        <f>SUM(W65:Z65)</f>
        <v>-196</v>
      </c>
      <c r="AB65" s="429">
        <v>-68</v>
      </c>
      <c r="AC65" s="429">
        <v>-62</v>
      </c>
      <c r="AD65" s="429">
        <v>-49</v>
      </c>
      <c r="AE65" s="429">
        <v>-61</v>
      </c>
      <c r="AF65" s="430">
        <f>SUM(AB65:AE65)</f>
        <v>-240</v>
      </c>
      <c r="AG65" s="429">
        <v>-63</v>
      </c>
      <c r="AH65" s="429">
        <v>-63</v>
      </c>
      <c r="AI65" s="429">
        <v>-47</v>
      </c>
      <c r="AJ65" s="429">
        <v>-47</v>
      </c>
      <c r="AK65" s="430">
        <f>SUM(AG65:AJ65)</f>
        <v>-220</v>
      </c>
      <c r="AL65" s="429">
        <v>-71</v>
      </c>
      <c r="AM65" s="429">
        <v>-102</v>
      </c>
      <c r="AN65" s="429">
        <v>-127</v>
      </c>
      <c r="AO65" s="429">
        <v>-156</v>
      </c>
      <c r="AP65" s="430">
        <f>SUM(AL65:AO65)</f>
        <v>-456</v>
      </c>
      <c r="AQ65" s="429">
        <v>-117</v>
      </c>
      <c r="AR65" s="429">
        <v>-89</v>
      </c>
      <c r="AS65" s="429">
        <v>-111</v>
      </c>
      <c r="AT65" s="429">
        <v>-121</v>
      </c>
      <c r="AU65" s="430">
        <f>SUM(AQ65:AT65)</f>
        <v>-438</v>
      </c>
      <c r="AV65" s="429">
        <v>-85</v>
      </c>
      <c r="AW65" s="429">
        <v>-97</v>
      </c>
      <c r="AX65" s="429">
        <v>-89</v>
      </c>
      <c r="AY65" s="429">
        <v>-84</v>
      </c>
      <c r="AZ65" s="430">
        <f>SUM(AV65:AY65)</f>
        <v>-355</v>
      </c>
      <c r="BA65" s="429">
        <v>-85</v>
      </c>
      <c r="BB65" s="429">
        <v>-81</v>
      </c>
      <c r="BC65" s="429">
        <v>-80</v>
      </c>
      <c r="BD65" s="429">
        <v>-145</v>
      </c>
      <c r="BE65" s="430">
        <f>SUM(BA65:BD65)</f>
        <v>-391</v>
      </c>
      <c r="BF65" s="429">
        <v>-109</v>
      </c>
      <c r="BG65" s="429">
        <v>-85</v>
      </c>
      <c r="BH65" s="429">
        <v>-111</v>
      </c>
      <c r="BI65" s="429">
        <v>-103</v>
      </c>
      <c r="BJ65" s="430">
        <f>SUM(BF65:BI65)</f>
        <v>-408</v>
      </c>
      <c r="BK65" s="429">
        <v>-88</v>
      </c>
      <c r="BL65" s="429">
        <v>-112</v>
      </c>
      <c r="BM65" s="429">
        <v>-102</v>
      </c>
      <c r="BN65" s="429">
        <v>-95</v>
      </c>
      <c r="BO65" s="430">
        <f>SUM(BK65:BN65)</f>
        <v>-397</v>
      </c>
      <c r="BP65" s="429">
        <v>-102</v>
      </c>
      <c r="BQ65" s="429">
        <v>-99</v>
      </c>
      <c r="BR65" s="429">
        <v>-90</v>
      </c>
      <c r="BS65" s="429">
        <v>-119</v>
      </c>
      <c r="BT65" s="430">
        <f>SUM(BP65:BS65)</f>
        <v>-410</v>
      </c>
      <c r="BU65" s="429">
        <v>-124</v>
      </c>
      <c r="BV65" s="429">
        <v>-107</v>
      </c>
      <c r="BW65" s="429">
        <v>-113</v>
      </c>
      <c r="BX65" s="429">
        <v>-139</v>
      </c>
      <c r="BY65" s="430">
        <f>SUM(BU65:BX65)</f>
        <v>-483</v>
      </c>
      <c r="BZ65" s="429">
        <v>-127</v>
      </c>
      <c r="CA65" s="429">
        <v>-128</v>
      </c>
      <c r="CB65" s="429">
        <v>-138</v>
      </c>
      <c r="CC65" s="429">
        <v>-143</v>
      </c>
      <c r="CD65" s="430">
        <f>SUM(BZ65:CC65)</f>
        <v>-536</v>
      </c>
      <c r="CE65" s="429">
        <v>-141</v>
      </c>
      <c r="CF65" s="429">
        <v>-162</v>
      </c>
      <c r="CG65" s="429">
        <v>-182</v>
      </c>
      <c r="CH65" s="429">
        <v>-248</v>
      </c>
      <c r="CI65" s="430">
        <f>SUM(CE65:CH65)</f>
        <v>-733</v>
      </c>
      <c r="CJ65" s="429">
        <v>-192</v>
      </c>
      <c r="CK65" s="434">
        <v>-193</v>
      </c>
      <c r="CL65" s="434">
        <v>-208</v>
      </c>
      <c r="CM65" s="434">
        <v>-210</v>
      </c>
      <c r="CN65" s="430">
        <f>SUM(CJ65:CM65)</f>
        <v>-803</v>
      </c>
      <c r="CO65" s="838">
        <v>-230</v>
      </c>
      <c r="CP65" s="434">
        <f ca="1">-CP232/4*AVERAGE(CO229:CP229)</f>
        <v>-233.00376686811822</v>
      </c>
      <c r="CQ65" s="434">
        <f ca="1">-CQ232/4*AVERAGE(CP229:CQ229)</f>
        <v>-224.6731931451279</v>
      </c>
      <c r="CR65" s="434">
        <f ca="1">-CR232/4*AVERAGE(CQ229:CR229)</f>
        <v>-208.01204569914728</v>
      </c>
      <c r="CS65" s="430">
        <f ca="1">SUM(CO65:CR65)</f>
        <v>-895.6890057123934</v>
      </c>
      <c r="CT65" s="434">
        <f ca="1">-CT232/4*AVERAGE(CS229:CT229)</f>
        <v>-200.0952921134201</v>
      </c>
      <c r="CU65" s="434">
        <f ca="1">-CU232/4*AVERAGE(CT229:CU229)</f>
        <v>-196.90825262339609</v>
      </c>
      <c r="CV65" s="434">
        <f ca="1">-CV232/4*AVERAGE(CU229:CV229)</f>
        <v>-193.30739299610894</v>
      </c>
      <c r="CW65" s="434">
        <f ca="1">-CW232/4*AVERAGE(CV229:CW229)</f>
        <v>-193.30739299610894</v>
      </c>
      <c r="CX65" s="430">
        <f ca="1">SUM(CT65:CW65)</f>
        <v>-783.61833072903414</v>
      </c>
      <c r="CY65" s="434">
        <f ca="1">-CY232/4*AVERAGE(CX229:CY229)</f>
        <v>-196.74763860233222</v>
      </c>
      <c r="CZ65" s="434">
        <f ca="1">-CZ232/4*AVERAGE(CY229:CZ229)</f>
        <v>-196.74763860233222</v>
      </c>
      <c r="DA65" s="434">
        <f ca="1">-DA232/4*AVERAGE(CZ229:DA229)</f>
        <v>-193.30739299610894</v>
      </c>
      <c r="DB65" s="434">
        <f ca="1">-DB232/4*AVERAGE(DA229:DB229)</f>
        <v>-193.30739299610894</v>
      </c>
      <c r="DC65" s="430">
        <f ca="1">SUM(CY65:DB65)</f>
        <v>-780.11006319688227</v>
      </c>
      <c r="DD65" s="434">
        <f ca="1">-DD232/4*AVERAGE(DC229:DD229)</f>
        <v>-196.78092933597731</v>
      </c>
      <c r="DE65" s="434">
        <f ca="1">-DE232/4*AVERAGE(DD229:DE229)</f>
        <v>-196.78092933597731</v>
      </c>
      <c r="DF65" s="434">
        <f ca="1">-DF232/4*AVERAGE(DE229:DF229)</f>
        <v>-193.30739299610894</v>
      </c>
      <c r="DG65" s="434">
        <f ca="1">-DG232/4*AVERAGE(DF229:DG229)</f>
        <v>-193.30739299610894</v>
      </c>
      <c r="DH65" s="430">
        <f ca="1">SUM(DD65:DG65)</f>
        <v>-780.1766446641725</v>
      </c>
      <c r="DI65" s="434">
        <f ca="1">-DI232/4*AVERAGE(DH229:DI229)</f>
        <v>-196.7506391099183</v>
      </c>
      <c r="DJ65" s="434">
        <f ca="1">-DJ232/4*AVERAGE(DI229:DJ229)</f>
        <v>-196.7506391099183</v>
      </c>
      <c r="DK65" s="434">
        <f ca="1">-DK232/4*AVERAGE(DJ229:DK229)</f>
        <v>-193.30739299610894</v>
      </c>
      <c r="DL65" s="434">
        <f ca="1">-DL232/4*AVERAGE(DK229:DL229)</f>
        <v>-193.30739299610894</v>
      </c>
      <c r="DM65" s="430">
        <f ca="1">SUM(DI65:DL65)</f>
        <v>-780.11606421205443</v>
      </c>
      <c r="DN65" s="278"/>
    </row>
    <row r="66" spans="1:118" ht="16.5" customHeight="1" x14ac:dyDescent="0.2">
      <c r="A66" s="418" t="s">
        <v>9</v>
      </c>
      <c r="B66" s="418"/>
      <c r="C66" s="429">
        <v>-85</v>
      </c>
      <c r="D66" s="429">
        <v>71</v>
      </c>
      <c r="E66" s="429">
        <v>63</v>
      </c>
      <c r="F66" s="429">
        <v>66</v>
      </c>
      <c r="G66" s="430">
        <f>SUM(C66:F66)</f>
        <v>115</v>
      </c>
      <c r="H66" s="429">
        <v>-38</v>
      </c>
      <c r="I66" s="429">
        <v>101</v>
      </c>
      <c r="J66" s="429">
        <v>104</v>
      </c>
      <c r="K66" s="429">
        <v>-15</v>
      </c>
      <c r="L66" s="430">
        <f>SUM(H66:K66)</f>
        <v>152</v>
      </c>
      <c r="M66" s="429">
        <v>61</v>
      </c>
      <c r="N66" s="429">
        <v>176</v>
      </c>
      <c r="O66" s="429">
        <v>113</v>
      </c>
      <c r="P66" s="429">
        <v>34</v>
      </c>
      <c r="Q66" s="430">
        <f>SUM(M66:P66)</f>
        <v>384</v>
      </c>
      <c r="R66" s="429">
        <v>49</v>
      </c>
      <c r="S66" s="429">
        <v>190</v>
      </c>
      <c r="T66" s="429">
        <v>181</v>
      </c>
      <c r="U66" s="429">
        <v>81</v>
      </c>
      <c r="V66" s="430">
        <f>SUM(R66:U66)</f>
        <v>501</v>
      </c>
      <c r="W66" s="429">
        <v>95</v>
      </c>
      <c r="X66" s="429">
        <v>184</v>
      </c>
      <c r="Y66" s="429">
        <v>180</v>
      </c>
      <c r="Z66" s="429">
        <v>125</v>
      </c>
      <c r="AA66" s="430">
        <f>SUM(W66:Z66)</f>
        <v>584</v>
      </c>
      <c r="AB66" s="429">
        <v>91</v>
      </c>
      <c r="AC66" s="429">
        <v>246</v>
      </c>
      <c r="AD66" s="429">
        <v>195</v>
      </c>
      <c r="AE66" s="429">
        <v>176</v>
      </c>
      <c r="AF66" s="430">
        <f>SUM(AB66:AE66)</f>
        <v>708</v>
      </c>
      <c r="AG66" s="429">
        <v>95</v>
      </c>
      <c r="AH66" s="429">
        <v>231</v>
      </c>
      <c r="AI66" s="429">
        <v>234</v>
      </c>
      <c r="AJ66" s="429">
        <v>148</v>
      </c>
      <c r="AK66" s="430">
        <f>SUM(AG66:AJ66)</f>
        <v>708</v>
      </c>
      <c r="AL66" s="429">
        <v>93</v>
      </c>
      <c r="AM66" s="429">
        <v>279</v>
      </c>
      <c r="AN66" s="429">
        <v>266</v>
      </c>
      <c r="AO66" s="429">
        <v>180</v>
      </c>
      <c r="AP66" s="430">
        <f>SUM(AL66:AO66)</f>
        <v>818</v>
      </c>
      <c r="AQ66" s="429">
        <v>132</v>
      </c>
      <c r="AR66" s="429">
        <v>289</v>
      </c>
      <c r="AS66" s="429">
        <v>275</v>
      </c>
      <c r="AT66" s="429">
        <v>116</v>
      </c>
      <c r="AU66" s="430">
        <f>SUM(AQ66:AT66)</f>
        <v>812</v>
      </c>
      <c r="AV66" s="429">
        <v>69</v>
      </c>
      <c r="AW66" s="429">
        <v>320</v>
      </c>
      <c r="AX66" s="429">
        <v>288</v>
      </c>
      <c r="AY66" s="429">
        <v>190</v>
      </c>
      <c r="AZ66" s="430">
        <f>SUM(AV66:AY66)</f>
        <v>867</v>
      </c>
      <c r="BA66" s="429">
        <v>165</v>
      </c>
      <c r="BB66" s="429">
        <v>372</v>
      </c>
      <c r="BC66" s="429">
        <v>365</v>
      </c>
      <c r="BD66" s="429">
        <v>189</v>
      </c>
      <c r="BE66" s="430">
        <f>SUM(BA66:BD66)</f>
        <v>1091</v>
      </c>
      <c r="BF66" s="429">
        <v>138</v>
      </c>
      <c r="BG66" s="429">
        <v>221</v>
      </c>
      <c r="BH66" s="429">
        <v>216</v>
      </c>
      <c r="BI66" s="429">
        <v>168</v>
      </c>
      <c r="BJ66" s="430">
        <f>SUM(BF66:BI66)</f>
        <v>743</v>
      </c>
      <c r="BK66" s="429">
        <v>99</v>
      </c>
      <c r="BL66" s="429">
        <v>257</v>
      </c>
      <c r="BM66" s="429">
        <v>262</v>
      </c>
      <c r="BN66" s="429">
        <v>204</v>
      </c>
      <c r="BO66" s="430">
        <f>SUM(BK66:BN66)</f>
        <v>822</v>
      </c>
      <c r="BP66" s="429">
        <v>126</v>
      </c>
      <c r="BQ66" s="429">
        <v>249</v>
      </c>
      <c r="BR66" s="429">
        <v>196</v>
      </c>
      <c r="BS66" s="429">
        <v>199</v>
      </c>
      <c r="BT66" s="430">
        <f>SUM(BP66:BS66)</f>
        <v>770</v>
      </c>
      <c r="BU66" s="429">
        <v>98</v>
      </c>
      <c r="BV66" s="429">
        <v>260</v>
      </c>
      <c r="BW66" s="429">
        <v>213</v>
      </c>
      <c r="BX66" s="429">
        <v>191</v>
      </c>
      <c r="BY66" s="430">
        <f>SUM(BU66:BX66)</f>
        <v>762</v>
      </c>
      <c r="BZ66" s="429">
        <v>75</v>
      </c>
      <c r="CA66" s="429">
        <v>209</v>
      </c>
      <c r="CB66" s="429">
        <v>197</v>
      </c>
      <c r="CC66" s="429">
        <v>95</v>
      </c>
      <c r="CD66" s="430">
        <f>SUM(BZ66:CC66)</f>
        <v>576</v>
      </c>
      <c r="CE66" s="429">
        <v>95</v>
      </c>
      <c r="CF66" s="429">
        <v>323</v>
      </c>
      <c r="CG66" s="429">
        <v>295</v>
      </c>
      <c r="CH66" s="429">
        <v>183</v>
      </c>
      <c r="CI66" s="551">
        <f>SUM(CE66:CH66)</f>
        <v>896</v>
      </c>
      <c r="CJ66" s="429">
        <v>174</v>
      </c>
      <c r="CK66" s="434">
        <v>372</v>
      </c>
      <c r="CL66" s="434">
        <v>374</v>
      </c>
      <c r="CM66" s="434">
        <v>243</v>
      </c>
      <c r="CN66" s="430">
        <f>SUM(CJ66:CM66)</f>
        <v>1163</v>
      </c>
      <c r="CO66" s="838">
        <v>193</v>
      </c>
      <c r="CP66" s="434">
        <f>(CK66/CN66)*CS66</f>
        <v>401.76000000000005</v>
      </c>
      <c r="CQ66" s="434">
        <f>(CL66/CN66)*CS66</f>
        <v>403.92000000000007</v>
      </c>
      <c r="CR66" s="434">
        <f>CS66-CO66-CP66-CQ66</f>
        <v>257.36000000000013</v>
      </c>
      <c r="CS66" s="490">
        <f>CN66*1.08</f>
        <v>1256.0400000000002</v>
      </c>
      <c r="CT66" s="434">
        <f>(CO66/CS66)*CX66</f>
        <v>203.61499999999995</v>
      </c>
      <c r="CU66" s="434">
        <f>(CP66/CS66)*CX66</f>
        <v>423.85679999999996</v>
      </c>
      <c r="CV66" s="434">
        <f>(CQ66/CS66)*CX66</f>
        <v>426.13560000000001</v>
      </c>
      <c r="CW66" s="434">
        <f>(CR66/CS66)*CX66</f>
        <v>271.51480000000009</v>
      </c>
      <c r="CX66" s="490">
        <f>CS66*1.055</f>
        <v>1325.1222</v>
      </c>
      <c r="CY66" s="434">
        <f>(CT66/CX66)*DC66</f>
        <v>215.83189999999999</v>
      </c>
      <c r="CZ66" s="434">
        <f>(CU66/CX66)*DC66</f>
        <v>449.288208</v>
      </c>
      <c r="DA66" s="434">
        <f>(CV66/CX66)*DC66</f>
        <v>451.70373600000011</v>
      </c>
      <c r="DB66" s="434">
        <f>(CW66/CX66)*DC66</f>
        <v>287.80568800000009</v>
      </c>
      <c r="DC66" s="490">
        <f>CX66*1.06</f>
        <v>1404.6295320000002</v>
      </c>
      <c r="DD66" s="434">
        <f>(CY66/DC66)*DH66</f>
        <v>228.781814</v>
      </c>
      <c r="DE66" s="434">
        <f>(CZ66/DC66)*DH66</f>
        <v>476.24550048000003</v>
      </c>
      <c r="DF66" s="434">
        <f>(DA66/DC66)*DH66</f>
        <v>478.8059601600001</v>
      </c>
      <c r="DG66" s="434">
        <f>(DB66/DC66)*DH66</f>
        <v>305.0740292800001</v>
      </c>
      <c r="DH66" s="490">
        <f>DC66*1.06</f>
        <v>1488.9073039200002</v>
      </c>
      <c r="DI66" s="434">
        <f>(DD66/DH66)*DM66</f>
        <v>242.50872284000002</v>
      </c>
      <c r="DJ66" s="434">
        <f>(DE66/DH66)*DM66</f>
        <v>504.82023050880008</v>
      </c>
      <c r="DK66" s="434">
        <f>(DF66/DH66)*DM66</f>
        <v>507.53431776960019</v>
      </c>
      <c r="DL66" s="434">
        <f>(DG66/DH66)*DM66</f>
        <v>323.37847103680014</v>
      </c>
      <c r="DM66" s="490">
        <f>DH66*1.06</f>
        <v>1578.2417421552004</v>
      </c>
      <c r="DN66" s="278"/>
    </row>
    <row r="67" spans="1:118" ht="16.5" customHeight="1" x14ac:dyDescent="0.2">
      <c r="A67" s="418" t="s">
        <v>10</v>
      </c>
      <c r="B67" s="418"/>
      <c r="C67" s="429">
        <v>-26</v>
      </c>
      <c r="D67" s="429">
        <v>7</v>
      </c>
      <c r="E67" s="429">
        <v>33</v>
      </c>
      <c r="F67" s="433">
        <v>-3</v>
      </c>
      <c r="G67" s="430">
        <f>SUM(C67:F67)</f>
        <v>11</v>
      </c>
      <c r="H67" s="429">
        <v>15</v>
      </c>
      <c r="I67" s="429">
        <v>-18</v>
      </c>
      <c r="J67" s="429">
        <v>27</v>
      </c>
      <c r="K67" s="433">
        <v>16</v>
      </c>
      <c r="L67" s="430">
        <f>SUM(H67:K67)</f>
        <v>40</v>
      </c>
      <c r="M67" s="429">
        <v>-55</v>
      </c>
      <c r="N67" s="429">
        <v>-55</v>
      </c>
      <c r="O67" s="429">
        <v>-62</v>
      </c>
      <c r="P67" s="433">
        <v>-61</v>
      </c>
      <c r="Q67" s="430">
        <f>SUM(M67:P67)</f>
        <v>-233</v>
      </c>
      <c r="R67" s="429">
        <v>-13</v>
      </c>
      <c r="S67" s="429">
        <v>-44</v>
      </c>
      <c r="T67" s="429">
        <v>-42</v>
      </c>
      <c r="U67" s="433">
        <v>-39</v>
      </c>
      <c r="V67" s="430">
        <f>SUM(R67:U67)</f>
        <v>-138</v>
      </c>
      <c r="W67" s="429">
        <v>-25</v>
      </c>
      <c r="X67" s="429">
        <v>-5</v>
      </c>
      <c r="Y67" s="429">
        <v>-34</v>
      </c>
      <c r="Z67" s="433">
        <v>-18</v>
      </c>
      <c r="AA67" s="430">
        <f>SUM(W67:Z67)</f>
        <v>-82</v>
      </c>
      <c r="AB67" s="429">
        <v>-17</v>
      </c>
      <c r="AC67" s="429">
        <v>-15</v>
      </c>
      <c r="AD67" s="429">
        <v>-34</v>
      </c>
      <c r="AE67" s="433">
        <v>-27</v>
      </c>
      <c r="AF67" s="430">
        <f>SUM(AB67:AE67)</f>
        <v>-93</v>
      </c>
      <c r="AG67" s="429">
        <v>-13</v>
      </c>
      <c r="AH67" s="429">
        <v>-7</v>
      </c>
      <c r="AI67" s="429">
        <v>-55</v>
      </c>
      <c r="AJ67" s="433">
        <v>-28</v>
      </c>
      <c r="AK67" s="430">
        <f>SUM(AG67:AJ67)</f>
        <v>-103</v>
      </c>
      <c r="AL67" s="429">
        <v>-21</v>
      </c>
      <c r="AM67" s="429">
        <v>-3</v>
      </c>
      <c r="AN67" s="429">
        <v>-8</v>
      </c>
      <c r="AO67" s="433">
        <v>-22</v>
      </c>
      <c r="AP67" s="430">
        <f>SUM(AL67:AO67)</f>
        <v>-54</v>
      </c>
      <c r="AQ67" s="429">
        <v>-11</v>
      </c>
      <c r="AR67" s="429">
        <v>-22</v>
      </c>
      <c r="AS67" s="429">
        <v>-24</v>
      </c>
      <c r="AT67" s="433">
        <v>-6</v>
      </c>
      <c r="AU67" s="430">
        <f>SUM(AQ67:AT67)</f>
        <v>-63</v>
      </c>
      <c r="AV67" s="429">
        <v>-13</v>
      </c>
      <c r="AW67" s="429">
        <v>20</v>
      </c>
      <c r="AX67" s="429">
        <v>23</v>
      </c>
      <c r="AY67" s="433">
        <v>-7</v>
      </c>
      <c r="AZ67" s="430">
        <f>SUM(AV67:AY67)</f>
        <v>23</v>
      </c>
      <c r="BA67" s="429">
        <v>14</v>
      </c>
      <c r="BB67" s="429">
        <v>18</v>
      </c>
      <c r="BC67" s="429">
        <v>-35</v>
      </c>
      <c r="BD67" s="433">
        <v>6</v>
      </c>
      <c r="BE67" s="491">
        <f>SUM(BA67:BD67)</f>
        <v>3</v>
      </c>
      <c r="BF67" s="433">
        <v>15</v>
      </c>
      <c r="BG67" s="433">
        <v>-17</v>
      </c>
      <c r="BH67" s="433">
        <v>-24</v>
      </c>
      <c r="BI67" s="433">
        <v>-23</v>
      </c>
      <c r="BJ67" s="430">
        <f>SUM(BF67:BI67)</f>
        <v>-49</v>
      </c>
      <c r="BK67" s="433">
        <v>49</v>
      </c>
      <c r="BL67" s="433">
        <v>-8</v>
      </c>
      <c r="BM67" s="433">
        <v>23</v>
      </c>
      <c r="BN67" s="433">
        <v>7</v>
      </c>
      <c r="BO67" s="430">
        <f>SUM(BK67:BN67)</f>
        <v>71</v>
      </c>
      <c r="BP67" s="433">
        <v>-26</v>
      </c>
      <c r="BQ67" s="433">
        <v>34</v>
      </c>
      <c r="BR67" s="433">
        <v>13</v>
      </c>
      <c r="BS67" s="433">
        <v>54</v>
      </c>
      <c r="BT67" s="492">
        <f>SUM(BP67:BS67)</f>
        <v>75</v>
      </c>
      <c r="BU67" s="433">
        <v>-15</v>
      </c>
      <c r="BV67" s="433">
        <v>54</v>
      </c>
      <c r="BW67" s="433">
        <v>-61</v>
      </c>
      <c r="BX67" s="433">
        <v>-42</v>
      </c>
      <c r="BY67" s="492">
        <f>SUM(BU67:BX67)</f>
        <v>-64</v>
      </c>
      <c r="BZ67" s="433">
        <v>115</v>
      </c>
      <c r="CA67" s="433">
        <v>209</v>
      </c>
      <c r="CB67" s="433">
        <v>-31</v>
      </c>
      <c r="CC67" s="433">
        <v>51</v>
      </c>
      <c r="CD67" s="492">
        <f>SUM(BZ67:CC67)</f>
        <v>344</v>
      </c>
      <c r="CE67" s="433">
        <v>38</v>
      </c>
      <c r="CF67" s="433">
        <v>20</v>
      </c>
      <c r="CG67" s="433">
        <v>21</v>
      </c>
      <c r="CH67" s="433">
        <v>-33</v>
      </c>
      <c r="CI67" s="551">
        <f>SUM(CE67:CH67)</f>
        <v>46</v>
      </c>
      <c r="CJ67" s="433">
        <f>49+37</f>
        <v>86</v>
      </c>
      <c r="CK67" s="433">
        <f>71+38</f>
        <v>109</v>
      </c>
      <c r="CL67" s="433">
        <f>34+41</f>
        <v>75</v>
      </c>
      <c r="CM67" s="433">
        <f>1+41</f>
        <v>42</v>
      </c>
      <c r="CN67" s="430">
        <f>SUM(CJ67:CM67)</f>
        <v>312</v>
      </c>
      <c r="CO67" s="848">
        <v>96</v>
      </c>
      <c r="CP67" s="544">
        <v>75</v>
      </c>
      <c r="CQ67" s="544">
        <v>70</v>
      </c>
      <c r="CR67" s="544">
        <v>70</v>
      </c>
      <c r="CS67" s="430">
        <f>SUM(CO67:CR67)</f>
        <v>311</v>
      </c>
      <c r="CT67" s="489">
        <f>CO67</f>
        <v>96</v>
      </c>
      <c r="CU67" s="544">
        <f>CP67</f>
        <v>75</v>
      </c>
      <c r="CV67" s="489">
        <f>CQ67</f>
        <v>70</v>
      </c>
      <c r="CW67" s="544">
        <f>CR67</f>
        <v>70</v>
      </c>
      <c r="CX67" s="430">
        <f>SUM(CT67:CW67)</f>
        <v>311</v>
      </c>
      <c r="CY67" s="489">
        <f>CT67</f>
        <v>96</v>
      </c>
      <c r="CZ67" s="544">
        <f>CU67</f>
        <v>75</v>
      </c>
      <c r="DA67" s="489">
        <f>CV67</f>
        <v>70</v>
      </c>
      <c r="DB67" s="544">
        <f>CW67</f>
        <v>70</v>
      </c>
      <c r="DC67" s="430">
        <f>SUM(CY67:DB67)</f>
        <v>311</v>
      </c>
      <c r="DD67" s="489">
        <f>CY67</f>
        <v>96</v>
      </c>
      <c r="DE67" s="544">
        <f>CZ67</f>
        <v>75</v>
      </c>
      <c r="DF67" s="489">
        <f>DA67</f>
        <v>70</v>
      </c>
      <c r="DG67" s="544">
        <f>DB67</f>
        <v>70</v>
      </c>
      <c r="DH67" s="430">
        <f>SUM(DD67:DG67)</f>
        <v>311</v>
      </c>
      <c r="DI67" s="489">
        <f>DD67</f>
        <v>96</v>
      </c>
      <c r="DJ67" s="544">
        <f>DE67</f>
        <v>75</v>
      </c>
      <c r="DK67" s="489">
        <f>DF67</f>
        <v>70</v>
      </c>
      <c r="DL67" s="544">
        <f>DG67</f>
        <v>70</v>
      </c>
      <c r="DM67" s="430">
        <f>SUM(DI67:DL67)</f>
        <v>311</v>
      </c>
      <c r="DN67" s="278"/>
    </row>
    <row r="68" spans="1:118" ht="16.5" customHeight="1" x14ac:dyDescent="0.25">
      <c r="A68" s="418"/>
      <c r="B68" s="418"/>
      <c r="C68" s="493"/>
      <c r="D68" s="494"/>
      <c r="E68" s="494"/>
      <c r="F68" s="494"/>
      <c r="G68" s="495"/>
      <c r="H68" s="494"/>
      <c r="I68" s="494"/>
      <c r="J68" s="494"/>
      <c r="K68" s="494"/>
      <c r="L68" s="495"/>
      <c r="M68" s="494"/>
      <c r="N68" s="494"/>
      <c r="O68" s="494"/>
      <c r="P68" s="494"/>
      <c r="Q68" s="495"/>
      <c r="R68" s="494"/>
      <c r="S68" s="494"/>
      <c r="T68" s="494"/>
      <c r="U68" s="494"/>
      <c r="V68" s="495"/>
      <c r="W68" s="494"/>
      <c r="X68" s="494"/>
      <c r="Y68" s="494"/>
      <c r="Z68" s="494"/>
      <c r="AA68" s="495"/>
      <c r="AB68" s="494"/>
      <c r="AC68" s="494"/>
      <c r="AD68" s="494"/>
      <c r="AE68" s="494"/>
      <c r="AF68" s="495"/>
      <c r="AG68" s="494"/>
      <c r="AH68" s="494"/>
      <c r="AI68" s="494"/>
      <c r="AJ68" s="494"/>
      <c r="AK68" s="495"/>
      <c r="AL68" s="494"/>
      <c r="AM68" s="494"/>
      <c r="AN68" s="494"/>
      <c r="AO68" s="494"/>
      <c r="AP68" s="495"/>
      <c r="AQ68" s="494"/>
      <c r="AR68" s="494"/>
      <c r="AS68" s="494"/>
      <c r="AT68" s="494"/>
      <c r="AU68" s="495"/>
      <c r="AV68" s="494"/>
      <c r="AW68" s="494"/>
      <c r="AX68" s="494"/>
      <c r="AY68" s="494"/>
      <c r="AZ68" s="495"/>
      <c r="BA68" s="494"/>
      <c r="BB68" s="494"/>
      <c r="BC68" s="494"/>
      <c r="BD68" s="496"/>
      <c r="BE68" s="497"/>
      <c r="BF68" s="496"/>
      <c r="BG68" s="496"/>
      <c r="BH68" s="498"/>
      <c r="BI68" s="498"/>
      <c r="BJ68" s="497"/>
      <c r="BK68" s="499"/>
      <c r="BL68" s="499"/>
      <c r="BM68" s="499"/>
      <c r="BN68" s="499"/>
      <c r="BO68" s="500"/>
      <c r="BP68" s="501"/>
      <c r="BQ68" s="502"/>
      <c r="BR68" s="503"/>
      <c r="BS68" s="503"/>
      <c r="BT68" s="500"/>
      <c r="BU68" s="504"/>
      <c r="BV68" s="505"/>
      <c r="BW68" s="505"/>
      <c r="BX68" s="505"/>
      <c r="BY68" s="500"/>
      <c r="BZ68" s="422"/>
      <c r="CA68" s="552"/>
      <c r="CB68" s="552"/>
      <c r="CC68" s="552"/>
      <c r="CD68" s="553"/>
      <c r="CE68" s="552"/>
      <c r="CF68" s="418"/>
      <c r="CG68" s="418"/>
      <c r="CH68" s="418"/>
      <c r="CI68" s="705"/>
      <c r="CJ68" s="482"/>
      <c r="CK68" s="482"/>
      <c r="CL68" s="482"/>
      <c r="CM68" s="482"/>
      <c r="CN68" s="457"/>
      <c r="CO68" s="482"/>
      <c r="CP68" s="482"/>
      <c r="CQ68" s="482"/>
      <c r="CR68" s="482"/>
      <c r="CS68" s="457"/>
      <c r="CT68" s="842"/>
      <c r="CU68" s="482"/>
      <c r="CV68" s="418"/>
      <c r="CW68" s="418"/>
      <c r="CX68" s="483"/>
      <c r="CY68" s="418"/>
      <c r="CZ68" s="418"/>
      <c r="DA68" s="418"/>
      <c r="DB68" s="418"/>
      <c r="DC68" s="443"/>
      <c r="DD68" s="418"/>
      <c r="DE68" s="418"/>
      <c r="DF68" s="418"/>
      <c r="DG68" s="418"/>
      <c r="DH68" s="443"/>
      <c r="DI68" s="418"/>
      <c r="DJ68" s="418"/>
      <c r="DK68" s="418"/>
      <c r="DL68" s="418"/>
      <c r="DM68" s="443"/>
      <c r="DN68" s="207"/>
    </row>
    <row r="69" spans="1:118" ht="16.5" customHeight="1" x14ac:dyDescent="0.25">
      <c r="A69" s="466" t="s">
        <v>34</v>
      </c>
      <c r="B69" s="422"/>
      <c r="C69" s="419">
        <f t="shared" ref="C69:AH69" si="91">C55+SUM(C64:C67)</f>
        <v>777</v>
      </c>
      <c r="D69" s="419">
        <f t="shared" si="91"/>
        <v>1533</v>
      </c>
      <c r="E69" s="419">
        <f t="shared" si="91"/>
        <v>1464.8897574664261</v>
      </c>
      <c r="F69" s="419">
        <f t="shared" si="91"/>
        <v>1359</v>
      </c>
      <c r="G69" s="420">
        <f t="shared" si="91"/>
        <v>5133.8897574664261</v>
      </c>
      <c r="H69" s="419">
        <f t="shared" si="91"/>
        <v>1247</v>
      </c>
      <c r="I69" s="419">
        <f t="shared" si="91"/>
        <v>1597</v>
      </c>
      <c r="J69" s="419">
        <f t="shared" si="91"/>
        <v>1444</v>
      </c>
      <c r="K69" s="419">
        <f t="shared" si="91"/>
        <v>1292</v>
      </c>
      <c r="L69" s="420">
        <f t="shared" si="91"/>
        <v>5580</v>
      </c>
      <c r="M69" s="419">
        <f t="shared" si="91"/>
        <v>1177</v>
      </c>
      <c r="N69" s="419">
        <f t="shared" si="91"/>
        <v>1675</v>
      </c>
      <c r="O69" s="419">
        <f t="shared" si="91"/>
        <v>1494.75</v>
      </c>
      <c r="P69" s="419">
        <f t="shared" si="91"/>
        <v>1272.75</v>
      </c>
      <c r="Q69" s="420">
        <f t="shared" si="91"/>
        <v>5619.5</v>
      </c>
      <c r="R69" s="419">
        <f t="shared" si="91"/>
        <v>1215</v>
      </c>
      <c r="S69" s="419">
        <f t="shared" si="91"/>
        <v>1741</v>
      </c>
      <c r="T69" s="419">
        <f t="shared" si="91"/>
        <v>1607</v>
      </c>
      <c r="U69" s="419">
        <f t="shared" si="91"/>
        <v>1329</v>
      </c>
      <c r="V69" s="420">
        <f t="shared" si="91"/>
        <v>5892</v>
      </c>
      <c r="W69" s="419">
        <f t="shared" si="91"/>
        <v>1512</v>
      </c>
      <c r="X69" s="419">
        <f t="shared" si="91"/>
        <v>2046</v>
      </c>
      <c r="Y69" s="419">
        <f t="shared" si="91"/>
        <v>1627</v>
      </c>
      <c r="Z69" s="419">
        <f t="shared" si="91"/>
        <v>1437</v>
      </c>
      <c r="AA69" s="420">
        <f t="shared" si="91"/>
        <v>6622</v>
      </c>
      <c r="AB69" s="419">
        <f t="shared" si="91"/>
        <v>1475</v>
      </c>
      <c r="AC69" s="419">
        <f t="shared" si="91"/>
        <v>2153</v>
      </c>
      <c r="AD69" s="419">
        <f t="shared" si="91"/>
        <v>1742</v>
      </c>
      <c r="AE69" s="419">
        <f t="shared" si="91"/>
        <v>1417</v>
      </c>
      <c r="AF69" s="420">
        <f t="shared" si="91"/>
        <v>6787</v>
      </c>
      <c r="AG69" s="419">
        <f t="shared" si="91"/>
        <v>1529</v>
      </c>
      <c r="AH69" s="419">
        <f t="shared" si="91"/>
        <v>2278</v>
      </c>
      <c r="AI69" s="419">
        <f t="shared" ref="AI69:BI69" si="92">AI55+SUM(AI64:AI67)</f>
        <v>1868</v>
      </c>
      <c r="AJ69" s="419">
        <f t="shared" si="92"/>
        <v>1500</v>
      </c>
      <c r="AK69" s="420">
        <f t="shared" si="92"/>
        <v>7175</v>
      </c>
      <c r="AL69" s="419">
        <f t="shared" si="92"/>
        <v>1675</v>
      </c>
      <c r="AM69" s="419">
        <f t="shared" si="92"/>
        <v>2546</v>
      </c>
      <c r="AN69" s="419">
        <f t="shared" si="92"/>
        <v>2103</v>
      </c>
      <c r="AO69" s="419">
        <f t="shared" si="92"/>
        <v>1739</v>
      </c>
      <c r="AP69" s="420">
        <f t="shared" si="92"/>
        <v>8063</v>
      </c>
      <c r="AQ69" s="419">
        <f t="shared" si="92"/>
        <v>2021</v>
      </c>
      <c r="AR69" s="419">
        <f t="shared" si="92"/>
        <v>3036</v>
      </c>
      <c r="AS69" s="419">
        <f t="shared" si="92"/>
        <v>2479</v>
      </c>
      <c r="AT69" s="419">
        <f t="shared" si="92"/>
        <v>1897</v>
      </c>
      <c r="AU69" s="420">
        <f t="shared" si="92"/>
        <v>9433</v>
      </c>
      <c r="AV69" s="419">
        <f t="shared" si="92"/>
        <v>1986</v>
      </c>
      <c r="AW69" s="419">
        <f t="shared" si="92"/>
        <v>2810</v>
      </c>
      <c r="AX69" s="419">
        <f t="shared" si="92"/>
        <v>2487</v>
      </c>
      <c r="AY69" s="419">
        <f t="shared" si="92"/>
        <v>2045</v>
      </c>
      <c r="AZ69" s="420">
        <f t="shared" si="92"/>
        <v>9328</v>
      </c>
      <c r="BA69" s="419">
        <f t="shared" si="92"/>
        <v>2433</v>
      </c>
      <c r="BB69" s="419">
        <f t="shared" si="92"/>
        <v>3217</v>
      </c>
      <c r="BC69" s="419">
        <f t="shared" si="92"/>
        <v>2787</v>
      </c>
      <c r="BD69" s="421">
        <f t="shared" si="92"/>
        <v>2162</v>
      </c>
      <c r="BE69" s="420">
        <f t="shared" si="92"/>
        <v>10599</v>
      </c>
      <c r="BF69" s="421">
        <f t="shared" si="92"/>
        <v>2641</v>
      </c>
      <c r="BG69" s="421">
        <f t="shared" si="92"/>
        <v>3591</v>
      </c>
      <c r="BH69" s="419">
        <f t="shared" si="92"/>
        <v>3184</v>
      </c>
      <c r="BI69" s="419">
        <f t="shared" si="92"/>
        <v>2403</v>
      </c>
      <c r="BJ69" s="420">
        <f>SUM(BF69:BI69)</f>
        <v>11819</v>
      </c>
      <c r="BK69" s="421">
        <f>BK55+SUM(BK64:BK67)</f>
        <v>2739</v>
      </c>
      <c r="BL69" s="419">
        <f>BL55+SUM(BL64:BL67)</f>
        <v>3662</v>
      </c>
      <c r="BM69" s="421">
        <f>BM55+SUM(BM64:BM67)</f>
        <v>3091</v>
      </c>
      <c r="BN69" s="421">
        <f>BN55+SUM(BN64:BN67)</f>
        <v>2725</v>
      </c>
      <c r="BO69" s="420">
        <f>SUM(BK69:BN69)</f>
        <v>12217</v>
      </c>
      <c r="BP69" s="421">
        <f>BP55+SUM(BP64:BP67)</f>
        <v>2725</v>
      </c>
      <c r="BQ69" s="421">
        <f>BQ55+SUM(BQ64:BQ67)</f>
        <v>3731</v>
      </c>
      <c r="BR69" s="421">
        <f>BR55+SUM(BR64:BR67)</f>
        <v>3103</v>
      </c>
      <c r="BS69" s="421">
        <f>BS55+SUM(BS64:BS67)</f>
        <v>2670</v>
      </c>
      <c r="BT69" s="420">
        <f>SUM(BP69:BS69)</f>
        <v>12229</v>
      </c>
      <c r="BU69" s="421">
        <f>BU55+SUM(BU64:BU67)</f>
        <v>2541</v>
      </c>
      <c r="BV69" s="421">
        <f>BV55+SUM(BV64:BV67)</f>
        <v>3677</v>
      </c>
      <c r="BW69" s="421">
        <f>BW55+SUM(BW64:BW67)</f>
        <v>3048</v>
      </c>
      <c r="BX69" s="421">
        <f>BX55+SUM(BX64:BX67)</f>
        <v>2497</v>
      </c>
      <c r="BY69" s="420">
        <f>SUM(BU69:BX69)</f>
        <v>11763</v>
      </c>
      <c r="BZ69" s="421">
        <f>BZ55+SUM(BZ64:BZ67)</f>
        <v>2726</v>
      </c>
      <c r="CA69" s="421">
        <f>CA55+SUM(CA64:CA67)</f>
        <v>3593</v>
      </c>
      <c r="CB69" s="421">
        <f>CB55+SUM(CB64:CB67)</f>
        <v>2888</v>
      </c>
      <c r="CC69" s="421">
        <f>CC55+SUM(CC64:CC67)</f>
        <v>2163</v>
      </c>
      <c r="CD69" s="420">
        <f>SUM(BZ69:CC69)</f>
        <v>11370</v>
      </c>
      <c r="CE69" s="421">
        <f>CE55+SUM(CE64:CE67)</f>
        <v>2583</v>
      </c>
      <c r="CF69" s="421">
        <f>CF55+SUM(CF64:CF67)</f>
        <v>3395</v>
      </c>
      <c r="CG69" s="421">
        <f>CG55+SUM(CG64:CG67)</f>
        <v>2780</v>
      </c>
      <c r="CH69" s="421">
        <f>CH55+SUM(CH64:CH67)</f>
        <v>2051</v>
      </c>
      <c r="CI69" s="420">
        <f>SUM(CE69:CH69)</f>
        <v>10809</v>
      </c>
      <c r="CJ69" s="421">
        <f>CJ55+SUM(CJ64:CJ67)</f>
        <v>2475</v>
      </c>
      <c r="CK69" s="421">
        <f>CK55+SUM(CK64:CK67)</f>
        <v>3352</v>
      </c>
      <c r="CL69" s="421">
        <f>CL55+SUM(CL64:CL67)</f>
        <v>2859</v>
      </c>
      <c r="CM69" s="421">
        <f>CM55+SUM(CM64:CM67)</f>
        <v>2203</v>
      </c>
      <c r="CN69" s="420">
        <f>SUM(CJ69:CM69)</f>
        <v>10889</v>
      </c>
      <c r="CO69" s="421">
        <f>CO55+SUM(CO64:CO67)</f>
        <v>2561</v>
      </c>
      <c r="CP69" s="421">
        <f ca="1">CP55+SUM(CP64:CP67)</f>
        <v>3308.1532100541049</v>
      </c>
      <c r="CQ69" s="421">
        <f ca="1">CQ55+SUM(CQ64:CQ67)</f>
        <v>3075.9304138148027</v>
      </c>
      <c r="CR69" s="421">
        <f ca="1">CR55+SUM(CR64:CR67)</f>
        <v>2444.5081829380529</v>
      </c>
      <c r="CS69" s="420">
        <f ca="1">SUM(CO69:CR69)</f>
        <v>11389.59180680696</v>
      </c>
      <c r="CT69" s="421">
        <f ca="1">CT55+SUM(CT64:CT67)</f>
        <v>2722.5581854653879</v>
      </c>
      <c r="CU69" s="421">
        <f ca="1">CU55+SUM(CU64:CU67)</f>
        <v>3513.672718882855</v>
      </c>
      <c r="CV69" s="421">
        <f ca="1">CV55+SUM(CV64:CV67)</f>
        <v>3275.1965854649916</v>
      </c>
      <c r="CW69" s="421">
        <f ca="1">CW55+SUM(CW64:CW67)</f>
        <v>2621.5144007838012</v>
      </c>
      <c r="CX69" s="420">
        <f ca="1">SUM(CT69:CW69)</f>
        <v>12132.941890597036</v>
      </c>
      <c r="CY69" s="421">
        <f ca="1">CY55+SUM(CY64:CY67)</f>
        <v>2919.9657491994758</v>
      </c>
      <c r="CZ69" s="421">
        <f ca="1">CZ55+SUM(CZ64:CZ67)</f>
        <v>3754.7818351731116</v>
      </c>
      <c r="DA69" s="421">
        <f ca="1">DA55+SUM(DA64:DA67)</f>
        <v>3505.6653371757861</v>
      </c>
      <c r="DB69" s="421">
        <f ca="1">DB55+SUM(DB64:DB67)</f>
        <v>2817.2654813068152</v>
      </c>
      <c r="DC69" s="420">
        <f ca="1">SUM(CY69:DB69)</f>
        <v>12997.678402855188</v>
      </c>
      <c r="DD69" s="421">
        <f ca="1">DD55+SUM(DD64:DD67)</f>
        <v>3117.9917189686616</v>
      </c>
      <c r="DE69" s="421">
        <f ca="1">DE55+SUM(DE64:DE67)</f>
        <v>3995.1195261670364</v>
      </c>
      <c r="DF69" s="421">
        <f ca="1">DF55+SUM(DF64:DF67)</f>
        <v>3735.7036909375074</v>
      </c>
      <c r="DG69" s="421">
        <f ca="1">DG55+SUM(DG64:DG67)</f>
        <v>3013.4597422382599</v>
      </c>
      <c r="DH69" s="420">
        <f ca="1">SUM(DD69:DG69)</f>
        <v>13862.274678311465</v>
      </c>
      <c r="DI69" s="421">
        <f ca="1">DI55+SUM(DI64:DI67)</f>
        <v>3312.9325767466435</v>
      </c>
      <c r="DJ69" s="421">
        <f ca="1">DJ55+SUM(DJ64:DJ67)</f>
        <v>4233.6616910058046</v>
      </c>
      <c r="DK69" s="421">
        <f ca="1">DK55+SUM(DK64:DK67)</f>
        <v>3963.5895316631468</v>
      </c>
      <c r="DL69" s="421">
        <f ca="1">DL55+SUM(DL64:DL67)</f>
        <v>3206.7005534538403</v>
      </c>
      <c r="DM69" s="420">
        <f ca="1">SUM(DI69:DL69)</f>
        <v>14716.884352869434</v>
      </c>
      <c r="DN69" s="278"/>
    </row>
    <row r="70" spans="1:118" ht="16.5" customHeight="1" x14ac:dyDescent="0.2">
      <c r="A70" s="418" t="s">
        <v>35</v>
      </c>
      <c r="B70" s="418"/>
      <c r="C70" s="487">
        <v>-240.87</v>
      </c>
      <c r="D70" s="487">
        <v>-479.82900000000001</v>
      </c>
      <c r="E70" s="487">
        <v>-446.79137602725996</v>
      </c>
      <c r="F70" s="487">
        <v>-407.7</v>
      </c>
      <c r="G70" s="430">
        <f>SUM(C70:F70)</f>
        <v>-1575.1903760272601</v>
      </c>
      <c r="H70" s="487">
        <v>-374.1</v>
      </c>
      <c r="I70" s="487">
        <v>-479.1</v>
      </c>
      <c r="J70" s="487">
        <v>-433.2</v>
      </c>
      <c r="K70" s="487">
        <v>-378</v>
      </c>
      <c r="L70" s="430">
        <f>SUM(H70:K70)</f>
        <v>-1664.4</v>
      </c>
      <c r="M70" s="487">
        <v>-317.79000000000002</v>
      </c>
      <c r="N70" s="487">
        <v>-452.25</v>
      </c>
      <c r="O70" s="487">
        <v>-403.58249999999998</v>
      </c>
      <c r="P70" s="487">
        <v>-343.006125</v>
      </c>
      <c r="Q70" s="430">
        <f>SUM(M70:P70)</f>
        <v>-1516.6286249999998</v>
      </c>
      <c r="R70" s="487">
        <v>-325.95</v>
      </c>
      <c r="S70" s="487">
        <v>-409.5</v>
      </c>
      <c r="T70" s="487">
        <v>-287.17500000000001</v>
      </c>
      <c r="U70" s="487">
        <v>-295.108</v>
      </c>
      <c r="V70" s="430">
        <f>SUM(R70:U70)</f>
        <v>-1317.7329999999999</v>
      </c>
      <c r="W70" s="487">
        <v>-385</v>
      </c>
      <c r="X70" s="487">
        <v>-514.77750000000003</v>
      </c>
      <c r="Y70" s="487">
        <v>-405</v>
      </c>
      <c r="Z70" s="487">
        <v>-328.46899999999999</v>
      </c>
      <c r="AA70" s="430">
        <f>SUM(W70:Z70)</f>
        <v>-1633.2465000000002</v>
      </c>
      <c r="AB70" s="487">
        <v>-354</v>
      </c>
      <c r="AC70" s="487">
        <v>-516.72</v>
      </c>
      <c r="AD70" s="487">
        <v>-408.43</v>
      </c>
      <c r="AE70" s="487">
        <v>-332.995</v>
      </c>
      <c r="AF70" s="430">
        <f>SUM(AB70:AE70)</f>
        <v>-1612.145</v>
      </c>
      <c r="AG70" s="487">
        <v>-364.8</v>
      </c>
      <c r="AH70" s="487">
        <v>-546</v>
      </c>
      <c r="AI70" s="487">
        <v>-420</v>
      </c>
      <c r="AJ70" s="487">
        <v>-274</v>
      </c>
      <c r="AK70" s="430">
        <f>SUM(AG70:AJ70)</f>
        <v>-1604.8</v>
      </c>
      <c r="AL70" s="487">
        <v>-385</v>
      </c>
      <c r="AM70" s="487">
        <v>-565</v>
      </c>
      <c r="AN70" s="487">
        <v>-441</v>
      </c>
      <c r="AO70" s="487">
        <v>-383</v>
      </c>
      <c r="AP70" s="430">
        <f>SUM(AL70:AO70)</f>
        <v>-1774</v>
      </c>
      <c r="AQ70" s="487">
        <v>-445</v>
      </c>
      <c r="AR70" s="487">
        <v>-665</v>
      </c>
      <c r="AS70" s="487">
        <v>-545</v>
      </c>
      <c r="AT70" s="487">
        <v>-418</v>
      </c>
      <c r="AU70" s="430">
        <f>SUM(AQ70:AT70)</f>
        <v>-2073</v>
      </c>
      <c r="AV70" s="487">
        <v>-464</v>
      </c>
      <c r="AW70" s="487">
        <v>-658</v>
      </c>
      <c r="AX70" s="487">
        <v>-584</v>
      </c>
      <c r="AY70" s="487">
        <v>-463</v>
      </c>
      <c r="AZ70" s="430">
        <f>SUM(AV70:AY70)</f>
        <v>-2169</v>
      </c>
      <c r="BA70" s="487">
        <v>-564</v>
      </c>
      <c r="BB70" s="487">
        <v>-747</v>
      </c>
      <c r="BC70" s="487">
        <v>-630</v>
      </c>
      <c r="BD70" s="486">
        <v>-465</v>
      </c>
      <c r="BE70" s="430">
        <f>SUM(BA70:BD70)</f>
        <v>-2406</v>
      </c>
      <c r="BF70" s="486">
        <v>-634</v>
      </c>
      <c r="BG70" s="486">
        <v>-862</v>
      </c>
      <c r="BH70" s="487">
        <v>-764</v>
      </c>
      <c r="BI70" s="487">
        <v>-565</v>
      </c>
      <c r="BJ70" s="430">
        <f>SUM(BF70:BI70)</f>
        <v>-2825</v>
      </c>
      <c r="BK70" s="486">
        <v>-679</v>
      </c>
      <c r="BL70" s="487">
        <v>-858</v>
      </c>
      <c r="BM70" s="486">
        <v>-741</v>
      </c>
      <c r="BN70" s="486">
        <v>-654</v>
      </c>
      <c r="BO70" s="430">
        <f>SUM(BK70:BN70)</f>
        <v>-2932</v>
      </c>
      <c r="BP70" s="486">
        <v>-641</v>
      </c>
      <c r="BQ70" s="486">
        <v>-844</v>
      </c>
      <c r="BR70" s="486">
        <v>-713</v>
      </c>
      <c r="BS70" s="486">
        <v>-615</v>
      </c>
      <c r="BT70" s="430">
        <f>SUM(BP70:BS70)</f>
        <v>-2813</v>
      </c>
      <c r="BU70" s="486">
        <v>-585</v>
      </c>
      <c r="BV70" s="486">
        <v>-814</v>
      </c>
      <c r="BW70" s="486">
        <v>-686</v>
      </c>
      <c r="BX70" s="486">
        <v>-561</v>
      </c>
      <c r="BY70" s="430">
        <f>SUM(BU70:BX70)</f>
        <v>-2646</v>
      </c>
      <c r="BZ70" s="486">
        <v>-613</v>
      </c>
      <c r="CA70" s="486">
        <v>-809</v>
      </c>
      <c r="CB70" s="486">
        <v>-650</v>
      </c>
      <c r="CC70" s="486">
        <v>-486</v>
      </c>
      <c r="CD70" s="430">
        <f>SUM(BZ70:CC70)</f>
        <v>-2558</v>
      </c>
      <c r="CE70" s="486">
        <v>-581</v>
      </c>
      <c r="CF70" s="486">
        <v>-764</v>
      </c>
      <c r="CG70" s="486">
        <v>-626</v>
      </c>
      <c r="CH70" s="486">
        <v>-461</v>
      </c>
      <c r="CI70" s="430">
        <f>SUM(CE70:CH70)</f>
        <v>-2432</v>
      </c>
      <c r="CJ70" s="486">
        <v>-594</v>
      </c>
      <c r="CK70" s="486">
        <v>-805</v>
      </c>
      <c r="CL70" s="486">
        <v>-686</v>
      </c>
      <c r="CM70" s="486">
        <v>-529</v>
      </c>
      <c r="CN70" s="430">
        <f>SUM(CJ70:CM70)</f>
        <v>-2614</v>
      </c>
      <c r="CO70" s="486">
        <v>-538</v>
      </c>
      <c r="CP70" s="486">
        <f ca="1">CP69*-CP71</f>
        <v>-694.71217411136195</v>
      </c>
      <c r="CQ70" s="486">
        <f ca="1">CQ69*-CQ71</f>
        <v>-645.94538690110858</v>
      </c>
      <c r="CR70" s="486">
        <f ca="1">CS70-SUM(CO70:CQ70)</f>
        <v>-513.15671841699123</v>
      </c>
      <c r="CS70" s="430">
        <f ca="1">-CS71*CS69</f>
        <v>-2391.8142794294617</v>
      </c>
      <c r="CT70" s="486">
        <f ca="1">CT69*-CT71</f>
        <v>-571.73721894773144</v>
      </c>
      <c r="CU70" s="486">
        <f ca="1">CU69*-CU71</f>
        <v>-737.8712709653995</v>
      </c>
      <c r="CV70" s="486">
        <f ca="1">CV69*-CV71</f>
        <v>-687.79128294764826</v>
      </c>
      <c r="CW70" s="486">
        <f ca="1">CX70-SUM(CT70:CV70)</f>
        <v>-550.5180241645985</v>
      </c>
      <c r="CX70" s="430">
        <f ca="1">-CX71*CX69</f>
        <v>-2547.9177970253777</v>
      </c>
      <c r="CY70" s="486">
        <f ca="1">CY69*-CY71</f>
        <v>-613.19280733188987</v>
      </c>
      <c r="CZ70" s="486">
        <f ca="1">CZ69*-CZ71</f>
        <v>-788.50418538635347</v>
      </c>
      <c r="DA70" s="486">
        <f ca="1">DA69*-DA71</f>
        <v>-736.18972080691503</v>
      </c>
      <c r="DB70" s="486">
        <f ca="1">DC70-SUM(CY70:DA70)</f>
        <v>-591.62575107443081</v>
      </c>
      <c r="DC70" s="430">
        <f ca="1">-DC71*DC69</f>
        <v>-2729.5124645995893</v>
      </c>
      <c r="DD70" s="486">
        <f ca="1">DD69*-DD71</f>
        <v>-654.77826098341893</v>
      </c>
      <c r="DE70" s="486">
        <f ca="1">DE69*-DE71</f>
        <v>-838.97510049507764</v>
      </c>
      <c r="DF70" s="486">
        <f ca="1">DF69*-DF71</f>
        <v>-784.49777509687658</v>
      </c>
      <c r="DG70" s="486">
        <f ca="1">DH70-SUM(DD70:DF70)</f>
        <v>-632.82654587003435</v>
      </c>
      <c r="DH70" s="430">
        <f ca="1">-DH71*DH69</f>
        <v>-2911.0776824454074</v>
      </c>
      <c r="DI70" s="486">
        <f ca="1">DI69*-DI71</f>
        <v>-695.7158411167951</v>
      </c>
      <c r="DJ70" s="486">
        <f ca="1">DJ69*-DJ71</f>
        <v>-889.068955111219</v>
      </c>
      <c r="DK70" s="486">
        <f ca="1">DK69*-DK71</f>
        <v>-832.35380164926084</v>
      </c>
      <c r="DL70" s="486">
        <f ca="1">DM70-SUM(DI70:DK70)</f>
        <v>-673.4071162253058</v>
      </c>
      <c r="DM70" s="430">
        <f ca="1">-DM71*DM69</f>
        <v>-3090.5457141025809</v>
      </c>
      <c r="DN70" s="278"/>
    </row>
    <row r="71" spans="1:118" ht="16.5" customHeight="1" x14ac:dyDescent="0.2">
      <c r="A71" s="418"/>
      <c r="B71" s="418" t="s">
        <v>36</v>
      </c>
      <c r="C71" s="423">
        <f t="shared" ref="C71:K71" si="93">-C70/C69</f>
        <v>0.31</v>
      </c>
      <c r="D71" s="423">
        <f t="shared" si="93"/>
        <v>0.313</v>
      </c>
      <c r="E71" s="423">
        <f t="shared" si="93"/>
        <v>0.30499999999999999</v>
      </c>
      <c r="F71" s="423">
        <f t="shared" si="93"/>
        <v>0.3</v>
      </c>
      <c r="G71" s="424">
        <f t="shared" si="93"/>
        <v>0.3068220102966559</v>
      </c>
      <c r="H71" s="423">
        <f t="shared" si="93"/>
        <v>0.30000000000000004</v>
      </c>
      <c r="I71" s="423">
        <f t="shared" si="93"/>
        <v>0.3</v>
      </c>
      <c r="J71" s="423">
        <f t="shared" si="93"/>
        <v>0.3</v>
      </c>
      <c r="K71" s="423">
        <f t="shared" si="93"/>
        <v>0.29256965944272445</v>
      </c>
      <c r="L71" s="424">
        <f t="shared" ref="L71:BE71" si="94">-L70/L69</f>
        <v>0.29827956989247312</v>
      </c>
      <c r="M71" s="423">
        <f t="shared" si="94"/>
        <v>0.27</v>
      </c>
      <c r="N71" s="423">
        <f t="shared" si="94"/>
        <v>0.27</v>
      </c>
      <c r="O71" s="423">
        <f t="shared" si="94"/>
        <v>0.26999999999999996</v>
      </c>
      <c r="P71" s="423">
        <f t="shared" si="94"/>
        <v>0.26950000000000002</v>
      </c>
      <c r="Q71" s="424">
        <f t="shared" si="94"/>
        <v>0.26988675593914047</v>
      </c>
      <c r="R71" s="423">
        <f t="shared" si="94"/>
        <v>0.26827160493827157</v>
      </c>
      <c r="S71" s="423">
        <f t="shared" si="94"/>
        <v>0.23520964962665136</v>
      </c>
      <c r="T71" s="423">
        <f t="shared" si="94"/>
        <v>0.1787025513378967</v>
      </c>
      <c r="U71" s="423">
        <f t="shared" si="94"/>
        <v>0.22205267118133937</v>
      </c>
      <c r="V71" s="424">
        <f t="shared" si="94"/>
        <v>0.223647827562797</v>
      </c>
      <c r="W71" s="423">
        <f t="shared" si="94"/>
        <v>0.25462962962962965</v>
      </c>
      <c r="X71" s="423">
        <f t="shared" si="94"/>
        <v>0.25160190615835781</v>
      </c>
      <c r="Y71" s="423">
        <f t="shared" si="94"/>
        <v>0.24892440073755379</v>
      </c>
      <c r="Z71" s="423">
        <f t="shared" si="94"/>
        <v>0.22857967988865693</v>
      </c>
      <c r="AA71" s="424">
        <f t="shared" si="94"/>
        <v>0.24663945937783149</v>
      </c>
      <c r="AB71" s="423">
        <f t="shared" si="94"/>
        <v>0.24</v>
      </c>
      <c r="AC71" s="423">
        <f t="shared" si="94"/>
        <v>0.24000000000000002</v>
      </c>
      <c r="AD71" s="423">
        <f t="shared" si="94"/>
        <v>0.23446039035591273</v>
      </c>
      <c r="AE71" s="423">
        <f t="shared" si="94"/>
        <v>0.23500000000000001</v>
      </c>
      <c r="AF71" s="424">
        <f t="shared" si="94"/>
        <v>0.2375342566671578</v>
      </c>
      <c r="AG71" s="423">
        <f t="shared" si="94"/>
        <v>0.23858731196860694</v>
      </c>
      <c r="AH71" s="423">
        <f t="shared" si="94"/>
        <v>0.23968393327480245</v>
      </c>
      <c r="AI71" s="423">
        <f t="shared" si="94"/>
        <v>0.22483940042826553</v>
      </c>
      <c r="AJ71" s="423">
        <f t="shared" si="94"/>
        <v>0.18266666666666667</v>
      </c>
      <c r="AK71" s="424">
        <f t="shared" si="94"/>
        <v>0.22366550522648082</v>
      </c>
      <c r="AL71" s="423">
        <f t="shared" si="94"/>
        <v>0.2298507462686567</v>
      </c>
      <c r="AM71" s="423">
        <f t="shared" si="94"/>
        <v>0.22191673212882954</v>
      </c>
      <c r="AN71" s="423">
        <f t="shared" si="94"/>
        <v>0.20970042796005706</v>
      </c>
      <c r="AO71" s="423">
        <f t="shared" si="94"/>
        <v>0.22024151811385853</v>
      </c>
      <c r="AP71" s="424">
        <f t="shared" si="94"/>
        <v>0.22001736326429369</v>
      </c>
      <c r="AQ71" s="423">
        <f t="shared" si="94"/>
        <v>0.22018802572983673</v>
      </c>
      <c r="AR71" s="423">
        <f t="shared" si="94"/>
        <v>0.21903820816864294</v>
      </c>
      <c r="AS71" s="423">
        <f t="shared" si="94"/>
        <v>0.21984671238402581</v>
      </c>
      <c r="AT71" s="423">
        <f t="shared" si="94"/>
        <v>0.22034791776489193</v>
      </c>
      <c r="AU71" s="424">
        <f t="shared" si="94"/>
        <v>0.21976041556238737</v>
      </c>
      <c r="AV71" s="423">
        <f t="shared" si="94"/>
        <v>0.23363544813695872</v>
      </c>
      <c r="AW71" s="423">
        <f t="shared" si="94"/>
        <v>0.23416370106761566</v>
      </c>
      <c r="AX71" s="423">
        <f t="shared" si="94"/>
        <v>0.23482106956172094</v>
      </c>
      <c r="AY71" s="423">
        <f t="shared" si="94"/>
        <v>0.22640586797066015</v>
      </c>
      <c r="AZ71" s="424">
        <f t="shared" si="94"/>
        <v>0.23252572898799315</v>
      </c>
      <c r="BA71" s="423">
        <f t="shared" si="94"/>
        <v>0.23181257706535141</v>
      </c>
      <c r="BB71" s="423">
        <f t="shared" si="94"/>
        <v>0.23220391669257071</v>
      </c>
      <c r="BC71" s="423">
        <f t="shared" si="94"/>
        <v>0.22604951560818085</v>
      </c>
      <c r="BD71" s="423">
        <f>-BD70/BD69</f>
        <v>0.2150786308973173</v>
      </c>
      <c r="BE71" s="424">
        <f t="shared" si="94"/>
        <v>0.22700254741013304</v>
      </c>
      <c r="BF71" s="423">
        <f t="shared" ref="BF71:BT71" si="95">-BF70/BF69</f>
        <v>0.2400605831124574</v>
      </c>
      <c r="BG71" s="423">
        <f t="shared" si="95"/>
        <v>0.2400445558340295</v>
      </c>
      <c r="BH71" s="423">
        <f t="shared" si="95"/>
        <v>0.2399497487437186</v>
      </c>
      <c r="BI71" s="423">
        <f t="shared" si="95"/>
        <v>0.23512276321265085</v>
      </c>
      <c r="BJ71" s="424">
        <f t="shared" si="95"/>
        <v>0.23902191386750149</v>
      </c>
      <c r="BK71" s="423">
        <f t="shared" si="95"/>
        <v>0.24790069368382622</v>
      </c>
      <c r="BL71" s="423">
        <f t="shared" si="95"/>
        <v>0.2342981977061715</v>
      </c>
      <c r="BM71" s="423">
        <f t="shared" si="95"/>
        <v>0.23972824328696216</v>
      </c>
      <c r="BN71" s="423">
        <f t="shared" si="95"/>
        <v>0.24</v>
      </c>
      <c r="BO71" s="424">
        <f t="shared" si="95"/>
        <v>0.23999345174756487</v>
      </c>
      <c r="BP71" s="423">
        <f t="shared" si="95"/>
        <v>0.23522935779816515</v>
      </c>
      <c r="BQ71" s="423">
        <f t="shared" si="95"/>
        <v>0.22621281157866524</v>
      </c>
      <c r="BR71" s="423">
        <f t="shared" si="95"/>
        <v>0.22977763454721237</v>
      </c>
      <c r="BS71" s="423">
        <f>-BS70/BS69</f>
        <v>0.2303370786516854</v>
      </c>
      <c r="BT71" s="424">
        <f t="shared" si="95"/>
        <v>0.23002698503557117</v>
      </c>
      <c r="BU71" s="423">
        <f t="shared" ref="BU71:CB71" si="96">-BU70/BU69</f>
        <v>0.23022432113341204</v>
      </c>
      <c r="BV71" s="423">
        <f t="shared" si="96"/>
        <v>0.22137612183845526</v>
      </c>
      <c r="BW71" s="423">
        <f t="shared" si="96"/>
        <v>0.22506561679790027</v>
      </c>
      <c r="BX71" s="423">
        <f t="shared" si="96"/>
        <v>0.22466960352422907</v>
      </c>
      <c r="BY71" s="829">
        <f t="shared" si="96"/>
        <v>0.22494261667941851</v>
      </c>
      <c r="BZ71" s="830">
        <f t="shared" si="96"/>
        <v>0.22487160674981657</v>
      </c>
      <c r="CA71" s="830">
        <f t="shared" si="96"/>
        <v>0.22516003339827442</v>
      </c>
      <c r="CB71" s="830">
        <f t="shared" si="96"/>
        <v>0.22506925207756232</v>
      </c>
      <c r="CC71" s="830">
        <f t="shared" ref="CC71:CJ71" si="97">-CC70/CC69</f>
        <v>0.22468793342579751</v>
      </c>
      <c r="CD71" s="829">
        <f t="shared" si="97"/>
        <v>0.22497801231310466</v>
      </c>
      <c r="CE71" s="830">
        <f t="shared" si="97"/>
        <v>0.22493224932249323</v>
      </c>
      <c r="CF71" s="830">
        <f t="shared" si="97"/>
        <v>0.22503681885125185</v>
      </c>
      <c r="CG71" s="830">
        <f t="shared" si="97"/>
        <v>0.22517985611510791</v>
      </c>
      <c r="CH71" s="830">
        <f t="shared" si="97"/>
        <v>0.22476840565577766</v>
      </c>
      <c r="CI71" s="829">
        <f t="shared" ref="CI71" si="98">-CI70/CI69</f>
        <v>0.22499768711259135</v>
      </c>
      <c r="CJ71" s="830">
        <f t="shared" si="97"/>
        <v>0.24</v>
      </c>
      <c r="CK71" s="830">
        <f t="shared" ref="CK71:CL71" si="99">-CK70/CK69</f>
        <v>0.24015513126491647</v>
      </c>
      <c r="CL71" s="830">
        <f t="shared" si="99"/>
        <v>0.23994403637635536</v>
      </c>
      <c r="CM71" s="830">
        <f t="shared" ref="CM71:CO71" si="100">-CM70/CM69</f>
        <v>0.2401270994098956</v>
      </c>
      <c r="CN71" s="829">
        <f t="shared" si="100"/>
        <v>0.2400587749104601</v>
      </c>
      <c r="CO71" s="830">
        <f t="shared" si="100"/>
        <v>0.21007418976962125</v>
      </c>
      <c r="CP71" s="507">
        <f>CS71</f>
        <v>0.21</v>
      </c>
      <c r="CQ71" s="507">
        <f>CS71</f>
        <v>0.21</v>
      </c>
      <c r="CR71" s="423">
        <f ca="1">-CR70/CR69</f>
        <v>0.20992227475394601</v>
      </c>
      <c r="CS71" s="506">
        <v>0.21</v>
      </c>
      <c r="CT71" s="507">
        <f>CX71</f>
        <v>0.21</v>
      </c>
      <c r="CU71" s="507">
        <f>CX71</f>
        <v>0.21</v>
      </c>
      <c r="CV71" s="507">
        <f>CX71</f>
        <v>0.21</v>
      </c>
      <c r="CW71" s="423">
        <f ca="1">-CW70/CW69</f>
        <v>0.2100000000000001</v>
      </c>
      <c r="CX71" s="506">
        <f>CS71</f>
        <v>0.21</v>
      </c>
      <c r="CY71" s="507">
        <f>DC71</f>
        <v>0.21</v>
      </c>
      <c r="CZ71" s="507">
        <f>DC71</f>
        <v>0.21</v>
      </c>
      <c r="DA71" s="507">
        <f>DC71</f>
        <v>0.21</v>
      </c>
      <c r="DB71" s="423">
        <f ca="1">-DB70/DB69</f>
        <v>0.20999999999999985</v>
      </c>
      <c r="DC71" s="506">
        <f>CX71</f>
        <v>0.21</v>
      </c>
      <c r="DD71" s="507">
        <f>DH71</f>
        <v>0.21</v>
      </c>
      <c r="DE71" s="507">
        <f>DH71</f>
        <v>0.21</v>
      </c>
      <c r="DF71" s="507">
        <f>DH71</f>
        <v>0.21</v>
      </c>
      <c r="DG71" s="423">
        <f ca="1">-DG70/DG69</f>
        <v>0.20999999999999994</v>
      </c>
      <c r="DH71" s="506">
        <f>DC71</f>
        <v>0.21</v>
      </c>
      <c r="DI71" s="507">
        <f>DM71</f>
        <v>0.21</v>
      </c>
      <c r="DJ71" s="507">
        <f>DM71</f>
        <v>0.21</v>
      </c>
      <c r="DK71" s="507">
        <f>DM71</f>
        <v>0.21</v>
      </c>
      <c r="DL71" s="423">
        <f ca="1">-DL70/DL69</f>
        <v>0.2099999999999998</v>
      </c>
      <c r="DM71" s="506">
        <f>DH71</f>
        <v>0.21</v>
      </c>
      <c r="DN71" s="279"/>
    </row>
    <row r="72" spans="1:118" ht="2.25" customHeight="1" x14ac:dyDescent="0.2">
      <c r="A72" s="418"/>
      <c r="B72" s="418"/>
      <c r="C72" s="422"/>
      <c r="D72" s="422"/>
      <c r="E72" s="422"/>
      <c r="F72" s="422"/>
      <c r="G72" s="443"/>
      <c r="H72" s="422"/>
      <c r="I72" s="422"/>
      <c r="J72" s="422"/>
      <c r="K72" s="422"/>
      <c r="L72" s="443"/>
      <c r="M72" s="422"/>
      <c r="N72" s="422"/>
      <c r="O72" s="422"/>
      <c r="P72" s="422"/>
      <c r="Q72" s="443"/>
      <c r="R72" s="422"/>
      <c r="S72" s="422"/>
      <c r="T72" s="422"/>
      <c r="U72" s="422"/>
      <c r="V72" s="443"/>
      <c r="W72" s="422"/>
      <c r="X72" s="422"/>
      <c r="Y72" s="422"/>
      <c r="Z72" s="422"/>
      <c r="AA72" s="443"/>
      <c r="AB72" s="422"/>
      <c r="AC72" s="422"/>
      <c r="AD72" s="422"/>
      <c r="AE72" s="422"/>
      <c r="AF72" s="443"/>
      <c r="AG72" s="422"/>
      <c r="AH72" s="422"/>
      <c r="AI72" s="422"/>
      <c r="AJ72" s="422"/>
      <c r="AK72" s="443"/>
      <c r="AL72" s="422"/>
      <c r="AM72" s="422"/>
      <c r="AN72" s="422"/>
      <c r="AO72" s="422"/>
      <c r="AP72" s="443"/>
      <c r="AQ72" s="422"/>
      <c r="AR72" s="422"/>
      <c r="AS72" s="422"/>
      <c r="AT72" s="422"/>
      <c r="AU72" s="443"/>
      <c r="AV72" s="422"/>
      <c r="AW72" s="422"/>
      <c r="AX72" s="422"/>
      <c r="AY72" s="422"/>
      <c r="AZ72" s="443"/>
      <c r="BA72" s="422"/>
      <c r="BB72" s="422"/>
      <c r="BC72" s="422"/>
      <c r="BD72" s="418"/>
      <c r="BE72" s="443"/>
      <c r="BF72" s="418"/>
      <c r="BG72" s="418"/>
      <c r="BH72" s="422"/>
      <c r="BI72" s="422"/>
      <c r="BJ72" s="443"/>
      <c r="BK72" s="418"/>
      <c r="BL72" s="422"/>
      <c r="BM72" s="418"/>
      <c r="BN72" s="418"/>
      <c r="BO72" s="443"/>
      <c r="BP72" s="418"/>
      <c r="BQ72" s="418"/>
      <c r="BR72" s="418"/>
      <c r="BS72" s="418"/>
      <c r="BT72" s="443"/>
      <c r="BU72" s="418"/>
      <c r="BV72" s="418"/>
      <c r="BW72" s="418"/>
      <c r="BX72" s="418"/>
      <c r="BY72" s="443"/>
      <c r="BZ72" s="418"/>
      <c r="CA72" s="418"/>
      <c r="CB72" s="418"/>
      <c r="CC72" s="418"/>
      <c r="CD72" s="443"/>
      <c r="CE72" s="418"/>
      <c r="CF72" s="418"/>
      <c r="CG72" s="418"/>
      <c r="CH72" s="418"/>
      <c r="CI72" s="443"/>
      <c r="CJ72" s="418"/>
      <c r="CK72" s="418"/>
      <c r="CL72" s="418"/>
      <c r="CM72" s="418"/>
      <c r="CN72" s="443"/>
      <c r="CO72" s="418"/>
      <c r="CP72" s="418"/>
      <c r="CQ72" s="418"/>
      <c r="CR72" s="418"/>
      <c r="CS72" s="443"/>
      <c r="CT72" s="418"/>
      <c r="CU72" s="418"/>
      <c r="CV72" s="418"/>
      <c r="CW72" s="418"/>
      <c r="CX72" s="443"/>
      <c r="CY72" s="418"/>
      <c r="CZ72" s="418"/>
      <c r="DA72" s="418"/>
      <c r="DB72" s="418"/>
      <c r="DC72" s="443"/>
      <c r="DD72" s="418"/>
      <c r="DE72" s="418"/>
      <c r="DF72" s="418"/>
      <c r="DG72" s="418"/>
      <c r="DH72" s="443"/>
      <c r="DI72" s="418"/>
      <c r="DJ72" s="418"/>
      <c r="DK72" s="418"/>
      <c r="DL72" s="418"/>
      <c r="DM72" s="443"/>
      <c r="DN72" s="279"/>
    </row>
    <row r="73" spans="1:118" ht="16.5" hidden="1" customHeight="1" x14ac:dyDescent="0.25">
      <c r="A73" s="417" t="s">
        <v>206</v>
      </c>
      <c r="B73" s="417"/>
      <c r="C73" s="419">
        <f t="shared" ref="C73:AT73" si="101">C69+C70</f>
        <v>536.13</v>
      </c>
      <c r="D73" s="419">
        <f t="shared" si="101"/>
        <v>1053.171</v>
      </c>
      <c r="E73" s="419">
        <f t="shared" si="101"/>
        <v>1018.0983814391661</v>
      </c>
      <c r="F73" s="419">
        <f t="shared" si="101"/>
        <v>951.3</v>
      </c>
      <c r="G73" s="420">
        <f>G69+G70</f>
        <v>3558.6993814391662</v>
      </c>
      <c r="H73" s="419">
        <f t="shared" si="101"/>
        <v>872.9</v>
      </c>
      <c r="I73" s="419">
        <f t="shared" si="101"/>
        <v>1117.9000000000001</v>
      </c>
      <c r="J73" s="419">
        <f t="shared" si="101"/>
        <v>1010.8</v>
      </c>
      <c r="K73" s="419">
        <f t="shared" si="101"/>
        <v>914</v>
      </c>
      <c r="L73" s="420">
        <f>L69+L70</f>
        <v>3915.6</v>
      </c>
      <c r="M73" s="419">
        <f t="shared" si="101"/>
        <v>859.21</v>
      </c>
      <c r="N73" s="419">
        <f t="shared" si="101"/>
        <v>1222.75</v>
      </c>
      <c r="O73" s="419">
        <f t="shared" si="101"/>
        <v>1091.1675</v>
      </c>
      <c r="P73" s="419">
        <f t="shared" si="101"/>
        <v>929.743875</v>
      </c>
      <c r="Q73" s="420">
        <f>Q69+Q70</f>
        <v>4102.8713750000006</v>
      </c>
      <c r="R73" s="419">
        <f t="shared" si="101"/>
        <v>889.05</v>
      </c>
      <c r="S73" s="419">
        <f t="shared" si="101"/>
        <v>1331.5</v>
      </c>
      <c r="T73" s="419">
        <f t="shared" si="101"/>
        <v>1319.825</v>
      </c>
      <c r="U73" s="419">
        <f t="shared" si="101"/>
        <v>1033.8920000000001</v>
      </c>
      <c r="V73" s="420">
        <f>V69+V70</f>
        <v>4574.2669999999998</v>
      </c>
      <c r="W73" s="419">
        <f t="shared" si="101"/>
        <v>1127</v>
      </c>
      <c r="X73" s="419">
        <f t="shared" si="101"/>
        <v>1531.2224999999999</v>
      </c>
      <c r="Y73" s="419">
        <f t="shared" si="101"/>
        <v>1222</v>
      </c>
      <c r="Z73" s="419">
        <f t="shared" si="101"/>
        <v>1108.5309999999999</v>
      </c>
      <c r="AA73" s="420">
        <f>AA69+AA70</f>
        <v>4988.7534999999998</v>
      </c>
      <c r="AB73" s="419">
        <f t="shared" si="101"/>
        <v>1121</v>
      </c>
      <c r="AC73" s="419">
        <f t="shared" si="101"/>
        <v>1636.28</v>
      </c>
      <c r="AD73" s="419">
        <f t="shared" si="101"/>
        <v>1333.57</v>
      </c>
      <c r="AE73" s="419">
        <f t="shared" si="101"/>
        <v>1084.0050000000001</v>
      </c>
      <c r="AF73" s="420">
        <f>AF69+AF70</f>
        <v>5174.8549999999996</v>
      </c>
      <c r="AG73" s="419">
        <f t="shared" si="101"/>
        <v>1164.2</v>
      </c>
      <c r="AH73" s="419">
        <f t="shared" si="101"/>
        <v>1732</v>
      </c>
      <c r="AI73" s="419">
        <f t="shared" si="101"/>
        <v>1448</v>
      </c>
      <c r="AJ73" s="419">
        <f t="shared" si="101"/>
        <v>1226</v>
      </c>
      <c r="AK73" s="420">
        <f t="shared" si="101"/>
        <v>5570.2</v>
      </c>
      <c r="AL73" s="419">
        <f t="shared" si="101"/>
        <v>1290</v>
      </c>
      <c r="AM73" s="419">
        <f t="shared" si="101"/>
        <v>1981</v>
      </c>
      <c r="AN73" s="419">
        <f t="shared" si="101"/>
        <v>1662</v>
      </c>
      <c r="AO73" s="419">
        <f t="shared" si="101"/>
        <v>1356</v>
      </c>
      <c r="AP73" s="420">
        <f>AP69+AP70</f>
        <v>6289</v>
      </c>
      <c r="AQ73" s="419">
        <f t="shared" si="101"/>
        <v>1576</v>
      </c>
      <c r="AR73" s="419">
        <f t="shared" si="101"/>
        <v>2371</v>
      </c>
      <c r="AS73" s="419">
        <f t="shared" si="101"/>
        <v>1934</v>
      </c>
      <c r="AT73" s="419">
        <f t="shared" si="101"/>
        <v>1479</v>
      </c>
      <c r="AU73" s="420">
        <f>AU69+AU70</f>
        <v>7360</v>
      </c>
      <c r="AV73" s="419">
        <f t="shared" ref="AV73:BB73" si="102">AV69+AV70</f>
        <v>1522</v>
      </c>
      <c r="AW73" s="419">
        <f t="shared" si="102"/>
        <v>2152</v>
      </c>
      <c r="AX73" s="419">
        <f t="shared" si="102"/>
        <v>1903</v>
      </c>
      <c r="AY73" s="419">
        <f t="shared" si="102"/>
        <v>1582</v>
      </c>
      <c r="AZ73" s="420">
        <f t="shared" si="102"/>
        <v>7159</v>
      </c>
      <c r="BA73" s="419">
        <f t="shared" si="102"/>
        <v>1869</v>
      </c>
      <c r="BB73" s="419">
        <f t="shared" si="102"/>
        <v>2470</v>
      </c>
      <c r="BC73" s="419">
        <f t="shared" ref="BC73:CX73" si="103">BC69+BC70</f>
        <v>2157</v>
      </c>
      <c r="BD73" s="419">
        <f t="shared" si="103"/>
        <v>1697</v>
      </c>
      <c r="BE73" s="420">
        <f t="shared" si="103"/>
        <v>8193</v>
      </c>
      <c r="BF73" s="419">
        <f t="shared" si="103"/>
        <v>2007</v>
      </c>
      <c r="BG73" s="419">
        <f t="shared" si="103"/>
        <v>2729</v>
      </c>
      <c r="BH73" s="419">
        <f t="shared" si="103"/>
        <v>2420</v>
      </c>
      <c r="BI73" s="419">
        <f t="shared" si="103"/>
        <v>1838</v>
      </c>
      <c r="BJ73" s="420">
        <f t="shared" si="103"/>
        <v>8994</v>
      </c>
      <c r="BK73" s="419">
        <f t="shared" si="103"/>
        <v>2060</v>
      </c>
      <c r="BL73" s="419">
        <f t="shared" si="103"/>
        <v>2804</v>
      </c>
      <c r="BM73" s="419">
        <f t="shared" si="103"/>
        <v>2350</v>
      </c>
      <c r="BN73" s="419">
        <f t="shared" si="103"/>
        <v>2071</v>
      </c>
      <c r="BO73" s="420">
        <f t="shared" si="103"/>
        <v>9285</v>
      </c>
      <c r="BP73" s="419">
        <f t="shared" si="103"/>
        <v>2084</v>
      </c>
      <c r="BQ73" s="419">
        <f t="shared" si="103"/>
        <v>2887</v>
      </c>
      <c r="BR73" s="419">
        <f t="shared" si="103"/>
        <v>2390</v>
      </c>
      <c r="BS73" s="419">
        <f>BS69+BS70</f>
        <v>2055</v>
      </c>
      <c r="BT73" s="420">
        <f t="shared" si="103"/>
        <v>9416</v>
      </c>
      <c r="BU73" s="419">
        <f t="shared" ref="BU73:BZ73" si="104">BU69+BU70</f>
        <v>1956</v>
      </c>
      <c r="BV73" s="419">
        <f t="shared" si="104"/>
        <v>2863</v>
      </c>
      <c r="BW73" s="419">
        <f t="shared" si="104"/>
        <v>2362</v>
      </c>
      <c r="BX73" s="419">
        <f t="shared" si="104"/>
        <v>1936</v>
      </c>
      <c r="BY73" s="420">
        <f t="shared" si="104"/>
        <v>9117</v>
      </c>
      <c r="BZ73" s="419">
        <f t="shared" si="104"/>
        <v>2113</v>
      </c>
      <c r="CA73" s="419">
        <f t="shared" si="103"/>
        <v>2784</v>
      </c>
      <c r="CB73" s="419">
        <f t="shared" si="103"/>
        <v>2238</v>
      </c>
      <c r="CC73" s="419">
        <f t="shared" si="103"/>
        <v>1677</v>
      </c>
      <c r="CD73" s="420">
        <f t="shared" si="103"/>
        <v>8812</v>
      </c>
      <c r="CE73" s="419">
        <f t="shared" si="103"/>
        <v>2002</v>
      </c>
      <c r="CF73" s="419">
        <f>CF69+CF70</f>
        <v>2631</v>
      </c>
      <c r="CG73" s="419">
        <f>CG69+CG70</f>
        <v>2154</v>
      </c>
      <c r="CH73" s="419">
        <f t="shared" si="103"/>
        <v>1590</v>
      </c>
      <c r="CI73" s="420">
        <f t="shared" si="103"/>
        <v>8377</v>
      </c>
      <c r="CJ73" s="419">
        <f t="shared" si="103"/>
        <v>1881</v>
      </c>
      <c r="CK73" s="419">
        <f t="shared" si="103"/>
        <v>2547</v>
      </c>
      <c r="CL73" s="419">
        <f t="shared" si="103"/>
        <v>2173</v>
      </c>
      <c r="CM73" s="419">
        <f t="shared" si="103"/>
        <v>1674</v>
      </c>
      <c r="CN73" s="420">
        <f t="shared" si="103"/>
        <v>8275</v>
      </c>
      <c r="CO73" s="419">
        <f t="shared" si="103"/>
        <v>2023</v>
      </c>
      <c r="CP73" s="419">
        <f t="shared" ca="1" si="103"/>
        <v>2613.4410359427429</v>
      </c>
      <c r="CQ73" s="419">
        <f t="shared" ca="1" si="103"/>
        <v>2429.9850269136941</v>
      </c>
      <c r="CR73" s="419">
        <f t="shared" ca="1" si="103"/>
        <v>1931.3514645210616</v>
      </c>
      <c r="CS73" s="420">
        <f t="shared" ca="1" si="103"/>
        <v>8997.7775273774987</v>
      </c>
      <c r="CT73" s="419">
        <f t="shared" ca="1" si="103"/>
        <v>2150.8209665176564</v>
      </c>
      <c r="CU73" s="419">
        <f t="shared" ca="1" si="103"/>
        <v>2775.8014479174553</v>
      </c>
      <c r="CV73" s="419">
        <f t="shared" ca="1" si="103"/>
        <v>2587.4053025173434</v>
      </c>
      <c r="CW73" s="419">
        <f t="shared" ca="1" si="103"/>
        <v>2070.9963766192027</v>
      </c>
      <c r="CX73" s="420">
        <f t="shared" ca="1" si="103"/>
        <v>9585.0240935716574</v>
      </c>
      <c r="CY73" s="419">
        <f t="shared" ref="CY73:DH73" ca="1" si="105">CY69+CY70</f>
        <v>2306.7729418675858</v>
      </c>
      <c r="CZ73" s="419">
        <f t="shared" ca="1" si="105"/>
        <v>2966.277649786758</v>
      </c>
      <c r="DA73" s="419">
        <f t="shared" ca="1" si="105"/>
        <v>2769.4756163688712</v>
      </c>
      <c r="DB73" s="419">
        <f t="shared" ca="1" si="105"/>
        <v>2225.6397302323844</v>
      </c>
      <c r="DC73" s="420">
        <f t="shared" ca="1" si="105"/>
        <v>10268.165938255599</v>
      </c>
      <c r="DD73" s="419">
        <f t="shared" ca="1" si="105"/>
        <v>2463.2134579852427</v>
      </c>
      <c r="DE73" s="419">
        <f t="shared" ca="1" si="105"/>
        <v>3156.1444256719587</v>
      </c>
      <c r="DF73" s="419">
        <f t="shared" ca="1" si="105"/>
        <v>2951.205915840631</v>
      </c>
      <c r="DG73" s="419">
        <f t="shared" ca="1" si="105"/>
        <v>2380.6331963682255</v>
      </c>
      <c r="DH73" s="420">
        <f t="shared" ca="1" si="105"/>
        <v>10951.196995866057</v>
      </c>
      <c r="DI73" s="419">
        <f ca="1">DI69+DI70</f>
        <v>2617.2167356298482</v>
      </c>
      <c r="DJ73" s="419">
        <f ca="1">DJ69+DJ70</f>
        <v>3344.5927358945855</v>
      </c>
      <c r="DK73" s="419">
        <f ca="1">DK69+DK70</f>
        <v>3131.235730013886</v>
      </c>
      <c r="DL73" s="419">
        <f ca="1">DL69+DL70</f>
        <v>2533.2934372285345</v>
      </c>
      <c r="DM73" s="420">
        <f ca="1">DM69+DM70</f>
        <v>11626.338638766854</v>
      </c>
      <c r="DN73" s="278"/>
    </row>
    <row r="74" spans="1:118" ht="4.5" hidden="1" customHeight="1" x14ac:dyDescent="0.2">
      <c r="A74" s="418"/>
      <c r="B74" s="418"/>
      <c r="C74" s="422"/>
      <c r="D74" s="422"/>
      <c r="E74" s="422"/>
      <c r="F74" s="422"/>
      <c r="G74" s="443"/>
      <c r="H74" s="422"/>
      <c r="I74" s="422"/>
      <c r="J74" s="422"/>
      <c r="K74" s="422"/>
      <c r="L74" s="443"/>
      <c r="M74" s="422"/>
      <c r="N74" s="422"/>
      <c r="O74" s="422"/>
      <c r="P74" s="422"/>
      <c r="Q74" s="443"/>
      <c r="R74" s="422"/>
      <c r="S74" s="422"/>
      <c r="T74" s="422"/>
      <c r="U74" s="422"/>
      <c r="V74" s="443"/>
      <c r="W74" s="422"/>
      <c r="X74" s="422"/>
      <c r="Y74" s="422"/>
      <c r="Z74" s="422"/>
      <c r="AA74" s="443"/>
      <c r="AB74" s="422"/>
      <c r="AC74" s="422"/>
      <c r="AD74" s="422"/>
      <c r="AE74" s="422"/>
      <c r="AF74" s="443"/>
      <c r="AG74" s="422"/>
      <c r="AH74" s="422"/>
      <c r="AI74" s="422"/>
      <c r="AJ74" s="422"/>
      <c r="AK74" s="443"/>
      <c r="AL74" s="422"/>
      <c r="AM74" s="422"/>
      <c r="AN74" s="422"/>
      <c r="AO74" s="422"/>
      <c r="AP74" s="443"/>
      <c r="AQ74" s="422"/>
      <c r="AR74" s="422"/>
      <c r="AS74" s="422"/>
      <c r="AT74" s="422"/>
      <c r="AU74" s="443"/>
      <c r="AV74" s="422"/>
      <c r="AW74" s="422"/>
      <c r="AX74" s="422"/>
      <c r="AY74" s="422"/>
      <c r="AZ74" s="443"/>
      <c r="BA74" s="422"/>
      <c r="BB74" s="422"/>
      <c r="BC74" s="422"/>
      <c r="BD74" s="418"/>
      <c r="BE74" s="443"/>
      <c r="BF74" s="418"/>
      <c r="BG74" s="418"/>
      <c r="BH74" s="422"/>
      <c r="BI74" s="422"/>
      <c r="BJ74" s="443"/>
      <c r="BK74" s="418"/>
      <c r="BL74" s="422"/>
      <c r="BM74" s="418"/>
      <c r="BN74" s="418"/>
      <c r="BO74" s="443"/>
      <c r="BP74" s="418"/>
      <c r="BQ74" s="418"/>
      <c r="BR74" s="418"/>
      <c r="BS74" s="418"/>
      <c r="BT74" s="443"/>
      <c r="BU74" s="418"/>
      <c r="BV74" s="418"/>
      <c r="BW74" s="418"/>
      <c r="BX74" s="418"/>
      <c r="BY74" s="443"/>
      <c r="BZ74" s="418"/>
      <c r="CA74" s="418"/>
      <c r="CB74" s="418"/>
      <c r="CC74" s="418"/>
      <c r="CD74" s="443"/>
      <c r="CE74" s="418"/>
      <c r="CF74" s="418"/>
      <c r="CG74" s="418"/>
      <c r="CH74" s="418"/>
      <c r="CI74" s="443"/>
      <c r="CJ74" s="418"/>
      <c r="CK74" s="418"/>
      <c r="CL74" s="418"/>
      <c r="CM74" s="418"/>
      <c r="CN74" s="443"/>
      <c r="CO74" s="418"/>
      <c r="CP74" s="418"/>
      <c r="CQ74" s="418"/>
      <c r="CR74" s="418"/>
      <c r="CS74" s="443"/>
      <c r="CT74" s="418"/>
      <c r="CU74" s="418"/>
      <c r="CV74" s="418"/>
      <c r="CW74" s="418"/>
      <c r="CX74" s="443"/>
      <c r="CY74" s="418"/>
      <c r="CZ74" s="418"/>
      <c r="DA74" s="418"/>
      <c r="DB74" s="418"/>
      <c r="DC74" s="443"/>
      <c r="DD74" s="418"/>
      <c r="DE74" s="418"/>
      <c r="DF74" s="418"/>
      <c r="DG74" s="418"/>
      <c r="DH74" s="443"/>
      <c r="DI74" s="418"/>
      <c r="DJ74" s="418"/>
      <c r="DK74" s="418"/>
      <c r="DL74" s="418"/>
      <c r="DM74" s="443"/>
      <c r="DN74" s="207"/>
    </row>
    <row r="75" spans="1:118" ht="16.5" hidden="1" customHeight="1" x14ac:dyDescent="0.2">
      <c r="A75" s="418" t="s">
        <v>11</v>
      </c>
      <c r="B75" s="418"/>
      <c r="C75" s="418"/>
      <c r="D75" s="487"/>
      <c r="E75" s="487"/>
      <c r="F75" s="487"/>
      <c r="G75" s="430"/>
      <c r="H75" s="487"/>
      <c r="I75" s="487"/>
      <c r="J75" s="487"/>
      <c r="K75" s="487"/>
      <c r="L75" s="430"/>
      <c r="M75" s="487"/>
      <c r="N75" s="487"/>
      <c r="O75" s="487"/>
      <c r="P75" s="487"/>
      <c r="Q75" s="430"/>
      <c r="R75" s="487"/>
      <c r="S75" s="487"/>
      <c r="T75" s="487"/>
      <c r="U75" s="487"/>
      <c r="V75" s="430"/>
      <c r="W75" s="487"/>
      <c r="X75" s="487"/>
      <c r="Y75" s="487"/>
      <c r="Z75" s="487"/>
      <c r="AA75" s="430"/>
      <c r="AB75" s="487"/>
      <c r="AC75" s="487"/>
      <c r="AD75" s="487"/>
      <c r="AE75" s="487"/>
      <c r="AF75" s="430"/>
      <c r="AG75" s="487"/>
      <c r="AH75" s="487"/>
      <c r="AI75" s="487"/>
      <c r="AJ75" s="487"/>
      <c r="AK75" s="430"/>
      <c r="AL75" s="487"/>
      <c r="AM75" s="487"/>
      <c r="AN75" s="487"/>
      <c r="AO75" s="487"/>
      <c r="AP75" s="430"/>
      <c r="AQ75" s="487"/>
      <c r="AR75" s="487"/>
      <c r="AS75" s="487"/>
      <c r="AT75" s="487"/>
      <c r="AU75" s="430"/>
      <c r="AV75" s="487">
        <v>-11</v>
      </c>
      <c r="AW75" s="487">
        <v>-12</v>
      </c>
      <c r="AX75" s="487">
        <v>-24</v>
      </c>
      <c r="AY75" s="487">
        <v>-35</v>
      </c>
      <c r="AZ75" s="430">
        <f>SUM(AV75:AY75)</f>
        <v>-82</v>
      </c>
      <c r="BA75" s="487">
        <v>-12</v>
      </c>
      <c r="BB75" s="487">
        <v>-13</v>
      </c>
      <c r="BC75" s="487">
        <v>-12</v>
      </c>
      <c r="BD75" s="434">
        <v>-13</v>
      </c>
      <c r="BE75" s="430">
        <f>SUM(BA75:BD75)</f>
        <v>-50</v>
      </c>
      <c r="BF75" s="434">
        <v>-13</v>
      </c>
      <c r="BG75" s="487">
        <v>-7</v>
      </c>
      <c r="BH75" s="487">
        <v>-22</v>
      </c>
      <c r="BI75" s="487">
        <v>-20</v>
      </c>
      <c r="BJ75" s="430">
        <f>SUM(BF75:BI75)</f>
        <v>-62</v>
      </c>
      <c r="BK75" s="487">
        <v>-12</v>
      </c>
      <c r="BL75" s="487">
        <v>-13</v>
      </c>
      <c r="BM75" s="487">
        <v>-19</v>
      </c>
      <c r="BN75" s="487">
        <v>-24</v>
      </c>
      <c r="BO75" s="430">
        <f>SUM(BK75:BN75)</f>
        <v>-68</v>
      </c>
      <c r="BP75" s="434">
        <v>-18</v>
      </c>
      <c r="BQ75" s="434">
        <v>-18</v>
      </c>
      <c r="BR75" s="486">
        <v>-8</v>
      </c>
      <c r="BS75" s="486">
        <v>2</v>
      </c>
      <c r="BT75" s="430">
        <f>SUM(BP75:BS75)</f>
        <v>-42</v>
      </c>
      <c r="BU75" s="486">
        <v>-7</v>
      </c>
      <c r="BV75" s="486">
        <v>-10</v>
      </c>
      <c r="BW75" s="486">
        <v>-8</v>
      </c>
      <c r="BX75" s="486">
        <v>-1</v>
      </c>
      <c r="BY75" s="430">
        <f>SUM(BU75:BX75)</f>
        <v>-26</v>
      </c>
      <c r="BZ75" s="486">
        <v>-9</v>
      </c>
      <c r="CA75" s="486">
        <v>-3</v>
      </c>
      <c r="CB75" s="486">
        <v>-4</v>
      </c>
      <c r="CC75" s="486">
        <v>1</v>
      </c>
      <c r="CD75" s="430">
        <f>SUM(BZ75:CC75)</f>
        <v>-15</v>
      </c>
      <c r="CE75" s="486">
        <v>-10</v>
      </c>
      <c r="CF75" s="486">
        <v>-12</v>
      </c>
      <c r="CG75" s="486">
        <v>-4</v>
      </c>
      <c r="CH75" s="486">
        <v>-3</v>
      </c>
      <c r="CI75" s="430">
        <f>SUM(CE75:CH75)</f>
        <v>-29</v>
      </c>
      <c r="CJ75" s="486">
        <v>-2</v>
      </c>
      <c r="CK75" s="486">
        <v>-1</v>
      </c>
      <c r="CL75" s="486">
        <v>3</v>
      </c>
      <c r="CM75" s="486">
        <v>1</v>
      </c>
      <c r="CN75" s="430">
        <f>SUM(CJ75:CM75)</f>
        <v>1</v>
      </c>
      <c r="CO75" s="838">
        <v>0</v>
      </c>
      <c r="CP75" s="489">
        <f>CK75*1.02</f>
        <v>-1.02</v>
      </c>
      <c r="CQ75" s="489">
        <f>CL75*1.02</f>
        <v>3.06</v>
      </c>
      <c r="CR75" s="489">
        <f>CM75*1.02</f>
        <v>1.02</v>
      </c>
      <c r="CS75" s="430">
        <f>SUM(CO75:CR75)</f>
        <v>3.06</v>
      </c>
      <c r="CT75" s="489">
        <f>CO75*1.05</f>
        <v>0</v>
      </c>
      <c r="CU75" s="489">
        <f>CP75*1.05</f>
        <v>-1.0710000000000002</v>
      </c>
      <c r="CV75" s="489">
        <f>CQ75*1.05</f>
        <v>3.2130000000000001</v>
      </c>
      <c r="CW75" s="489">
        <f>CR75*1.05</f>
        <v>1.0710000000000002</v>
      </c>
      <c r="CX75" s="430">
        <f>SUM(CT75:CW75)</f>
        <v>3.2130000000000001</v>
      </c>
      <c r="CY75" s="489">
        <f>CT75*1.05</f>
        <v>0</v>
      </c>
      <c r="CZ75" s="489">
        <f>CU75*1.05</f>
        <v>-1.1245500000000002</v>
      </c>
      <c r="DA75" s="489">
        <f>CV75*1.05</f>
        <v>3.37365</v>
      </c>
      <c r="DB75" s="489">
        <f>CW75*1.05</f>
        <v>1.1245500000000002</v>
      </c>
      <c r="DC75" s="430">
        <f>SUM(CY75:DB75)</f>
        <v>3.37365</v>
      </c>
      <c r="DD75" s="489">
        <f>CY75*1.05</f>
        <v>0</v>
      </c>
      <c r="DE75" s="489">
        <f>CZ75*1.05</f>
        <v>-1.1807775000000003</v>
      </c>
      <c r="DF75" s="489">
        <f>DA75*1.05</f>
        <v>3.5423325000000001</v>
      </c>
      <c r="DG75" s="489">
        <f>DB75*1.05</f>
        <v>1.1807775000000003</v>
      </c>
      <c r="DH75" s="430">
        <f>SUM(DD75:DG75)</f>
        <v>3.5423325000000006</v>
      </c>
      <c r="DI75" s="489">
        <f>DD75*1.05</f>
        <v>0</v>
      </c>
      <c r="DJ75" s="489">
        <f>DE75*1.05</f>
        <v>-1.2398163750000004</v>
      </c>
      <c r="DK75" s="489">
        <f>DF75*1.05</f>
        <v>3.7194491250000001</v>
      </c>
      <c r="DL75" s="489">
        <f>DG75*1.05</f>
        <v>1.2398163750000004</v>
      </c>
      <c r="DM75" s="430">
        <f>SUM(DI75:DL75)</f>
        <v>3.7194491249999997</v>
      </c>
      <c r="DN75" s="278"/>
    </row>
    <row r="76" spans="1:118" ht="3" customHeight="1" x14ac:dyDescent="0.2">
      <c r="A76" s="418"/>
      <c r="B76" s="418"/>
      <c r="C76" s="422"/>
      <c r="D76" s="422"/>
      <c r="E76" s="422"/>
      <c r="F76" s="422"/>
      <c r="G76" s="443"/>
      <c r="H76" s="422"/>
      <c r="I76" s="422"/>
      <c r="J76" s="422"/>
      <c r="K76" s="422"/>
      <c r="L76" s="443"/>
      <c r="M76" s="422"/>
      <c r="N76" s="422"/>
      <c r="O76" s="422"/>
      <c r="P76" s="422"/>
      <c r="Q76" s="443"/>
      <c r="R76" s="422"/>
      <c r="S76" s="422"/>
      <c r="T76" s="422"/>
      <c r="U76" s="422"/>
      <c r="V76" s="443"/>
      <c r="W76" s="422"/>
      <c r="X76" s="422"/>
      <c r="Y76" s="422"/>
      <c r="Z76" s="422"/>
      <c r="AA76" s="443"/>
      <c r="AB76" s="422"/>
      <c r="AC76" s="422"/>
      <c r="AD76" s="422"/>
      <c r="AE76" s="422"/>
      <c r="AF76" s="443"/>
      <c r="AG76" s="422"/>
      <c r="AH76" s="422"/>
      <c r="AI76" s="422"/>
      <c r="AJ76" s="422"/>
      <c r="AK76" s="443"/>
      <c r="AL76" s="422"/>
      <c r="AM76" s="422"/>
      <c r="AN76" s="422"/>
      <c r="AO76" s="422"/>
      <c r="AP76" s="443"/>
      <c r="AQ76" s="422"/>
      <c r="AR76" s="422"/>
      <c r="AS76" s="422"/>
      <c r="AT76" s="422"/>
      <c r="AU76" s="443"/>
      <c r="AV76" s="422"/>
      <c r="AW76" s="422"/>
      <c r="AX76" s="422"/>
      <c r="AY76" s="422"/>
      <c r="AZ76" s="443"/>
      <c r="BA76" s="422"/>
      <c r="BB76" s="422"/>
      <c r="BC76" s="422"/>
      <c r="BD76" s="418"/>
      <c r="BE76" s="443"/>
      <c r="BF76" s="418"/>
      <c r="BG76" s="418"/>
      <c r="BH76" s="422"/>
      <c r="BI76" s="422"/>
      <c r="BJ76" s="443"/>
      <c r="BK76" s="418"/>
      <c r="BL76" s="422"/>
      <c r="BM76" s="418"/>
      <c r="BN76" s="418"/>
      <c r="BO76" s="443"/>
      <c r="BP76" s="418"/>
      <c r="BQ76" s="418"/>
      <c r="BR76" s="418"/>
      <c r="BS76" s="418"/>
      <c r="BT76" s="443"/>
      <c r="BU76" s="418"/>
      <c r="BV76" s="418"/>
      <c r="BW76" s="418"/>
      <c r="BX76" s="418"/>
      <c r="BY76" s="443"/>
      <c r="BZ76" s="418"/>
      <c r="CA76" s="418"/>
      <c r="CB76" s="418"/>
      <c r="CC76" s="418"/>
      <c r="CD76" s="443"/>
      <c r="CE76" s="418"/>
      <c r="CF76" s="418"/>
      <c r="CG76" s="418"/>
      <c r="CH76" s="418"/>
      <c r="CI76" s="443"/>
      <c r="CJ76" s="418"/>
      <c r="CK76" s="418"/>
      <c r="CL76" s="418"/>
      <c r="CM76" s="418"/>
      <c r="CN76" s="443"/>
      <c r="CO76" s="418"/>
      <c r="CP76" s="418"/>
      <c r="CQ76" s="418"/>
      <c r="CR76" s="418"/>
      <c r="CS76" s="443"/>
      <c r="CT76" s="418"/>
      <c r="CU76" s="418"/>
      <c r="CV76" s="418"/>
      <c r="CW76" s="418"/>
      <c r="CX76" s="443"/>
      <c r="CY76" s="418"/>
      <c r="CZ76" s="418"/>
      <c r="DA76" s="418"/>
      <c r="DB76" s="418"/>
      <c r="DC76" s="443"/>
      <c r="DD76" s="418"/>
      <c r="DE76" s="418"/>
      <c r="DF76" s="418"/>
      <c r="DG76" s="418"/>
      <c r="DH76" s="443"/>
      <c r="DI76" s="418"/>
      <c r="DJ76" s="418"/>
      <c r="DK76" s="418"/>
      <c r="DL76" s="418"/>
      <c r="DM76" s="443"/>
      <c r="DN76" s="207"/>
    </row>
    <row r="77" spans="1:118" ht="16.5" customHeight="1" x14ac:dyDescent="0.25">
      <c r="A77" s="466" t="s">
        <v>207</v>
      </c>
      <c r="B77" s="422"/>
      <c r="C77" s="419">
        <f>C73+C68</f>
        <v>536.13</v>
      </c>
      <c r="D77" s="419">
        <f t="shared" ref="D77:AT77" si="106">D73+D75</f>
        <v>1053.171</v>
      </c>
      <c r="E77" s="419">
        <f t="shared" si="106"/>
        <v>1018.0983814391661</v>
      </c>
      <c r="F77" s="419">
        <f t="shared" si="106"/>
        <v>951.3</v>
      </c>
      <c r="G77" s="420">
        <f>G73+G75</f>
        <v>3558.6993814391662</v>
      </c>
      <c r="H77" s="419">
        <f t="shared" si="106"/>
        <v>872.9</v>
      </c>
      <c r="I77" s="419">
        <f t="shared" si="106"/>
        <v>1117.9000000000001</v>
      </c>
      <c r="J77" s="419">
        <f t="shared" si="106"/>
        <v>1010.8</v>
      </c>
      <c r="K77" s="419">
        <f t="shared" si="106"/>
        <v>914</v>
      </c>
      <c r="L77" s="420">
        <f>L73+L75</f>
        <v>3915.6</v>
      </c>
      <c r="M77" s="419">
        <f t="shared" si="106"/>
        <v>859.21</v>
      </c>
      <c r="N77" s="419">
        <f t="shared" si="106"/>
        <v>1222.75</v>
      </c>
      <c r="O77" s="419">
        <f t="shared" si="106"/>
        <v>1091.1675</v>
      </c>
      <c r="P77" s="419">
        <f t="shared" si="106"/>
        <v>929.743875</v>
      </c>
      <c r="Q77" s="420">
        <f>Q73+Q75</f>
        <v>4102.8713750000006</v>
      </c>
      <c r="R77" s="419">
        <f t="shared" si="106"/>
        <v>889.05</v>
      </c>
      <c r="S77" s="419">
        <f t="shared" si="106"/>
        <v>1331.5</v>
      </c>
      <c r="T77" s="419">
        <f t="shared" si="106"/>
        <v>1319.825</v>
      </c>
      <c r="U77" s="419">
        <f t="shared" si="106"/>
        <v>1033.8920000000001</v>
      </c>
      <c r="V77" s="420">
        <f>V73+V75</f>
        <v>4574.2669999999998</v>
      </c>
      <c r="W77" s="419">
        <f t="shared" si="106"/>
        <v>1127</v>
      </c>
      <c r="X77" s="419">
        <f t="shared" si="106"/>
        <v>1531.2224999999999</v>
      </c>
      <c r="Y77" s="419">
        <f t="shared" si="106"/>
        <v>1222</v>
      </c>
      <c r="Z77" s="419">
        <f t="shared" si="106"/>
        <v>1108.5309999999999</v>
      </c>
      <c r="AA77" s="420">
        <f>AA73+AA75</f>
        <v>4988.7534999999998</v>
      </c>
      <c r="AB77" s="419">
        <f t="shared" si="106"/>
        <v>1121</v>
      </c>
      <c r="AC77" s="419">
        <f t="shared" si="106"/>
        <v>1636.28</v>
      </c>
      <c r="AD77" s="419">
        <f t="shared" si="106"/>
        <v>1333.57</v>
      </c>
      <c r="AE77" s="419">
        <f t="shared" si="106"/>
        <v>1084.0050000000001</v>
      </c>
      <c r="AF77" s="420">
        <f>AF73+AF75</f>
        <v>5174.8549999999996</v>
      </c>
      <c r="AG77" s="419">
        <f t="shared" si="106"/>
        <v>1164.2</v>
      </c>
      <c r="AH77" s="419">
        <f t="shared" si="106"/>
        <v>1732</v>
      </c>
      <c r="AI77" s="419">
        <f t="shared" si="106"/>
        <v>1448</v>
      </c>
      <c r="AJ77" s="419">
        <f t="shared" si="106"/>
        <v>1226</v>
      </c>
      <c r="AK77" s="420">
        <f t="shared" si="106"/>
        <v>5570.2</v>
      </c>
      <c r="AL77" s="419">
        <f t="shared" si="106"/>
        <v>1290</v>
      </c>
      <c r="AM77" s="419">
        <f t="shared" si="106"/>
        <v>1981</v>
      </c>
      <c r="AN77" s="419">
        <f t="shared" si="106"/>
        <v>1662</v>
      </c>
      <c r="AO77" s="419">
        <f t="shared" si="106"/>
        <v>1356</v>
      </c>
      <c r="AP77" s="420">
        <f>AP73+AP75</f>
        <v>6289</v>
      </c>
      <c r="AQ77" s="419">
        <f t="shared" si="106"/>
        <v>1576</v>
      </c>
      <c r="AR77" s="419">
        <f t="shared" si="106"/>
        <v>2371</v>
      </c>
      <c r="AS77" s="419">
        <f t="shared" si="106"/>
        <v>1934</v>
      </c>
      <c r="AT77" s="419">
        <f t="shared" si="106"/>
        <v>1479</v>
      </c>
      <c r="AU77" s="420">
        <f>AU73+AU75</f>
        <v>7360</v>
      </c>
      <c r="AV77" s="419">
        <f t="shared" ref="AV77:BF77" si="107">AV73+AV75</f>
        <v>1511</v>
      </c>
      <c r="AW77" s="419">
        <f t="shared" si="107"/>
        <v>2140</v>
      </c>
      <c r="AX77" s="419">
        <f t="shared" si="107"/>
        <v>1879</v>
      </c>
      <c r="AY77" s="419">
        <f t="shared" si="107"/>
        <v>1547</v>
      </c>
      <c r="AZ77" s="420">
        <f t="shared" si="107"/>
        <v>7077</v>
      </c>
      <c r="BA77" s="419">
        <f t="shared" si="107"/>
        <v>1857</v>
      </c>
      <c r="BB77" s="419">
        <f t="shared" si="107"/>
        <v>2457</v>
      </c>
      <c r="BC77" s="419">
        <f t="shared" si="107"/>
        <v>2145</v>
      </c>
      <c r="BD77" s="419">
        <f t="shared" si="107"/>
        <v>1684</v>
      </c>
      <c r="BE77" s="420">
        <f t="shared" si="107"/>
        <v>8143</v>
      </c>
      <c r="BF77" s="419">
        <f t="shared" si="107"/>
        <v>1994</v>
      </c>
      <c r="BG77" s="419">
        <f t="shared" ref="BG77:CX77" si="108">BG73+BG75</f>
        <v>2722</v>
      </c>
      <c r="BH77" s="419">
        <f t="shared" si="108"/>
        <v>2398</v>
      </c>
      <c r="BI77" s="419">
        <f t="shared" si="108"/>
        <v>1818</v>
      </c>
      <c r="BJ77" s="420">
        <f>BJ73+BJ75</f>
        <v>8932</v>
      </c>
      <c r="BK77" s="419">
        <f t="shared" si="108"/>
        <v>2048</v>
      </c>
      <c r="BL77" s="419">
        <f t="shared" si="108"/>
        <v>2791</v>
      </c>
      <c r="BM77" s="419">
        <f t="shared" si="108"/>
        <v>2331</v>
      </c>
      <c r="BN77" s="419">
        <f t="shared" si="108"/>
        <v>2047</v>
      </c>
      <c r="BO77" s="420">
        <f t="shared" si="108"/>
        <v>9217</v>
      </c>
      <c r="BP77" s="419">
        <f t="shared" si="108"/>
        <v>2066</v>
      </c>
      <c r="BQ77" s="419">
        <f t="shared" si="108"/>
        <v>2869</v>
      </c>
      <c r="BR77" s="419">
        <f t="shared" si="108"/>
        <v>2382</v>
      </c>
      <c r="BS77" s="419">
        <f>BS73+BS75</f>
        <v>2057</v>
      </c>
      <c r="BT77" s="420">
        <f t="shared" si="108"/>
        <v>9374</v>
      </c>
      <c r="BU77" s="419">
        <f>BU73+BU75</f>
        <v>1949</v>
      </c>
      <c r="BV77" s="419">
        <f>BV73+BV75</f>
        <v>2853</v>
      </c>
      <c r="BW77" s="419">
        <f>BW73+BW75</f>
        <v>2354</v>
      </c>
      <c r="BX77" s="419">
        <f>BX73+BX75</f>
        <v>1935</v>
      </c>
      <c r="BY77" s="420">
        <f>BY73+BY75</f>
        <v>9091</v>
      </c>
      <c r="BZ77" s="419">
        <f t="shared" si="108"/>
        <v>2104</v>
      </c>
      <c r="CA77" s="419">
        <f t="shared" si="108"/>
        <v>2781</v>
      </c>
      <c r="CB77" s="419">
        <f t="shared" si="108"/>
        <v>2234</v>
      </c>
      <c r="CC77" s="419">
        <f t="shared" si="108"/>
        <v>1678</v>
      </c>
      <c r="CD77" s="420">
        <f t="shared" si="108"/>
        <v>8797</v>
      </c>
      <c r="CE77" s="419">
        <f t="shared" si="108"/>
        <v>1992</v>
      </c>
      <c r="CF77" s="419">
        <f>CF73+CF75</f>
        <v>2619</v>
      </c>
      <c r="CG77" s="419">
        <f>CG73+CG75</f>
        <v>2150</v>
      </c>
      <c r="CH77" s="419">
        <f t="shared" si="108"/>
        <v>1587</v>
      </c>
      <c r="CI77" s="420">
        <f t="shared" si="108"/>
        <v>8348</v>
      </c>
      <c r="CJ77" s="419">
        <f t="shared" si="108"/>
        <v>1879</v>
      </c>
      <c r="CK77" s="419">
        <f t="shared" si="108"/>
        <v>2546</v>
      </c>
      <c r="CL77" s="419">
        <f t="shared" si="108"/>
        <v>2176</v>
      </c>
      <c r="CM77" s="419">
        <f t="shared" si="108"/>
        <v>1675</v>
      </c>
      <c r="CN77" s="420">
        <f t="shared" si="108"/>
        <v>8276</v>
      </c>
      <c r="CO77" s="419">
        <f t="shared" si="108"/>
        <v>2023</v>
      </c>
      <c r="CP77" s="419">
        <f t="shared" ca="1" si="108"/>
        <v>2612.4210359427429</v>
      </c>
      <c r="CQ77" s="419">
        <f t="shared" ca="1" si="108"/>
        <v>2433.0450269136941</v>
      </c>
      <c r="CR77" s="419">
        <f t="shared" ca="1" si="108"/>
        <v>1932.3714645210616</v>
      </c>
      <c r="CS77" s="420">
        <f t="shared" ca="1" si="108"/>
        <v>9000.8375273774982</v>
      </c>
      <c r="CT77" s="419">
        <f t="shared" ca="1" si="108"/>
        <v>2150.8209665176564</v>
      </c>
      <c r="CU77" s="419">
        <f t="shared" ca="1" si="108"/>
        <v>2774.7304479174554</v>
      </c>
      <c r="CV77" s="419">
        <f t="shared" ca="1" si="108"/>
        <v>2590.6183025173436</v>
      </c>
      <c r="CW77" s="419">
        <f t="shared" ca="1" si="108"/>
        <v>2072.0673766192026</v>
      </c>
      <c r="CX77" s="420">
        <f t="shared" ca="1" si="108"/>
        <v>9588.2370935716572</v>
      </c>
      <c r="CY77" s="419">
        <f t="shared" ref="CY77:DH77" ca="1" si="109">CY73+CY75</f>
        <v>2306.7729418675858</v>
      </c>
      <c r="CZ77" s="419">
        <f t="shared" ca="1" si="109"/>
        <v>2965.153099786758</v>
      </c>
      <c r="DA77" s="419">
        <f t="shared" ca="1" si="109"/>
        <v>2772.8492663688712</v>
      </c>
      <c r="DB77" s="419">
        <f t="shared" ca="1" si="109"/>
        <v>2226.7642802323844</v>
      </c>
      <c r="DC77" s="420">
        <f t="shared" ca="1" si="109"/>
        <v>10271.539588255599</v>
      </c>
      <c r="DD77" s="419">
        <f t="shared" ca="1" si="109"/>
        <v>2463.2134579852427</v>
      </c>
      <c r="DE77" s="419">
        <f t="shared" ca="1" si="109"/>
        <v>3154.9636481719585</v>
      </c>
      <c r="DF77" s="419">
        <f t="shared" ca="1" si="109"/>
        <v>2954.7482483406311</v>
      </c>
      <c r="DG77" s="419">
        <f t="shared" ca="1" si="109"/>
        <v>2381.8139738682257</v>
      </c>
      <c r="DH77" s="420">
        <f t="shared" ca="1" si="109"/>
        <v>10954.739328366057</v>
      </c>
      <c r="DI77" s="419">
        <f ca="1">DI73+DI75</f>
        <v>2617.2167356298482</v>
      </c>
      <c r="DJ77" s="419">
        <f ca="1">DJ73+DJ75</f>
        <v>3343.3529195195856</v>
      </c>
      <c r="DK77" s="419">
        <f ca="1">DK73+DK75</f>
        <v>3134.9551791388863</v>
      </c>
      <c r="DL77" s="419">
        <f ca="1">DL73+DL75</f>
        <v>2534.5332536035344</v>
      </c>
      <c r="DM77" s="420">
        <f ca="1">DM73+DM75</f>
        <v>11630.058087891854</v>
      </c>
      <c r="DN77" s="278"/>
    </row>
    <row r="78" spans="1:118" ht="16.5" customHeight="1" x14ac:dyDescent="0.25">
      <c r="A78" s="509"/>
      <c r="B78" s="510"/>
      <c r="C78" s="511"/>
      <c r="D78" s="511"/>
      <c r="E78" s="511"/>
      <c r="F78" s="511"/>
      <c r="G78" s="512"/>
      <c r="H78" s="511"/>
      <c r="I78" s="511"/>
      <c r="J78" s="511"/>
      <c r="K78" s="511"/>
      <c r="L78" s="512"/>
      <c r="M78" s="511"/>
      <c r="N78" s="511"/>
      <c r="O78" s="511"/>
      <c r="P78" s="511"/>
      <c r="Q78" s="512"/>
      <c r="R78" s="511"/>
      <c r="S78" s="511"/>
      <c r="T78" s="511"/>
      <c r="U78" s="511"/>
      <c r="V78" s="512"/>
      <c r="W78" s="511"/>
      <c r="X78" s="511"/>
      <c r="Y78" s="511"/>
      <c r="Z78" s="511"/>
      <c r="AA78" s="512"/>
      <c r="AB78" s="511"/>
      <c r="AC78" s="511"/>
      <c r="AD78" s="511"/>
      <c r="AE78" s="511"/>
      <c r="AF78" s="512"/>
      <c r="AG78" s="511"/>
      <c r="AH78" s="511"/>
      <c r="AI78" s="511"/>
      <c r="AJ78" s="511"/>
      <c r="AK78" s="512"/>
      <c r="AL78" s="511"/>
      <c r="AM78" s="511"/>
      <c r="AN78" s="511"/>
      <c r="AO78" s="511"/>
      <c r="AP78" s="512"/>
      <c r="AQ78" s="511"/>
      <c r="AR78" s="511"/>
      <c r="AS78" s="511"/>
      <c r="AT78" s="511"/>
      <c r="AU78" s="512"/>
      <c r="AV78" s="511"/>
      <c r="AW78" s="511"/>
      <c r="AX78" s="511"/>
      <c r="AY78" s="511"/>
      <c r="AZ78" s="512"/>
      <c r="BA78" s="511"/>
      <c r="BB78" s="511"/>
      <c r="BC78" s="511"/>
      <c r="BD78" s="513"/>
      <c r="BE78" s="514"/>
      <c r="BF78" s="515"/>
      <c r="BG78" s="515"/>
      <c r="BH78" s="511"/>
      <c r="BI78" s="513"/>
      <c r="BJ78" s="514"/>
      <c r="BK78" s="513"/>
      <c r="BL78" s="516"/>
      <c r="BM78" s="513"/>
      <c r="BN78" s="513"/>
      <c r="BO78" s="514"/>
      <c r="BP78" s="513"/>
      <c r="BQ78" s="513"/>
      <c r="BR78" s="513"/>
      <c r="BS78" s="513"/>
      <c r="BT78" s="514"/>
      <c r="BU78" s="537"/>
      <c r="BV78" s="537"/>
      <c r="BW78" s="537"/>
      <c r="BX78" s="537"/>
      <c r="BY78" s="538"/>
      <c r="BZ78" s="537"/>
      <c r="CA78" s="537"/>
      <c r="CB78" s="537"/>
      <c r="CC78" s="537"/>
      <c r="CD78" s="538"/>
      <c r="CE78" s="513"/>
      <c r="CF78" s="513"/>
      <c r="CG78" s="513"/>
      <c r="CH78" s="513"/>
      <c r="CI78" s="514"/>
      <c r="CJ78" s="674"/>
      <c r="CK78" s="513"/>
      <c r="CL78" s="513"/>
      <c r="CM78" s="513"/>
      <c r="CN78" s="514"/>
      <c r="CO78" s="513"/>
      <c r="CP78" s="513"/>
      <c r="CQ78" s="513"/>
      <c r="CR78" s="513"/>
      <c r="CS78" s="514"/>
      <c r="CT78" s="513"/>
      <c r="CU78" s="513"/>
      <c r="CV78" s="513"/>
      <c r="CW78" s="513"/>
      <c r="CX78" s="514"/>
      <c r="CY78" s="513"/>
      <c r="CZ78" s="513"/>
      <c r="DA78" s="513"/>
      <c r="DB78" s="513"/>
      <c r="DC78" s="514"/>
      <c r="DD78" s="513"/>
      <c r="DE78" s="513"/>
      <c r="DF78" s="513"/>
      <c r="DG78" s="513"/>
      <c r="DH78" s="514"/>
      <c r="DI78" s="513"/>
      <c r="DJ78" s="513"/>
      <c r="DK78" s="513"/>
      <c r="DL78" s="513"/>
      <c r="DM78" s="514"/>
      <c r="DN78" s="284"/>
    </row>
    <row r="79" spans="1:118" ht="16.5" customHeight="1" x14ac:dyDescent="0.25">
      <c r="A79" s="417" t="s">
        <v>38</v>
      </c>
      <c r="B79" s="418"/>
      <c r="C79" s="517">
        <f t="shared" ref="C79:AH79" si="110">C77/C90</f>
        <v>0.10844053398058252</v>
      </c>
      <c r="D79" s="517">
        <f t="shared" si="110"/>
        <v>0.21233286290322581</v>
      </c>
      <c r="E79" s="517">
        <f t="shared" si="110"/>
        <v>0.20451956236222701</v>
      </c>
      <c r="F79" s="517">
        <f t="shared" si="110"/>
        <v>0.19056490384615385</v>
      </c>
      <c r="G79" s="518">
        <f t="shared" si="110"/>
        <v>0.70862193975292043</v>
      </c>
      <c r="H79" s="517">
        <f t="shared" si="110"/>
        <v>0.17528112449799196</v>
      </c>
      <c r="I79" s="517">
        <f t="shared" si="110"/>
        <v>0.22465836012861737</v>
      </c>
      <c r="J79" s="517">
        <f t="shared" si="110"/>
        <v>0.20313504823151124</v>
      </c>
      <c r="K79" s="517">
        <f t="shared" si="110"/>
        <v>0.18375552874949738</v>
      </c>
      <c r="L79" s="518">
        <f t="shared" si="110"/>
        <v>0.7868180448106098</v>
      </c>
      <c r="M79" s="517">
        <f t="shared" si="110"/>
        <v>0.17287927565392355</v>
      </c>
      <c r="N79" s="517">
        <f t="shared" si="110"/>
        <v>0.24572950160771703</v>
      </c>
      <c r="O79" s="517">
        <f t="shared" si="110"/>
        <v>0.21981617647058824</v>
      </c>
      <c r="P79" s="517">
        <f t="shared" si="110"/>
        <v>0.187599651937046</v>
      </c>
      <c r="Q79" s="518">
        <f t="shared" si="110"/>
        <v>0.82610920668478816</v>
      </c>
      <c r="R79" s="517">
        <f t="shared" si="110"/>
        <v>0.17982402912621359</v>
      </c>
      <c r="S79" s="517">
        <f t="shared" si="110"/>
        <v>0.26997161394971614</v>
      </c>
      <c r="T79" s="517">
        <f t="shared" si="110"/>
        <v>0.26847538649308383</v>
      </c>
      <c r="U79" s="517">
        <f t="shared" si="110"/>
        <v>0.21082626427406201</v>
      </c>
      <c r="V79" s="518">
        <f t="shared" si="110"/>
        <v>0.92897380178716482</v>
      </c>
      <c r="W79" s="517">
        <f t="shared" si="110"/>
        <v>0.23056464811783961</v>
      </c>
      <c r="X79" s="517">
        <f t="shared" si="110"/>
        <v>0.31454858258011503</v>
      </c>
      <c r="Y79" s="517">
        <f t="shared" si="110"/>
        <v>0.25206270627062705</v>
      </c>
      <c r="Z79" s="517">
        <f t="shared" si="110"/>
        <v>0.2295095238095238</v>
      </c>
      <c r="AA79" s="518">
        <f t="shared" si="110"/>
        <v>1.0269150885137917</v>
      </c>
      <c r="AB79" s="517">
        <f t="shared" si="110"/>
        <v>0.23257261410788382</v>
      </c>
      <c r="AC79" s="517">
        <f t="shared" si="110"/>
        <v>0.34074968763015412</v>
      </c>
      <c r="AD79" s="517">
        <f t="shared" si="110"/>
        <v>0.27957442348008382</v>
      </c>
      <c r="AE79" s="517">
        <f t="shared" si="110"/>
        <v>0.22821157894736843</v>
      </c>
      <c r="AF79" s="518">
        <f t="shared" si="110"/>
        <v>1.0813614042419808</v>
      </c>
      <c r="AG79" s="517">
        <f t="shared" si="110"/>
        <v>0.24602704987320373</v>
      </c>
      <c r="AH79" s="517">
        <f t="shared" si="110"/>
        <v>0.36819727891156462</v>
      </c>
      <c r="AI79" s="517">
        <f t="shared" ref="AI79:BN79" si="111">AI77/AI90</f>
        <v>0.30900554844216815</v>
      </c>
      <c r="AJ79" s="517">
        <f t="shared" si="111"/>
        <v>0.26185390858607432</v>
      </c>
      <c r="AK79" s="518">
        <f t="shared" si="111"/>
        <v>1.1848968304616039</v>
      </c>
      <c r="AL79" s="517">
        <f t="shared" si="111"/>
        <v>0.27789745799224475</v>
      </c>
      <c r="AM79" s="517">
        <f t="shared" si="111"/>
        <v>0.42583834909716251</v>
      </c>
      <c r="AN79" s="517">
        <f t="shared" si="111"/>
        <v>0.35649935649935649</v>
      </c>
      <c r="AO79" s="517">
        <f t="shared" si="111"/>
        <v>0.28887942053685556</v>
      </c>
      <c r="AP79" s="518">
        <f t="shared" si="111"/>
        <v>1.3488471849865953</v>
      </c>
      <c r="AQ79" s="517">
        <f t="shared" si="111"/>
        <v>0.33517652062951936</v>
      </c>
      <c r="AR79" s="517">
        <f t="shared" si="111"/>
        <v>0.50597524541186512</v>
      </c>
      <c r="AS79" s="517">
        <f t="shared" si="111"/>
        <v>0.41519965650493773</v>
      </c>
      <c r="AT79" s="517">
        <f t="shared" si="111"/>
        <v>0.31861266695389917</v>
      </c>
      <c r="AU79" s="518">
        <f t="shared" si="111"/>
        <v>1.5753424657534247</v>
      </c>
      <c r="AV79" s="517">
        <f t="shared" si="111"/>
        <v>0.32578697714532123</v>
      </c>
      <c r="AW79" s="517">
        <f t="shared" si="111"/>
        <v>0.46061127851915629</v>
      </c>
      <c r="AX79" s="517">
        <f t="shared" si="111"/>
        <v>0.40287307032590053</v>
      </c>
      <c r="AY79" s="517">
        <f t="shared" si="111"/>
        <v>0.33027327070879592</v>
      </c>
      <c r="AZ79" s="518">
        <f t="shared" si="111"/>
        <v>1.5193215972520395</v>
      </c>
      <c r="BA79" s="517">
        <f t="shared" si="111"/>
        <v>0.39901160292221743</v>
      </c>
      <c r="BB79" s="517">
        <f t="shared" si="111"/>
        <v>0.5283870967741936</v>
      </c>
      <c r="BC79" s="517">
        <f t="shared" si="111"/>
        <v>0.4591181506849315</v>
      </c>
      <c r="BD79" s="519">
        <f t="shared" si="111"/>
        <v>0.35845040442741594</v>
      </c>
      <c r="BE79" s="518">
        <f t="shared" si="111"/>
        <v>1.7451778825546507</v>
      </c>
      <c r="BF79" s="519">
        <f t="shared" si="111"/>
        <v>0.42771342771342774</v>
      </c>
      <c r="BG79" s="519">
        <f t="shared" si="111"/>
        <v>0.58412017167381969</v>
      </c>
      <c r="BH79" s="517">
        <f t="shared" si="111"/>
        <v>0.51547721410146174</v>
      </c>
      <c r="BI79" s="519">
        <f t="shared" si="111"/>
        <v>0.39418907198612313</v>
      </c>
      <c r="BJ79" s="518">
        <f t="shared" si="111"/>
        <v>1.9223071128806628</v>
      </c>
      <c r="BK79" s="519">
        <f t="shared" si="111"/>
        <v>0.44502390265102132</v>
      </c>
      <c r="BL79" s="517">
        <f t="shared" si="111"/>
        <v>0.60779616724738672</v>
      </c>
      <c r="BM79" s="519">
        <f t="shared" si="111"/>
        <v>0.50817527795945061</v>
      </c>
      <c r="BN79" s="519">
        <f t="shared" si="111"/>
        <v>0.44919903445249065</v>
      </c>
      <c r="BO79" s="518">
        <f t="shared" ref="BO79:CX79" si="112">BO77/BO90</f>
        <v>2.0106893542757418</v>
      </c>
      <c r="BP79" s="519">
        <f t="shared" si="112"/>
        <v>0.45607064017660043</v>
      </c>
      <c r="BQ79" s="519">
        <f t="shared" si="112"/>
        <v>0.63375303733156618</v>
      </c>
      <c r="BR79" s="519">
        <f t="shared" si="112"/>
        <v>0.52956869719875499</v>
      </c>
      <c r="BS79" s="519">
        <f t="shared" si="112"/>
        <v>0.45894689870593486</v>
      </c>
      <c r="BT79" s="518">
        <f t="shared" si="112"/>
        <v>2.0788379442257581</v>
      </c>
      <c r="BU79" s="519">
        <f>BU77/BU90</f>
        <v>0.43660394265232977</v>
      </c>
      <c r="BV79" s="519">
        <f>BV77/BV90</f>
        <v>0.64054782218230799</v>
      </c>
      <c r="BW79" s="519">
        <f>BW77/BW90</f>
        <v>0.52958380202474686</v>
      </c>
      <c r="BX79" s="519">
        <f>BX77/BX90</f>
        <v>0.43610547667342797</v>
      </c>
      <c r="BY79" s="518">
        <f>BY77/BY90</f>
        <v>2.0429213483146067</v>
      </c>
      <c r="BZ79" s="519">
        <f t="shared" si="112"/>
        <v>0.47580280416101312</v>
      </c>
      <c r="CA79" s="519">
        <f>CA77/CA90</f>
        <v>0.6308983666061706</v>
      </c>
      <c r="CB79" s="519">
        <f t="shared" si="112"/>
        <v>0.50784269152080019</v>
      </c>
      <c r="CC79" s="519">
        <f t="shared" si="112"/>
        <v>0.38223234624145785</v>
      </c>
      <c r="CD79" s="518">
        <f t="shared" si="112"/>
        <v>1.9971621544923095</v>
      </c>
      <c r="CE79" s="519">
        <f t="shared" si="112"/>
        <v>0.45458694659972615</v>
      </c>
      <c r="CF79" s="519">
        <f t="shared" si="112"/>
        <v>0.59835503769705278</v>
      </c>
      <c r="CG79" s="519">
        <f t="shared" si="112"/>
        <v>0.49266727772685609</v>
      </c>
      <c r="CH79" s="519">
        <f t="shared" si="112"/>
        <v>0.36524741081703105</v>
      </c>
      <c r="CI79" s="518">
        <f t="shared" si="112"/>
        <v>1.9116098007785665</v>
      </c>
      <c r="CJ79" s="519">
        <f t="shared" si="112"/>
        <v>0.43354868481772035</v>
      </c>
      <c r="CK79" s="519">
        <f t="shared" si="112"/>
        <v>0.58839842847238266</v>
      </c>
      <c r="CL79" s="519">
        <f t="shared" si="112"/>
        <v>0.50370370370370365</v>
      </c>
      <c r="CM79" s="519">
        <f t="shared" si="112"/>
        <v>0.38818076477404401</v>
      </c>
      <c r="CN79" s="518">
        <f t="shared" si="112"/>
        <v>1.913968547641073</v>
      </c>
      <c r="CO79" s="519">
        <f t="shared" si="112"/>
        <v>0.46980956804458895</v>
      </c>
      <c r="CP79" s="519">
        <f t="shared" ca="1" si="112"/>
        <v>0.60676368271809145</v>
      </c>
      <c r="CQ79" s="519">
        <f t="shared" ca="1" si="112"/>
        <v>0.56523290205916921</v>
      </c>
      <c r="CR79" s="519">
        <f t="shared" ca="1" si="112"/>
        <v>0.44886677456935231</v>
      </c>
      <c r="CS79" s="518">
        <f t="shared" ca="1" si="112"/>
        <v>2.0906654729405956</v>
      </c>
      <c r="CT79" s="519">
        <f t="shared" ca="1" si="112"/>
        <v>0.49956646436550972</v>
      </c>
      <c r="CU79" s="519">
        <f t="shared" ca="1" si="112"/>
        <v>0.64466771943599577</v>
      </c>
      <c r="CV79" s="519">
        <f t="shared" ca="1" si="112"/>
        <v>0.60206682799694244</v>
      </c>
      <c r="CW79" s="519">
        <f t="shared" ca="1" si="112"/>
        <v>0.48169409853699535</v>
      </c>
      <c r="CX79" s="518">
        <f t="shared" ca="1" si="112"/>
        <v>2.2280090841342295</v>
      </c>
      <c r="CY79" s="519">
        <f t="shared" ref="CY79:DH79" ca="1" si="113">CY77/CY90</f>
        <v>0.53641204357005745</v>
      </c>
      <c r="CZ79" s="519">
        <f t="shared" ca="1" si="113"/>
        <v>0.6897108364578276</v>
      </c>
      <c r="DA79" s="519">
        <f t="shared" ca="1" si="113"/>
        <v>0.64516749937326501</v>
      </c>
      <c r="DB79" s="519">
        <f t="shared" ca="1" si="113"/>
        <v>0.51825893119189703</v>
      </c>
      <c r="DC79" s="518">
        <f t="shared" ca="1" si="113"/>
        <v>2.3895637055381176</v>
      </c>
      <c r="DD79" s="519">
        <f t="shared" ca="1" si="113"/>
        <v>0.57342376440802978</v>
      </c>
      <c r="DE79" s="519">
        <f t="shared" ca="1" si="113"/>
        <v>0.73458800271764801</v>
      </c>
      <c r="DF79" s="519">
        <f t="shared" ca="1" si="113"/>
        <v>0.6880908795949422</v>
      </c>
      <c r="DG79" s="519">
        <f t="shared" ca="1" si="113"/>
        <v>0.55476495155168737</v>
      </c>
      <c r="DH79" s="518">
        <f t="shared" ca="1" si="113"/>
        <v>2.5508765463653642</v>
      </c>
      <c r="DI79" s="519">
        <f ca="1">DI77/DI90</f>
        <v>0.60966525594848398</v>
      </c>
      <c r="DJ79" s="519">
        <f ca="1">DJ77/DJ90</f>
        <v>0.77885976984236582</v>
      </c>
      <c r="DK79" s="519">
        <f ca="1">DK77/DK90</f>
        <v>0.73035444925918314</v>
      </c>
      <c r="DL79" s="519">
        <f ca="1">DL77/DL90</f>
        <v>0.59050779126971709</v>
      </c>
      <c r="DM79" s="518">
        <f ca="1">DM77/DM90</f>
        <v>2.7093903524500531</v>
      </c>
      <c r="DN79" s="278"/>
    </row>
    <row r="80" spans="1:118" ht="16.5" customHeight="1" x14ac:dyDescent="0.2">
      <c r="A80" s="418"/>
      <c r="B80" s="520" t="s">
        <v>39</v>
      </c>
      <c r="C80" s="423"/>
      <c r="D80" s="423"/>
      <c r="E80" s="423"/>
      <c r="F80" s="423"/>
      <c r="G80" s="424"/>
      <c r="H80" s="423"/>
      <c r="I80" s="423"/>
      <c r="J80" s="423"/>
      <c r="K80" s="423"/>
      <c r="L80" s="424"/>
      <c r="M80" s="423">
        <f t="shared" ref="M80:AZ80" si="114">M79/H79-1</f>
        <v>-1.3702837946455104E-2</v>
      </c>
      <c r="N80" s="423">
        <f t="shared" si="114"/>
        <v>9.379193129975838E-2</v>
      </c>
      <c r="O80" s="423">
        <f t="shared" si="114"/>
        <v>8.2118415233129349E-2</v>
      </c>
      <c r="P80" s="423">
        <f t="shared" si="114"/>
        <v>2.0919768856528353E-2</v>
      </c>
      <c r="Q80" s="424">
        <f t="shared" si="114"/>
        <v>4.993678288559833E-2</v>
      </c>
      <c r="R80" s="423">
        <f t="shared" si="114"/>
        <v>4.0171116208239432E-2</v>
      </c>
      <c r="S80" s="423">
        <f t="shared" si="114"/>
        <v>9.8653650389521674E-2</v>
      </c>
      <c r="T80" s="423">
        <f t="shared" si="114"/>
        <v>0.22136318993341364</v>
      </c>
      <c r="U80" s="423">
        <f t="shared" si="114"/>
        <v>0.12380946391526515</v>
      </c>
      <c r="V80" s="424">
        <f t="shared" si="114"/>
        <v>0.12451694554425408</v>
      </c>
      <c r="W80" s="423">
        <f t="shared" si="114"/>
        <v>0.28216817984882625</v>
      </c>
      <c r="X80" s="423">
        <f t="shared" si="114"/>
        <v>0.16511724317320864</v>
      </c>
      <c r="Y80" s="423">
        <f t="shared" si="114"/>
        <v>-6.1132904721154402E-2</v>
      </c>
      <c r="Z80" s="423">
        <f t="shared" si="114"/>
        <v>8.861922208693418E-2</v>
      </c>
      <c r="AA80" s="424">
        <f t="shared" si="114"/>
        <v>0.10542954660099868</v>
      </c>
      <c r="AB80" s="423">
        <f t="shared" si="114"/>
        <v>8.7089066187542308E-3</v>
      </c>
      <c r="AC80" s="423">
        <f t="shared" si="114"/>
        <v>8.3297482491009767E-2</v>
      </c>
      <c r="AD80" s="423">
        <f t="shared" si="114"/>
        <v>0.10914632162966154</v>
      </c>
      <c r="AE80" s="423">
        <f t="shared" si="114"/>
        <v>-5.6552984844000509E-3</v>
      </c>
      <c r="AF80" s="424">
        <f t="shared" si="114"/>
        <v>5.3019296665498317E-2</v>
      </c>
      <c r="AG80" s="423">
        <f t="shared" si="114"/>
        <v>5.7850473139020364E-2</v>
      </c>
      <c r="AH80" s="423">
        <f t="shared" si="114"/>
        <v>8.0550598512072025E-2</v>
      </c>
      <c r="AI80" s="423">
        <f t="shared" si="114"/>
        <v>0.10527116392026081</v>
      </c>
      <c r="AJ80" s="423">
        <f t="shared" si="114"/>
        <v>0.14741727739618637</v>
      </c>
      <c r="AK80" s="424">
        <f t="shared" si="114"/>
        <v>9.5745442562932936E-2</v>
      </c>
      <c r="AL80" s="423">
        <f t="shared" si="114"/>
        <v>0.12954026045293077</v>
      </c>
      <c r="AM80" s="423">
        <f t="shared" si="114"/>
        <v>0.15654941925695876</v>
      </c>
      <c r="AN80" s="423">
        <f t="shared" si="114"/>
        <v>0.15369888436186785</v>
      </c>
      <c r="AO80" s="423">
        <f t="shared" si="114"/>
        <v>0.10320835803715966</v>
      </c>
      <c r="AP80" s="424">
        <f t="shared" si="114"/>
        <v>0.13836677616997317</v>
      </c>
      <c r="AQ80" s="423">
        <f t="shared" si="114"/>
        <v>0.20611582074591372</v>
      </c>
      <c r="AR80" s="423">
        <f t="shared" si="114"/>
        <v>0.18818618962947831</v>
      </c>
      <c r="AS80" s="423">
        <f t="shared" si="114"/>
        <v>0.16465752023226221</v>
      </c>
      <c r="AT80" s="423">
        <f t="shared" si="114"/>
        <v>0.10292614947020851</v>
      </c>
      <c r="AU80" s="424">
        <f t="shared" si="114"/>
        <v>0.16791767317146489</v>
      </c>
      <c r="AV80" s="423">
        <f t="shared" si="114"/>
        <v>-2.801372681643377E-2</v>
      </c>
      <c r="AW80" s="423">
        <f t="shared" si="114"/>
        <v>-8.9656494668592823E-2</v>
      </c>
      <c r="AX80" s="423">
        <f t="shared" si="114"/>
        <v>-2.9688334240928316E-2</v>
      </c>
      <c r="AY80" s="423">
        <f t="shared" si="114"/>
        <v>3.6598054516721268E-2</v>
      </c>
      <c r="AZ80" s="424">
        <f t="shared" si="114"/>
        <v>-3.5561073048705372E-2</v>
      </c>
      <c r="BA80" s="423">
        <f t="shared" ref="BA80:CF80" si="115">BA79/AV79-1</f>
        <v>0.22476228613715721</v>
      </c>
      <c r="BB80" s="423">
        <f t="shared" si="115"/>
        <v>0.14714320168827255</v>
      </c>
      <c r="BC80" s="423">
        <f t="shared" si="115"/>
        <v>0.13960992804391714</v>
      </c>
      <c r="BD80" s="436">
        <f t="shared" si="115"/>
        <v>8.5314605260514709E-2</v>
      </c>
      <c r="BE80" s="424">
        <f t="shared" si="115"/>
        <v>0.14865600917614286</v>
      </c>
      <c r="BF80" s="436">
        <f t="shared" si="115"/>
        <v>7.1932306181094585E-2</v>
      </c>
      <c r="BG80" s="436">
        <f t="shared" si="115"/>
        <v>0.1054777363790238</v>
      </c>
      <c r="BH80" s="423">
        <f t="shared" si="115"/>
        <v>0.12275503229931428</v>
      </c>
      <c r="BI80" s="436">
        <f t="shared" si="115"/>
        <v>9.9703242393590408E-2</v>
      </c>
      <c r="BJ80" s="424">
        <f t="shared" si="115"/>
        <v>0.10149637586898841</v>
      </c>
      <c r="BK80" s="436">
        <f t="shared" si="115"/>
        <v>4.0472133479970474E-2</v>
      </c>
      <c r="BL80" s="423">
        <f t="shared" si="115"/>
        <v>4.0532747749016274E-2</v>
      </c>
      <c r="BM80" s="436">
        <f t="shared" si="115"/>
        <v>-1.4165390714193427E-2</v>
      </c>
      <c r="BN80" s="436">
        <f t="shared" si="115"/>
        <v>0.13955222601478945</v>
      </c>
      <c r="BO80" s="424">
        <f t="shared" si="115"/>
        <v>4.5977170246555676E-2</v>
      </c>
      <c r="BP80" s="436">
        <f t="shared" si="115"/>
        <v>2.482279594370862E-2</v>
      </c>
      <c r="BQ80" s="436">
        <f t="shared" si="115"/>
        <v>4.2706537952903023E-2</v>
      </c>
      <c r="BR80" s="436">
        <f t="shared" si="115"/>
        <v>4.209850452625008E-2</v>
      </c>
      <c r="BS80" s="436">
        <f t="shared" si="115"/>
        <v>2.1700545873446719E-2</v>
      </c>
      <c r="BT80" s="424">
        <f t="shared" si="115"/>
        <v>3.3893147046856198E-2</v>
      </c>
      <c r="BU80" s="436">
        <f t="shared" si="115"/>
        <v>-4.2683513932694095E-2</v>
      </c>
      <c r="BV80" s="436">
        <f t="shared" si="115"/>
        <v>1.0721502620881118E-2</v>
      </c>
      <c r="BW80" s="436">
        <f>BW79/BR79-1</f>
        <v>2.8522883002368715E-5</v>
      </c>
      <c r="BX80" s="436">
        <f>BX79/BS79-1</f>
        <v>-4.9769204448077753E-2</v>
      </c>
      <c r="BY80" s="424">
        <f t="shared" si="115"/>
        <v>-1.7277246651627887E-2</v>
      </c>
      <c r="BZ80" s="436">
        <f t="shared" si="115"/>
        <v>8.9781281567348659E-2</v>
      </c>
      <c r="CA80" s="436">
        <f t="shared" si="115"/>
        <v>-1.5064379648130344E-2</v>
      </c>
      <c r="CB80" s="436">
        <f t="shared" si="115"/>
        <v>-4.1053201440120257E-2</v>
      </c>
      <c r="CC80" s="436">
        <f t="shared" si="115"/>
        <v>-0.12353234094400589</v>
      </c>
      <c r="CD80" s="424">
        <f t="shared" si="115"/>
        <v>-2.2398901387000625E-2</v>
      </c>
      <c r="CE80" s="436">
        <f t="shared" si="115"/>
        <v>-4.4589601775670618E-2</v>
      </c>
      <c r="CF80" s="436">
        <f t="shared" si="115"/>
        <v>-5.1582522053718605E-2</v>
      </c>
      <c r="CG80" s="436">
        <f t="shared" ref="CG80:CX80" si="116">CG79/CB79-1</f>
        <v>-2.9882115165425271E-2</v>
      </c>
      <c r="CH80" s="436">
        <f t="shared" si="116"/>
        <v>-4.4436154060329969E-2</v>
      </c>
      <c r="CI80" s="424">
        <f>CI79/CD79-1</f>
        <v>-4.2836959192975921E-2</v>
      </c>
      <c r="CJ80" s="436">
        <f t="shared" si="116"/>
        <v>-4.6279951369854078E-2</v>
      </c>
      <c r="CK80" s="436">
        <f t="shared" si="116"/>
        <v>-1.6639968910416636E-2</v>
      </c>
      <c r="CL80" s="436">
        <f t="shared" si="116"/>
        <v>2.2401378122308246E-2</v>
      </c>
      <c r="CM80" s="436">
        <f t="shared" si="116"/>
        <v>6.2788546278022217E-2</v>
      </c>
      <c r="CN80" s="424">
        <f t="shared" si="116"/>
        <v>1.2339060312129835E-3</v>
      </c>
      <c r="CO80" s="436">
        <f t="shared" si="116"/>
        <v>8.3637396437066691E-2</v>
      </c>
      <c r="CP80" s="436">
        <f t="shared" ca="1" si="116"/>
        <v>3.1212276166999953E-2</v>
      </c>
      <c r="CQ80" s="436">
        <f t="shared" ca="1" si="116"/>
        <v>0.12215355555864482</v>
      </c>
      <c r="CR80" s="436">
        <f t="shared" ca="1" si="116"/>
        <v>0.15633440732343606</v>
      </c>
      <c r="CS80" s="424">
        <f t="shared" ca="1" si="116"/>
        <v>9.2319659859247949E-2</v>
      </c>
      <c r="CT80" s="436">
        <f t="shared" ca="1" si="116"/>
        <v>6.3338208382543115E-2</v>
      </c>
      <c r="CU80" s="436">
        <f t="shared" ca="1" si="116"/>
        <v>6.2469191544403779E-2</v>
      </c>
      <c r="CV80" s="436">
        <f t="shared" ca="1" si="116"/>
        <v>6.5165926830489829E-2</v>
      </c>
      <c r="CW80" s="436">
        <f t="shared" ca="1" si="116"/>
        <v>7.3133780060103515E-2</v>
      </c>
      <c r="CX80" s="424">
        <f t="shared" ca="1" si="116"/>
        <v>6.569372908830573E-2</v>
      </c>
      <c r="CY80" s="436">
        <f t="shared" ref="CY80:DH80" ca="1" si="117">CY79/CT79-1</f>
        <v>7.3755109345349235E-2</v>
      </c>
      <c r="CZ80" s="436">
        <f t="shared" ca="1" si="117"/>
        <v>6.9870284588219977E-2</v>
      </c>
      <c r="DA80" s="436">
        <f t="shared" ca="1" si="117"/>
        <v>7.1587852663660634E-2</v>
      </c>
      <c r="DB80" s="436">
        <f t="shared" ca="1" si="117"/>
        <v>7.5908824222585825E-2</v>
      </c>
      <c r="DC80" s="424">
        <f t="shared" ca="1" si="117"/>
        <v>7.2510755254243442E-2</v>
      </c>
      <c r="DD80" s="436">
        <f t="shared" ca="1" si="117"/>
        <v>6.8998676076776899E-2</v>
      </c>
      <c r="DE80" s="436">
        <f t="shared" ca="1" si="117"/>
        <v>6.5066639361935685E-2</v>
      </c>
      <c r="DF80" s="436">
        <f t="shared" ca="1" si="117"/>
        <v>6.6530599051214168E-2</v>
      </c>
      <c r="DG80" s="436">
        <f t="shared" ca="1" si="117"/>
        <v>7.0439732270186628E-2</v>
      </c>
      <c r="DH80" s="424">
        <f t="shared" ca="1" si="117"/>
        <v>6.7507235924860964E-2</v>
      </c>
      <c r="DI80" s="436">
        <f ca="1">DI79/DD79-1</f>
        <v>6.320193509571026E-2</v>
      </c>
      <c r="DJ80" s="436">
        <f ca="1">DJ79/DE79-1</f>
        <v>6.0267479132428026E-2</v>
      </c>
      <c r="DK80" s="436">
        <f ca="1">DK79/DF79-1</f>
        <v>6.1421493755476231E-2</v>
      </c>
      <c r="DL80" s="436">
        <f ca="1">DL79/DG79-1</f>
        <v>6.4428799292486572E-2</v>
      </c>
      <c r="DM80" s="424">
        <f ca="1">DM79/DH79-1</f>
        <v>6.2140916349146202E-2</v>
      </c>
      <c r="DN80" s="279"/>
    </row>
    <row r="81" spans="1:118" ht="2.25" customHeight="1" x14ac:dyDescent="0.25">
      <c r="A81" s="418"/>
      <c r="B81" s="418"/>
      <c r="C81" s="521"/>
      <c r="D81" s="521"/>
      <c r="E81" s="521"/>
      <c r="F81" s="521"/>
      <c r="G81" s="522"/>
      <c r="H81" s="521"/>
      <c r="I81" s="521"/>
      <c r="J81" s="521"/>
      <c r="K81" s="521"/>
      <c r="L81" s="522"/>
      <c r="M81" s="521"/>
      <c r="N81" s="521"/>
      <c r="O81" s="521"/>
      <c r="P81" s="521"/>
      <c r="Q81" s="522"/>
      <c r="R81" s="521"/>
      <c r="S81" s="521"/>
      <c r="T81" s="521"/>
      <c r="U81" s="521"/>
      <c r="V81" s="522"/>
      <c r="W81" s="521"/>
      <c r="X81" s="521"/>
      <c r="Y81" s="521"/>
      <c r="Z81" s="521"/>
      <c r="AA81" s="522"/>
      <c r="AB81" s="521"/>
      <c r="AC81" s="521"/>
      <c r="AD81" s="521"/>
      <c r="AE81" s="521"/>
      <c r="AF81" s="522"/>
      <c r="AG81" s="521"/>
      <c r="AH81" s="521"/>
      <c r="AI81" s="521"/>
      <c r="AJ81" s="521"/>
      <c r="AK81" s="522"/>
      <c r="AL81" s="521"/>
      <c r="AM81" s="521"/>
      <c r="AN81" s="521"/>
      <c r="AO81" s="521"/>
      <c r="AP81" s="522"/>
      <c r="AQ81" s="521"/>
      <c r="AR81" s="521"/>
      <c r="AS81" s="521"/>
      <c r="AT81" s="521"/>
      <c r="AU81" s="522"/>
      <c r="AV81" s="521"/>
      <c r="AW81" s="521"/>
      <c r="AX81" s="521"/>
      <c r="AY81" s="521"/>
      <c r="AZ81" s="522"/>
      <c r="BA81" s="521"/>
      <c r="BB81" s="521"/>
      <c r="BC81" s="521"/>
      <c r="BD81" s="523"/>
      <c r="BE81" s="428"/>
      <c r="BF81" s="523"/>
      <c r="BG81" s="524"/>
      <c r="BH81" s="422"/>
      <c r="BI81" s="418"/>
      <c r="BJ81" s="428"/>
      <c r="BK81" s="418"/>
      <c r="BL81" s="525"/>
      <c r="BM81" s="418"/>
      <c r="BN81" s="418"/>
      <c r="BO81" s="428"/>
      <c r="BP81" s="418"/>
      <c r="BQ81" s="524"/>
      <c r="BR81" s="418"/>
      <c r="BS81" s="418"/>
      <c r="BT81" s="443"/>
      <c r="BU81" s="418"/>
      <c r="BV81" s="524"/>
      <c r="BW81" s="418"/>
      <c r="BX81" s="418"/>
      <c r="BY81" s="443"/>
      <c r="BZ81" s="418"/>
      <c r="CA81" s="524"/>
      <c r="CB81" s="418"/>
      <c r="CC81" s="418"/>
      <c r="CD81" s="443"/>
      <c r="CE81" s="418"/>
      <c r="CF81" s="524"/>
      <c r="CG81" s="418"/>
      <c r="CH81" s="418"/>
      <c r="CI81" s="443"/>
      <c r="CJ81" s="418"/>
      <c r="CK81" s="524"/>
      <c r="CL81" s="418"/>
      <c r="CM81" s="418"/>
      <c r="CN81" s="443"/>
      <c r="CO81" s="418"/>
      <c r="CP81" s="524"/>
      <c r="CQ81" s="418"/>
      <c r="CR81" s="418"/>
      <c r="CS81" s="443"/>
      <c r="CT81" s="418"/>
      <c r="CU81" s="524"/>
      <c r="CV81" s="418"/>
      <c r="CW81" s="418"/>
      <c r="CX81" s="443"/>
      <c r="CY81" s="418"/>
      <c r="CZ81" s="524"/>
      <c r="DA81" s="418"/>
      <c r="DB81" s="418"/>
      <c r="DC81" s="443"/>
      <c r="DD81" s="418"/>
      <c r="DE81" s="524"/>
      <c r="DF81" s="418"/>
      <c r="DG81" s="418"/>
      <c r="DH81" s="443"/>
      <c r="DI81" s="418"/>
      <c r="DJ81" s="524"/>
      <c r="DK81" s="418"/>
      <c r="DL81" s="418"/>
      <c r="DM81" s="443"/>
      <c r="DN81" s="207"/>
    </row>
    <row r="82" spans="1:118" ht="16.5" hidden="1" customHeight="1" outlineLevel="1" x14ac:dyDescent="0.25">
      <c r="A82" s="417" t="s">
        <v>205</v>
      </c>
      <c r="B82" s="418"/>
      <c r="C82" s="521"/>
      <c r="D82" s="521"/>
      <c r="E82" s="521"/>
      <c r="F82" s="521"/>
      <c r="G82" s="472"/>
      <c r="H82" s="521"/>
      <c r="I82" s="521"/>
      <c r="J82" s="521"/>
      <c r="K82" s="521"/>
      <c r="L82" s="472"/>
      <c r="M82" s="521"/>
      <c r="N82" s="521"/>
      <c r="O82" s="521"/>
      <c r="P82" s="521"/>
      <c r="Q82" s="472"/>
      <c r="R82" s="521"/>
      <c r="S82" s="521"/>
      <c r="T82" s="521"/>
      <c r="U82" s="521"/>
      <c r="V82" s="472"/>
      <c r="W82" s="521"/>
      <c r="X82" s="521"/>
      <c r="Y82" s="521"/>
      <c r="Z82" s="521"/>
      <c r="AA82" s="472"/>
      <c r="AB82" s="521"/>
      <c r="AC82" s="521"/>
      <c r="AD82" s="521"/>
      <c r="AE82" s="521"/>
      <c r="AF82" s="472"/>
      <c r="AG82" s="521"/>
      <c r="AH82" s="521"/>
      <c r="AI82" s="521"/>
      <c r="AJ82" s="521"/>
      <c r="AK82" s="472"/>
      <c r="AL82" s="521"/>
      <c r="AM82" s="521"/>
      <c r="AN82" s="521"/>
      <c r="AO82" s="521"/>
      <c r="AP82" s="472"/>
      <c r="AQ82" s="521"/>
      <c r="AR82" s="521"/>
      <c r="AS82" s="521"/>
      <c r="AT82" s="521"/>
      <c r="AU82" s="472"/>
      <c r="AV82" s="521"/>
      <c r="AW82" s="521"/>
      <c r="AX82" s="521"/>
      <c r="AY82" s="521"/>
      <c r="AZ82" s="472"/>
      <c r="BA82" s="521"/>
      <c r="BB82" s="521"/>
      <c r="BC82" s="521"/>
      <c r="BD82" s="523"/>
      <c r="BE82" s="428"/>
      <c r="BF82" s="523"/>
      <c r="BG82" s="524"/>
      <c r="BH82" s="422"/>
      <c r="BI82" s="418"/>
      <c r="BJ82" s="428"/>
      <c r="BK82" s="478"/>
      <c r="BL82" s="525"/>
      <c r="BM82" s="418"/>
      <c r="BN82" s="482"/>
      <c r="BO82" s="428"/>
      <c r="BP82" s="418"/>
      <c r="BQ82" s="524"/>
      <c r="BR82" s="418"/>
      <c r="BS82" s="418"/>
      <c r="BT82" s="428"/>
      <c r="BU82" s="418"/>
      <c r="BV82" s="524"/>
      <c r="BW82" s="530"/>
      <c r="BX82" s="530"/>
      <c r="BY82" s="531"/>
      <c r="BZ82" s="482"/>
      <c r="CA82" s="268"/>
      <c r="CB82" s="418"/>
      <c r="CC82" s="418"/>
      <c r="CD82" s="638"/>
      <c r="CE82" s="418"/>
      <c r="CF82" s="557"/>
      <c r="CG82" s="643"/>
      <c r="CH82" s="653"/>
      <c r="CI82" s="457"/>
      <c r="CJ82" s="418"/>
      <c r="CK82" s="654"/>
      <c r="CL82" s="418"/>
      <c r="CM82" s="418"/>
      <c r="CN82" s="457"/>
      <c r="CO82" s="418"/>
      <c r="CP82" s="524"/>
      <c r="CQ82" s="418"/>
      <c r="CR82" s="418"/>
      <c r="CS82" s="457"/>
      <c r="CT82" s="418"/>
      <c r="CU82" s="524"/>
      <c r="CV82" s="418"/>
      <c r="CW82" s="418"/>
      <c r="CX82" s="443"/>
      <c r="CY82" s="418"/>
      <c r="CZ82" s="524"/>
      <c r="DA82" s="418"/>
      <c r="DB82" s="418"/>
      <c r="DC82" s="443"/>
      <c r="DD82" s="418"/>
      <c r="DE82" s="524"/>
      <c r="DF82" s="418"/>
      <c r="DG82" s="418"/>
      <c r="DH82" s="443"/>
      <c r="DI82" s="418"/>
      <c r="DJ82" s="524"/>
      <c r="DK82" s="418"/>
      <c r="DL82" s="418"/>
      <c r="DM82" s="443"/>
      <c r="DN82" s="207"/>
    </row>
    <row r="83" spans="1:118" ht="16.5" hidden="1" customHeight="1" outlineLevel="1" x14ac:dyDescent="0.2">
      <c r="A83" s="526" t="s">
        <v>263</v>
      </c>
      <c r="B83" s="422"/>
      <c r="C83" s="487"/>
      <c r="D83" s="487"/>
      <c r="E83" s="487"/>
      <c r="F83" s="487"/>
      <c r="G83" s="492"/>
      <c r="H83" s="487"/>
      <c r="I83" s="487"/>
      <c r="J83" s="487"/>
      <c r="K83" s="487"/>
      <c r="L83" s="492"/>
      <c r="M83" s="487"/>
      <c r="N83" s="487"/>
      <c r="O83" s="487"/>
      <c r="P83" s="487"/>
      <c r="Q83" s="492"/>
      <c r="R83" s="487"/>
      <c r="S83" s="487"/>
      <c r="T83" s="487"/>
      <c r="U83" s="487"/>
      <c r="V83" s="492"/>
      <c r="W83" s="487"/>
      <c r="X83" s="487"/>
      <c r="Y83" s="487"/>
      <c r="Z83" s="487"/>
      <c r="AA83" s="492"/>
      <c r="AB83" s="487">
        <f>-(AB69-1448)</f>
        <v>-27</v>
      </c>
      <c r="AC83" s="487">
        <f>-(AC69-2216)</f>
        <v>63</v>
      </c>
      <c r="AD83" s="487">
        <f>-(AD69-1653)</f>
        <v>-89</v>
      </c>
      <c r="AE83" s="487">
        <f>-(AE69-1373)</f>
        <v>-44</v>
      </c>
      <c r="AF83" s="492">
        <f>SUM(AB83:AE83)</f>
        <v>-97</v>
      </c>
      <c r="AG83" s="487">
        <f>-(AG69-1475)</f>
        <v>-54</v>
      </c>
      <c r="AH83" s="487">
        <f>-(AH69-2391)</f>
        <v>113</v>
      </c>
      <c r="AI83" s="487">
        <f>-(AI69-1826)</f>
        <v>-42</v>
      </c>
      <c r="AJ83" s="487">
        <f>-(AJ69-886)</f>
        <v>-614</v>
      </c>
      <c r="AK83" s="492">
        <f>SUM(AG83:AJ83)</f>
        <v>-597</v>
      </c>
      <c r="AL83" s="487">
        <f>-(AL69-1729)</f>
        <v>54</v>
      </c>
      <c r="AM83" s="487">
        <f>-(AM69-2408)</f>
        <v>-138</v>
      </c>
      <c r="AN83" s="487">
        <f>-(AN69-2113)</f>
        <v>10</v>
      </c>
      <c r="AO83" s="487">
        <f>-(AO69-1623)</f>
        <v>-116</v>
      </c>
      <c r="AP83" s="492">
        <f>SUM(AL83:AO83)</f>
        <v>-190</v>
      </c>
      <c r="AQ83" s="487">
        <f>-(AQ69-1948)</f>
        <v>-73</v>
      </c>
      <c r="AR83" s="487">
        <f>-(AR69-1896)</f>
        <v>-1140</v>
      </c>
      <c r="AS83" s="487">
        <f>-(AS69-2446)</f>
        <v>-33</v>
      </c>
      <c r="AT83" s="487">
        <f>-(AT69-1160)</f>
        <v>-737</v>
      </c>
      <c r="AU83" s="492">
        <f>SUM(AQ83:AT83)</f>
        <v>-1983</v>
      </c>
      <c r="AV83" s="487">
        <f>-(AV69-1815)</f>
        <v>-171</v>
      </c>
      <c r="AW83" s="487">
        <f>-(AW69-2728)</f>
        <v>-82</v>
      </c>
      <c r="AX83" s="487">
        <f>-(AX69-2443)</f>
        <v>-44</v>
      </c>
      <c r="AY83" s="487">
        <f>-(AY69-1960)</f>
        <v>-85</v>
      </c>
      <c r="AZ83" s="492">
        <f>SUM(AV83:AY83)</f>
        <v>-382</v>
      </c>
      <c r="BA83" s="487">
        <f>-(BA69-2179)</f>
        <v>-254</v>
      </c>
      <c r="BB83" s="487">
        <f>-(BB69-3123)</f>
        <v>-94</v>
      </c>
      <c r="BC83" s="487">
        <f>-(BC69-2700)</f>
        <v>-87</v>
      </c>
      <c r="BD83" s="429">
        <f>6241-BD69</f>
        <v>4079</v>
      </c>
      <c r="BE83" s="492">
        <f>SUM(BA83:BD83)</f>
        <v>3644</v>
      </c>
      <c r="BF83" s="429">
        <f>2511-BF69</f>
        <v>-130</v>
      </c>
      <c r="BG83" s="429">
        <f>3794-BG69</f>
        <v>203</v>
      </c>
      <c r="BH83" s="429">
        <f>2923-BH69</f>
        <v>-261</v>
      </c>
      <c r="BI83" s="429">
        <f>2211-BI69</f>
        <v>-192</v>
      </c>
      <c r="BJ83" s="492">
        <f>SUM(BF83:BI83)</f>
        <v>-380</v>
      </c>
      <c r="BK83" s="429">
        <f>2725-BK69</f>
        <v>-14</v>
      </c>
      <c r="BL83" s="429">
        <f>3623-BL69</f>
        <v>-39</v>
      </c>
      <c r="BM83" s="433">
        <f>3084-BM69</f>
        <v>-7</v>
      </c>
      <c r="BN83" s="433">
        <f>2377-BN69</f>
        <v>-348</v>
      </c>
      <c r="BO83" s="492">
        <f>SUM(BK83:BN83)</f>
        <v>-408</v>
      </c>
      <c r="BP83" s="433">
        <f>2344-BP69</f>
        <v>-381</v>
      </c>
      <c r="BQ83" s="433">
        <f>3525-BQ69</f>
        <v>-206</v>
      </c>
      <c r="BR83" s="433">
        <f>3380-BR69</f>
        <v>277</v>
      </c>
      <c r="BS83" s="433">
        <f>2228-BS69</f>
        <v>-442</v>
      </c>
      <c r="BT83" s="492">
        <f>SUM(BP83:BS83)</f>
        <v>-752</v>
      </c>
      <c r="BU83" s="508">
        <v>0</v>
      </c>
      <c r="BV83" s="508">
        <v>0</v>
      </c>
      <c r="BW83" s="508">
        <v>0</v>
      </c>
      <c r="BX83" s="508">
        <v>0</v>
      </c>
      <c r="BY83" s="492">
        <f>SUM(BU83:BX83)</f>
        <v>0</v>
      </c>
      <c r="BZ83" s="508">
        <v>0</v>
      </c>
      <c r="CA83" s="508">
        <v>0</v>
      </c>
      <c r="CB83" s="508">
        <v>0</v>
      </c>
      <c r="CC83" s="508">
        <v>0</v>
      </c>
      <c r="CD83" s="492">
        <f>SUM(BZ83:CC83)</f>
        <v>0</v>
      </c>
      <c r="CE83" s="508">
        <v>0</v>
      </c>
      <c r="CF83" s="508">
        <v>0</v>
      </c>
      <c r="CG83" s="508">
        <v>0</v>
      </c>
      <c r="CH83" s="508">
        <v>0</v>
      </c>
      <c r="CI83" s="492">
        <f>SUM(CE83:CH83)</f>
        <v>0</v>
      </c>
      <c r="CJ83" s="508">
        <v>0</v>
      </c>
      <c r="CK83" s="508">
        <v>0</v>
      </c>
      <c r="CL83" s="508">
        <v>0</v>
      </c>
      <c r="CM83" s="508">
        <v>0</v>
      </c>
      <c r="CN83" s="492">
        <f>SUM(CJ83:CM83)</f>
        <v>0</v>
      </c>
      <c r="CO83" s="508">
        <v>0</v>
      </c>
      <c r="CP83" s="508">
        <v>0</v>
      </c>
      <c r="CQ83" s="508">
        <v>0</v>
      </c>
      <c r="CR83" s="508">
        <v>0</v>
      </c>
      <c r="CS83" s="492">
        <f>SUM(CO83:CR83)</f>
        <v>0</v>
      </c>
      <c r="CT83" s="508">
        <v>0</v>
      </c>
      <c r="CU83" s="508">
        <v>0</v>
      </c>
      <c r="CV83" s="508">
        <v>0</v>
      </c>
      <c r="CW83" s="508">
        <v>0</v>
      </c>
      <c r="CX83" s="492">
        <f>SUM(CT83:CW83)</f>
        <v>0</v>
      </c>
      <c r="CY83" s="508">
        <v>0</v>
      </c>
      <c r="CZ83" s="508">
        <v>0</v>
      </c>
      <c r="DA83" s="508">
        <v>0</v>
      </c>
      <c r="DB83" s="508">
        <v>0</v>
      </c>
      <c r="DC83" s="492">
        <f>SUM(CY83:DB83)</f>
        <v>0</v>
      </c>
      <c r="DD83" s="508">
        <v>0</v>
      </c>
      <c r="DE83" s="508">
        <v>0</v>
      </c>
      <c r="DF83" s="508">
        <v>0</v>
      </c>
      <c r="DG83" s="508">
        <v>0</v>
      </c>
      <c r="DH83" s="492">
        <f>SUM(DD83:DG83)</f>
        <v>0</v>
      </c>
      <c r="DI83" s="508">
        <v>0</v>
      </c>
      <c r="DJ83" s="508">
        <v>0</v>
      </c>
      <c r="DK83" s="508">
        <v>0</v>
      </c>
      <c r="DL83" s="508">
        <v>0</v>
      </c>
      <c r="DM83" s="492">
        <f>SUM(DI83:DL83)</f>
        <v>0</v>
      </c>
      <c r="DN83" s="207"/>
    </row>
    <row r="84" spans="1:118" ht="16.5" hidden="1" customHeight="1" outlineLevel="1" x14ac:dyDescent="0.2">
      <c r="A84" s="526" t="s">
        <v>264</v>
      </c>
      <c r="B84" s="422"/>
      <c r="C84" s="527"/>
      <c r="D84" s="527"/>
      <c r="E84" s="527"/>
      <c r="F84" s="527"/>
      <c r="G84" s="492"/>
      <c r="H84" s="527"/>
      <c r="I84" s="527"/>
      <c r="J84" s="527"/>
      <c r="K84" s="527"/>
      <c r="L84" s="492"/>
      <c r="M84" s="527"/>
      <c r="N84" s="527"/>
      <c r="O84" s="527"/>
      <c r="P84" s="527"/>
      <c r="Q84" s="492"/>
      <c r="R84" s="527"/>
      <c r="S84" s="527"/>
      <c r="T84" s="527"/>
      <c r="U84" s="527"/>
      <c r="V84" s="492"/>
      <c r="W84" s="527"/>
      <c r="X84" s="527"/>
      <c r="Y84" s="527"/>
      <c r="Z84" s="527"/>
      <c r="AA84" s="492"/>
      <c r="AB84" s="527">
        <f>-(AB77-1002)</f>
        <v>-119</v>
      </c>
      <c r="AC84" s="527">
        <f>-(AC77-1723)</f>
        <v>86.720000000000027</v>
      </c>
      <c r="AD84" s="527">
        <f>-(AD77-1283)</f>
        <v>-50.569999999999936</v>
      </c>
      <c r="AE84" s="527">
        <f>-(AE77-864)</f>
        <v>-220.00500000000011</v>
      </c>
      <c r="AF84" s="492">
        <f>SUM(AB84:AE84)</f>
        <v>-302.85500000000002</v>
      </c>
      <c r="AG84" s="527">
        <f>-(AG77-1106)</f>
        <v>-58.200000000000045</v>
      </c>
      <c r="AH84" s="527">
        <f>-(AH77-1836)</f>
        <v>104</v>
      </c>
      <c r="AI84" s="527">
        <f>-(AI77-1460)</f>
        <v>12</v>
      </c>
      <c r="AJ84" s="527">
        <f>-(AJ77-678)</f>
        <v>-548</v>
      </c>
      <c r="AK84" s="492">
        <f>SUM(AG84:AJ84)</f>
        <v>-490.20000000000005</v>
      </c>
      <c r="AL84" s="527">
        <f>-(AL77-1262)</f>
        <v>-28</v>
      </c>
      <c r="AM84" s="527">
        <f>-(AM77-1851)</f>
        <v>-130</v>
      </c>
      <c r="AN84" s="527">
        <f>-(AN77-1654)</f>
        <v>-8</v>
      </c>
      <c r="AO84" s="527">
        <f>-(AO77-1214)</f>
        <v>-142</v>
      </c>
      <c r="AP84" s="492">
        <f>SUM(AL84:AO84)</f>
        <v>-308</v>
      </c>
      <c r="AQ84" s="527">
        <f>-(AQ77-1500)</f>
        <v>-76</v>
      </c>
      <c r="AR84" s="527">
        <f>-(AR77-1422)</f>
        <v>-949</v>
      </c>
      <c r="AS84" s="527">
        <f>-(AS77-1890)</f>
        <v>-44</v>
      </c>
      <c r="AT84" s="527">
        <f>-(AT77-995)</f>
        <v>-484</v>
      </c>
      <c r="AU84" s="492">
        <f>SUM(AQ84:AT84)</f>
        <v>-1553</v>
      </c>
      <c r="AV84" s="527">
        <f>-(AV77-1348)</f>
        <v>-163</v>
      </c>
      <c r="AW84" s="527">
        <f>-(AW77-2037)</f>
        <v>-103</v>
      </c>
      <c r="AX84" s="527">
        <f>-(AX77-1896)</f>
        <v>17</v>
      </c>
      <c r="AY84" s="527">
        <f>-(AY77-1543)</f>
        <v>-4</v>
      </c>
      <c r="AZ84" s="492">
        <f>SUM(AV84:AY84)</f>
        <v>-253</v>
      </c>
      <c r="BA84" s="527">
        <f>-(BA77-1614)</f>
        <v>-243</v>
      </c>
      <c r="BB84" s="527">
        <f>-(BB77-2369)</f>
        <v>-88</v>
      </c>
      <c r="BC84" s="527">
        <f>-(BC77-2055)</f>
        <v>-90</v>
      </c>
      <c r="BD84" s="429">
        <f>5771-BD77</f>
        <v>4087</v>
      </c>
      <c r="BE84" s="492">
        <f>SUM(BA84:BD84)</f>
        <v>3666</v>
      </c>
      <c r="BF84" s="429">
        <f>1900-BF77</f>
        <v>-94</v>
      </c>
      <c r="BG84" s="429">
        <f>2797-BG77</f>
        <v>75</v>
      </c>
      <c r="BH84" s="429">
        <f>2221-BH77</f>
        <v>-177</v>
      </c>
      <c r="BI84" s="429">
        <f>1654-BI77</f>
        <v>-164</v>
      </c>
      <c r="BJ84" s="492">
        <f>SUM(BF84:BI84)</f>
        <v>-360</v>
      </c>
      <c r="BK84" s="433">
        <f>2054-BK77</f>
        <v>6</v>
      </c>
      <c r="BL84" s="433">
        <f>2788-BL77</f>
        <v>-3</v>
      </c>
      <c r="BM84" s="433">
        <f>2311-BM77</f>
        <v>-20</v>
      </c>
      <c r="BN84" s="433">
        <f>1866-BN77</f>
        <v>-181</v>
      </c>
      <c r="BO84" s="492">
        <f>SUM(BK84:BN84)</f>
        <v>-198</v>
      </c>
      <c r="BP84" s="433">
        <f>1751-BP77</f>
        <v>-315</v>
      </c>
      <c r="BQ84" s="433">
        <f>2694-BQ73</f>
        <v>-193</v>
      </c>
      <c r="BR84" s="433">
        <f>2447-BR77</f>
        <v>65</v>
      </c>
      <c r="BS84" s="433">
        <f>1710-BS77</f>
        <v>-347</v>
      </c>
      <c r="BT84" s="492">
        <f>SUM(BP84:BS84)</f>
        <v>-790</v>
      </c>
      <c r="BU84" s="508">
        <v>0</v>
      </c>
      <c r="BV84" s="508">
        <v>0</v>
      </c>
      <c r="BW84" s="508">
        <v>0</v>
      </c>
      <c r="BX84" s="508">
        <v>0</v>
      </c>
      <c r="BY84" s="492">
        <f>SUM(BU84:BX84)</f>
        <v>0</v>
      </c>
      <c r="BZ84" s="508">
        <v>0</v>
      </c>
      <c r="CA84" s="508">
        <v>0</v>
      </c>
      <c r="CB84" s="508">
        <v>0</v>
      </c>
      <c r="CC84" s="508">
        <v>0</v>
      </c>
      <c r="CD84" s="492">
        <f>SUM(BZ84:CC84)</f>
        <v>0</v>
      </c>
      <c r="CE84" s="508">
        <v>0</v>
      </c>
      <c r="CF84" s="508">
        <v>0</v>
      </c>
      <c r="CG84" s="508">
        <v>0</v>
      </c>
      <c r="CH84" s="508">
        <v>0</v>
      </c>
      <c r="CI84" s="492">
        <f>SUM(CE84:CH84)</f>
        <v>0</v>
      </c>
      <c r="CJ84" s="508">
        <v>0</v>
      </c>
      <c r="CK84" s="508">
        <v>0</v>
      </c>
      <c r="CL84" s="508">
        <v>0</v>
      </c>
      <c r="CM84" s="508">
        <v>0</v>
      </c>
      <c r="CN84" s="492">
        <f>SUM(CJ84:CM84)</f>
        <v>0</v>
      </c>
      <c r="CO84" s="508">
        <v>0</v>
      </c>
      <c r="CP84" s="508">
        <v>0</v>
      </c>
      <c r="CQ84" s="508">
        <v>0</v>
      </c>
      <c r="CR84" s="508">
        <v>0</v>
      </c>
      <c r="CS84" s="492">
        <f>SUM(CO84:CR84)</f>
        <v>0</v>
      </c>
      <c r="CT84" s="508">
        <v>0</v>
      </c>
      <c r="CU84" s="508">
        <v>0</v>
      </c>
      <c r="CV84" s="508">
        <v>0</v>
      </c>
      <c r="CW84" s="508">
        <v>0</v>
      </c>
      <c r="CX84" s="492">
        <f>SUM(CT84:CW84)</f>
        <v>0</v>
      </c>
      <c r="CY84" s="508">
        <v>0</v>
      </c>
      <c r="CZ84" s="508">
        <v>0</v>
      </c>
      <c r="DA84" s="508">
        <v>0</v>
      </c>
      <c r="DB84" s="508">
        <v>0</v>
      </c>
      <c r="DC84" s="492">
        <f>SUM(CY84:DB84)</f>
        <v>0</v>
      </c>
      <c r="DD84" s="508">
        <v>0</v>
      </c>
      <c r="DE84" s="508">
        <v>0</v>
      </c>
      <c r="DF84" s="508">
        <v>0</v>
      </c>
      <c r="DG84" s="508">
        <v>0</v>
      </c>
      <c r="DH84" s="492">
        <f>SUM(DD84:DG84)</f>
        <v>0</v>
      </c>
      <c r="DI84" s="508">
        <v>0</v>
      </c>
      <c r="DJ84" s="508">
        <v>0</v>
      </c>
      <c r="DK84" s="508">
        <v>0</v>
      </c>
      <c r="DL84" s="508">
        <v>0</v>
      </c>
      <c r="DM84" s="492">
        <f>SUM(DI84:DL84)</f>
        <v>0</v>
      </c>
      <c r="DN84" s="207"/>
    </row>
    <row r="85" spans="1:118" ht="16.5" hidden="1" customHeight="1" outlineLevel="1" x14ac:dyDescent="0.25">
      <c r="A85" s="528" t="s">
        <v>40</v>
      </c>
      <c r="B85" s="422"/>
      <c r="C85" s="419"/>
      <c r="D85" s="419"/>
      <c r="E85" s="419"/>
      <c r="F85" s="419"/>
      <c r="G85" s="420"/>
      <c r="H85" s="419"/>
      <c r="I85" s="419"/>
      <c r="J85" s="419"/>
      <c r="K85" s="419"/>
      <c r="L85" s="420"/>
      <c r="M85" s="419"/>
      <c r="N85" s="419"/>
      <c r="O85" s="419"/>
      <c r="P85" s="419"/>
      <c r="Q85" s="420"/>
      <c r="R85" s="419"/>
      <c r="S85" s="419"/>
      <c r="T85" s="419"/>
      <c r="U85" s="419"/>
      <c r="V85" s="420"/>
      <c r="W85" s="419"/>
      <c r="X85" s="419"/>
      <c r="Y85" s="419"/>
      <c r="Z85" s="419"/>
      <c r="AA85" s="420"/>
      <c r="AB85" s="419">
        <f t="shared" ref="AB85:AO85" si="118">AB77+AB84</f>
        <v>1002</v>
      </c>
      <c r="AC85" s="419">
        <f t="shared" si="118"/>
        <v>1723</v>
      </c>
      <c r="AD85" s="419">
        <f t="shared" si="118"/>
        <v>1283</v>
      </c>
      <c r="AE85" s="419">
        <f t="shared" si="118"/>
        <v>864</v>
      </c>
      <c r="AF85" s="420">
        <f t="shared" si="118"/>
        <v>4872</v>
      </c>
      <c r="AG85" s="419">
        <f t="shared" si="118"/>
        <v>1106</v>
      </c>
      <c r="AH85" s="419">
        <f t="shared" si="118"/>
        <v>1836</v>
      </c>
      <c r="AI85" s="419">
        <f t="shared" si="118"/>
        <v>1460</v>
      </c>
      <c r="AJ85" s="419">
        <f t="shared" si="118"/>
        <v>678</v>
      </c>
      <c r="AK85" s="420">
        <f t="shared" si="118"/>
        <v>5080</v>
      </c>
      <c r="AL85" s="419">
        <f t="shared" si="118"/>
        <v>1262</v>
      </c>
      <c r="AM85" s="419">
        <f t="shared" si="118"/>
        <v>1851</v>
      </c>
      <c r="AN85" s="419">
        <f t="shared" si="118"/>
        <v>1654</v>
      </c>
      <c r="AO85" s="419">
        <f t="shared" si="118"/>
        <v>1214</v>
      </c>
      <c r="AP85" s="420">
        <f t="shared" ref="AP85:BY85" si="119">AP77+AP84</f>
        <v>5981</v>
      </c>
      <c r="AQ85" s="419">
        <f t="shared" si="119"/>
        <v>1500</v>
      </c>
      <c r="AR85" s="419">
        <f t="shared" si="119"/>
        <v>1422</v>
      </c>
      <c r="AS85" s="419">
        <f t="shared" si="119"/>
        <v>1890</v>
      </c>
      <c r="AT85" s="419">
        <f t="shared" si="119"/>
        <v>995</v>
      </c>
      <c r="AU85" s="420">
        <f t="shared" si="119"/>
        <v>5807</v>
      </c>
      <c r="AV85" s="419">
        <f t="shared" si="119"/>
        <v>1348</v>
      </c>
      <c r="AW85" s="419">
        <f t="shared" si="119"/>
        <v>2037</v>
      </c>
      <c r="AX85" s="419">
        <f t="shared" si="119"/>
        <v>1896</v>
      </c>
      <c r="AY85" s="419">
        <f t="shared" si="119"/>
        <v>1543</v>
      </c>
      <c r="AZ85" s="420">
        <f t="shared" si="119"/>
        <v>6824</v>
      </c>
      <c r="BA85" s="419">
        <f t="shared" si="119"/>
        <v>1614</v>
      </c>
      <c r="BB85" s="419">
        <f t="shared" si="119"/>
        <v>2369</v>
      </c>
      <c r="BC85" s="419">
        <f t="shared" si="119"/>
        <v>2055</v>
      </c>
      <c r="BD85" s="419">
        <f t="shared" si="119"/>
        <v>5771</v>
      </c>
      <c r="BE85" s="420">
        <f t="shared" si="119"/>
        <v>11809</v>
      </c>
      <c r="BF85" s="419">
        <f t="shared" si="119"/>
        <v>1900</v>
      </c>
      <c r="BG85" s="419">
        <f t="shared" si="119"/>
        <v>2797</v>
      </c>
      <c r="BH85" s="419">
        <f t="shared" si="119"/>
        <v>2221</v>
      </c>
      <c r="BI85" s="419">
        <f t="shared" si="119"/>
        <v>1654</v>
      </c>
      <c r="BJ85" s="420">
        <f t="shared" si="119"/>
        <v>8572</v>
      </c>
      <c r="BK85" s="419">
        <f t="shared" si="119"/>
        <v>2054</v>
      </c>
      <c r="BL85" s="419">
        <f t="shared" si="119"/>
        <v>2788</v>
      </c>
      <c r="BM85" s="419">
        <f t="shared" si="119"/>
        <v>2311</v>
      </c>
      <c r="BN85" s="419">
        <f t="shared" si="119"/>
        <v>1866</v>
      </c>
      <c r="BO85" s="420">
        <f t="shared" si="119"/>
        <v>9019</v>
      </c>
      <c r="BP85" s="419">
        <f t="shared" si="119"/>
        <v>1751</v>
      </c>
      <c r="BQ85" s="419">
        <f t="shared" si="119"/>
        <v>2676</v>
      </c>
      <c r="BR85" s="419">
        <f t="shared" si="119"/>
        <v>2447</v>
      </c>
      <c r="BS85" s="419">
        <f t="shared" si="119"/>
        <v>1710</v>
      </c>
      <c r="BT85" s="420">
        <f t="shared" si="119"/>
        <v>8584</v>
      </c>
      <c r="BU85" s="419">
        <f t="shared" si="119"/>
        <v>1949</v>
      </c>
      <c r="BV85" s="419">
        <f t="shared" si="119"/>
        <v>2853</v>
      </c>
      <c r="BW85" s="419">
        <f t="shared" si="119"/>
        <v>2354</v>
      </c>
      <c r="BX85" s="419">
        <f t="shared" si="119"/>
        <v>1935</v>
      </c>
      <c r="BY85" s="420">
        <f t="shared" si="119"/>
        <v>9091</v>
      </c>
      <c r="BZ85" s="419">
        <f>BZ77+BZ84</f>
        <v>2104</v>
      </c>
      <c r="CA85" s="419">
        <f>CA77+CA84</f>
        <v>2781</v>
      </c>
      <c r="CB85" s="419">
        <f>CB77+CB84</f>
        <v>2234</v>
      </c>
      <c r="CC85" s="419">
        <f>CC77+CC84</f>
        <v>1678</v>
      </c>
      <c r="CD85" s="420">
        <f>CD77+CD84</f>
        <v>8797</v>
      </c>
      <c r="CE85" s="419">
        <f t="shared" ref="CE85:CX85" si="120">CE77+CE84</f>
        <v>1992</v>
      </c>
      <c r="CF85" s="419">
        <f t="shared" si="120"/>
        <v>2619</v>
      </c>
      <c r="CG85" s="419">
        <f t="shared" si="120"/>
        <v>2150</v>
      </c>
      <c r="CH85" s="419">
        <f t="shared" si="120"/>
        <v>1587</v>
      </c>
      <c r="CI85" s="420">
        <f t="shared" si="120"/>
        <v>8348</v>
      </c>
      <c r="CJ85" s="419">
        <f t="shared" si="120"/>
        <v>1879</v>
      </c>
      <c r="CK85" s="419">
        <f t="shared" si="120"/>
        <v>2546</v>
      </c>
      <c r="CL85" s="419">
        <f t="shared" si="120"/>
        <v>2176</v>
      </c>
      <c r="CM85" s="419">
        <f t="shared" si="120"/>
        <v>1675</v>
      </c>
      <c r="CN85" s="420">
        <f t="shared" si="120"/>
        <v>8276</v>
      </c>
      <c r="CO85" s="419">
        <f t="shared" si="120"/>
        <v>2023</v>
      </c>
      <c r="CP85" s="419">
        <f t="shared" ca="1" si="120"/>
        <v>2612.4210359427429</v>
      </c>
      <c r="CQ85" s="419">
        <f t="shared" ca="1" si="120"/>
        <v>2433.0450269136941</v>
      </c>
      <c r="CR85" s="419">
        <f t="shared" ca="1" si="120"/>
        <v>1932.3714645210616</v>
      </c>
      <c r="CS85" s="420">
        <f t="shared" ca="1" si="120"/>
        <v>9000.8375273774982</v>
      </c>
      <c r="CT85" s="419">
        <f t="shared" ca="1" si="120"/>
        <v>2150.8209665176564</v>
      </c>
      <c r="CU85" s="419">
        <f t="shared" ca="1" si="120"/>
        <v>2774.7304479174554</v>
      </c>
      <c r="CV85" s="419">
        <f t="shared" ca="1" si="120"/>
        <v>2590.6183025173436</v>
      </c>
      <c r="CW85" s="419">
        <f t="shared" ca="1" si="120"/>
        <v>2072.0673766192026</v>
      </c>
      <c r="CX85" s="420">
        <f t="shared" ca="1" si="120"/>
        <v>9588.2370935716572</v>
      </c>
      <c r="CY85" s="419">
        <f t="shared" ref="CY85:DH85" ca="1" si="121">CY77+CY84</f>
        <v>2306.7729418675858</v>
      </c>
      <c r="CZ85" s="419">
        <f t="shared" ca="1" si="121"/>
        <v>2965.153099786758</v>
      </c>
      <c r="DA85" s="419">
        <f t="shared" ca="1" si="121"/>
        <v>2772.8492663688712</v>
      </c>
      <c r="DB85" s="419">
        <f t="shared" ca="1" si="121"/>
        <v>2226.7642802323844</v>
      </c>
      <c r="DC85" s="420">
        <f t="shared" ca="1" si="121"/>
        <v>10271.539588255599</v>
      </c>
      <c r="DD85" s="419">
        <f t="shared" ca="1" si="121"/>
        <v>2463.2134579852427</v>
      </c>
      <c r="DE85" s="419">
        <f t="shared" ca="1" si="121"/>
        <v>3154.9636481719585</v>
      </c>
      <c r="DF85" s="419">
        <f t="shared" ca="1" si="121"/>
        <v>2954.7482483406311</v>
      </c>
      <c r="DG85" s="419">
        <f t="shared" ca="1" si="121"/>
        <v>2381.8139738682257</v>
      </c>
      <c r="DH85" s="420">
        <f t="shared" ca="1" si="121"/>
        <v>10954.739328366057</v>
      </c>
      <c r="DI85" s="419">
        <f ca="1">DI77+DI84</f>
        <v>2617.2167356298482</v>
      </c>
      <c r="DJ85" s="419">
        <f ca="1">DJ77+DJ84</f>
        <v>3343.3529195195856</v>
      </c>
      <c r="DK85" s="419">
        <f ca="1">DK77+DK84</f>
        <v>3134.9551791388863</v>
      </c>
      <c r="DL85" s="419">
        <f ca="1">DL77+DL84</f>
        <v>2534.5332536035344</v>
      </c>
      <c r="DM85" s="420">
        <f ca="1">DM77+DM84</f>
        <v>11630.058087891854</v>
      </c>
      <c r="DN85" s="207"/>
    </row>
    <row r="86" spans="1:118" ht="16.5" hidden="1" customHeight="1" outlineLevel="1" x14ac:dyDescent="0.25">
      <c r="A86" s="422"/>
      <c r="B86" s="422"/>
      <c r="C86" s="422"/>
      <c r="D86" s="422"/>
      <c r="E86" s="422"/>
      <c r="F86" s="422"/>
      <c r="G86" s="443"/>
      <c r="H86" s="422"/>
      <c r="I86" s="422"/>
      <c r="J86" s="422"/>
      <c r="K86" s="422"/>
      <c r="L86" s="443"/>
      <c r="M86" s="422"/>
      <c r="N86" s="422"/>
      <c r="O86" s="422"/>
      <c r="P86" s="422"/>
      <c r="Q86" s="443"/>
      <c r="R86" s="422"/>
      <c r="S86" s="422"/>
      <c r="T86" s="422"/>
      <c r="U86" s="422"/>
      <c r="V86" s="443"/>
      <c r="W86" s="422"/>
      <c r="X86" s="422"/>
      <c r="Y86" s="422"/>
      <c r="Z86" s="422"/>
      <c r="AA86" s="443"/>
      <c r="AB86" s="422"/>
      <c r="AC86" s="422"/>
      <c r="AD86" s="422"/>
      <c r="AE86" s="422"/>
      <c r="AF86" s="443"/>
      <c r="AG86" s="422"/>
      <c r="AH86" s="422"/>
      <c r="AI86" s="422"/>
      <c r="AJ86" s="422"/>
      <c r="AK86" s="443"/>
      <c r="AL86" s="422"/>
      <c r="AM86" s="422"/>
      <c r="AN86" s="422"/>
      <c r="AO86" s="422"/>
      <c r="AP86" s="443"/>
      <c r="AQ86" s="422"/>
      <c r="AR86" s="422"/>
      <c r="AS86" s="422"/>
      <c r="AT86" s="422"/>
      <c r="AU86" s="443"/>
      <c r="AV86" s="422"/>
      <c r="AW86" s="422"/>
      <c r="AX86" s="422"/>
      <c r="AY86" s="422"/>
      <c r="AZ86" s="443"/>
      <c r="BA86" s="422"/>
      <c r="BB86" s="422"/>
      <c r="BC86" s="422"/>
      <c r="BD86" s="418"/>
      <c r="BE86" s="443"/>
      <c r="BF86" s="418"/>
      <c r="BG86" s="418"/>
      <c r="BH86" s="418"/>
      <c r="BI86" s="418"/>
      <c r="BJ86" s="443"/>
      <c r="BK86" s="513"/>
      <c r="BL86" s="516"/>
      <c r="BM86" s="513"/>
      <c r="BN86" s="513"/>
      <c r="BO86" s="514"/>
      <c r="BP86" s="513"/>
      <c r="BQ86" s="513"/>
      <c r="BR86" s="513"/>
      <c r="BS86" s="513"/>
      <c r="BT86" s="514"/>
      <c r="BU86" s="513"/>
      <c r="BV86" s="513"/>
      <c r="BW86" s="513"/>
      <c r="BX86" s="513"/>
      <c r="BY86" s="514"/>
      <c r="BZ86" s="418"/>
      <c r="CA86" s="418"/>
      <c r="CB86" s="418"/>
      <c r="CC86" s="418"/>
      <c r="CD86" s="550"/>
      <c r="CE86" s="418"/>
      <c r="CF86" s="418"/>
      <c r="CG86" s="418"/>
      <c r="CH86" s="418"/>
      <c r="CI86" s="550"/>
      <c r="CJ86" s="418"/>
      <c r="CK86" s="418"/>
      <c r="CL86" s="418"/>
      <c r="CM86" s="418"/>
      <c r="CN86" s="443"/>
      <c r="CO86" s="418"/>
      <c r="CP86" s="418"/>
      <c r="CQ86" s="418"/>
      <c r="CR86" s="530"/>
      <c r="CS86" s="443"/>
      <c r="CT86" s="418"/>
      <c r="CU86" s="418"/>
      <c r="CV86" s="418"/>
      <c r="CW86" s="418"/>
      <c r="CX86" s="443"/>
      <c r="CY86" s="418"/>
      <c r="CZ86" s="418"/>
      <c r="DA86" s="418"/>
      <c r="DB86" s="418"/>
      <c r="DC86" s="443"/>
      <c r="DD86" s="418"/>
      <c r="DE86" s="418"/>
      <c r="DF86" s="418"/>
      <c r="DG86" s="418"/>
      <c r="DH86" s="443"/>
      <c r="DI86" s="418"/>
      <c r="DJ86" s="418"/>
      <c r="DK86" s="418"/>
      <c r="DL86" s="418"/>
      <c r="DM86" s="443"/>
      <c r="DN86" s="207"/>
    </row>
    <row r="87" spans="1:118" ht="16.5" hidden="1" customHeight="1" outlineLevel="1" x14ac:dyDescent="0.25">
      <c r="A87" s="528" t="s">
        <v>41</v>
      </c>
      <c r="B87" s="422"/>
      <c r="C87" s="517"/>
      <c r="D87" s="517"/>
      <c r="E87" s="517"/>
      <c r="F87" s="517"/>
      <c r="G87" s="518"/>
      <c r="H87" s="517"/>
      <c r="I87" s="517"/>
      <c r="J87" s="517"/>
      <c r="K87" s="517"/>
      <c r="L87" s="518"/>
      <c r="M87" s="517"/>
      <c r="N87" s="517"/>
      <c r="O87" s="517"/>
      <c r="P87" s="517"/>
      <c r="Q87" s="518"/>
      <c r="R87" s="517"/>
      <c r="S87" s="517"/>
      <c r="T87" s="517"/>
      <c r="U87" s="517"/>
      <c r="V87" s="518"/>
      <c r="W87" s="517"/>
      <c r="X87" s="517"/>
      <c r="Y87" s="517"/>
      <c r="Z87" s="517"/>
      <c r="AA87" s="518"/>
      <c r="AB87" s="517">
        <f t="shared" ref="AB87:AZ87" si="122">AB85/AB90</f>
        <v>0.2078838174273859</v>
      </c>
      <c r="AC87" s="517">
        <f t="shared" si="122"/>
        <v>0.35880882965431071</v>
      </c>
      <c r="AD87" s="517">
        <f t="shared" si="122"/>
        <v>0.26897274633123691</v>
      </c>
      <c r="AE87" s="517">
        <f t="shared" si="122"/>
        <v>0.18189473684210528</v>
      </c>
      <c r="AF87" s="518">
        <f t="shared" si="122"/>
        <v>1.0180754362135618</v>
      </c>
      <c r="AG87" s="517">
        <f t="shared" si="122"/>
        <v>0.23372781065088757</v>
      </c>
      <c r="AH87" s="517">
        <f t="shared" si="122"/>
        <v>0.39030612244897961</v>
      </c>
      <c r="AI87" s="517">
        <f t="shared" si="122"/>
        <v>0.31156636790439607</v>
      </c>
      <c r="AJ87" s="517">
        <f t="shared" si="122"/>
        <v>0.14480991029474582</v>
      </c>
      <c r="AK87" s="518">
        <f t="shared" si="122"/>
        <v>1.0806211444373537</v>
      </c>
      <c r="AL87" s="517">
        <f t="shared" si="122"/>
        <v>0.27186557518311072</v>
      </c>
      <c r="AM87" s="517">
        <f t="shared" si="122"/>
        <v>0.3978933791917455</v>
      </c>
      <c r="AN87" s="517">
        <f t="shared" si="122"/>
        <v>0.35478335478335477</v>
      </c>
      <c r="AO87" s="517">
        <f t="shared" si="122"/>
        <v>0.25862803579037069</v>
      </c>
      <c r="AP87" s="518">
        <f t="shared" si="122"/>
        <v>1.2827882037533511</v>
      </c>
      <c r="AQ87" s="517">
        <f t="shared" si="122"/>
        <v>0.31901318587834965</v>
      </c>
      <c r="AR87" s="517">
        <f t="shared" si="122"/>
        <v>0.30345710627400768</v>
      </c>
      <c r="AS87" s="517">
        <f t="shared" si="122"/>
        <v>0.40575354229282956</v>
      </c>
      <c r="AT87" s="517">
        <f t="shared" si="122"/>
        <v>0.21434726411029728</v>
      </c>
      <c r="AU87" s="518">
        <f t="shared" si="122"/>
        <v>1.2429366438356164</v>
      </c>
      <c r="AV87" s="517">
        <f t="shared" si="122"/>
        <v>0.29064251832686505</v>
      </c>
      <c r="AW87" s="517">
        <f t="shared" si="122"/>
        <v>0.4384416702539819</v>
      </c>
      <c r="AX87" s="517">
        <f t="shared" si="122"/>
        <v>0.40651801029159518</v>
      </c>
      <c r="AY87" s="517">
        <f t="shared" si="122"/>
        <v>0.32941929974380874</v>
      </c>
      <c r="AZ87" s="518">
        <f t="shared" si="122"/>
        <v>1.4650064405324172</v>
      </c>
      <c r="BA87" s="517">
        <f t="shared" ref="BA87:CF87" si="123">BA85/BA90</f>
        <v>0.34679845294370432</v>
      </c>
      <c r="BB87" s="517">
        <f t="shared" si="123"/>
        <v>0.5094623655913979</v>
      </c>
      <c r="BC87" s="517">
        <f t="shared" si="123"/>
        <v>0.43985445205479451</v>
      </c>
      <c r="BD87" s="519">
        <f t="shared" si="123"/>
        <v>1.228395061728395</v>
      </c>
      <c r="BE87" s="518">
        <f t="shared" si="123"/>
        <v>2.530861551650236</v>
      </c>
      <c r="BF87" s="519">
        <f t="shared" si="123"/>
        <v>0.40755040755040756</v>
      </c>
      <c r="BG87" s="519">
        <f t="shared" si="123"/>
        <v>0.6002145922746781</v>
      </c>
      <c r="BH87" s="519">
        <f t="shared" si="123"/>
        <v>0.47742906276870162</v>
      </c>
      <c r="BI87" s="519">
        <f t="shared" si="123"/>
        <v>0.35862966175195143</v>
      </c>
      <c r="BJ87" s="518">
        <f t="shared" si="123"/>
        <v>1.844829441515119</v>
      </c>
      <c r="BK87" s="519">
        <f t="shared" si="123"/>
        <v>0.4463276836158192</v>
      </c>
      <c r="BL87" s="517">
        <f t="shared" si="123"/>
        <v>0.6071428571428571</v>
      </c>
      <c r="BM87" s="519">
        <f t="shared" si="123"/>
        <v>0.50381512971441034</v>
      </c>
      <c r="BN87" s="519">
        <f t="shared" si="123"/>
        <v>0.40947992100065833</v>
      </c>
      <c r="BO87" s="518">
        <f t="shared" si="123"/>
        <v>1.9674956369982548</v>
      </c>
      <c r="BP87" s="519">
        <f t="shared" si="123"/>
        <v>0.38653421633554086</v>
      </c>
      <c r="BQ87" s="519">
        <f t="shared" si="123"/>
        <v>0.59111994698475812</v>
      </c>
      <c r="BR87" s="519">
        <f t="shared" si="123"/>
        <v>0.54401956425077813</v>
      </c>
      <c r="BS87" s="519">
        <f t="shared" si="123"/>
        <v>0.38152610441767071</v>
      </c>
      <c r="BT87" s="518">
        <f t="shared" si="123"/>
        <v>1.9036425126129621</v>
      </c>
      <c r="BU87" s="519">
        <f t="shared" si="123"/>
        <v>0.43660394265232977</v>
      </c>
      <c r="BV87" s="519">
        <f t="shared" si="123"/>
        <v>0.64054782218230799</v>
      </c>
      <c r="BW87" s="519">
        <f t="shared" si="123"/>
        <v>0.52958380202474686</v>
      </c>
      <c r="BX87" s="519">
        <f t="shared" si="123"/>
        <v>0.43610547667342797</v>
      </c>
      <c r="BY87" s="518">
        <f t="shared" si="123"/>
        <v>2.0429213483146067</v>
      </c>
      <c r="BZ87" s="519">
        <f t="shared" si="123"/>
        <v>0.47580280416101312</v>
      </c>
      <c r="CA87" s="519">
        <f t="shared" si="123"/>
        <v>0.6308983666061706</v>
      </c>
      <c r="CB87" s="519">
        <f t="shared" si="123"/>
        <v>0.50784269152080019</v>
      </c>
      <c r="CC87" s="519">
        <f t="shared" si="123"/>
        <v>0.38223234624145785</v>
      </c>
      <c r="CD87" s="518">
        <f t="shared" si="123"/>
        <v>1.9971621544923095</v>
      </c>
      <c r="CE87" s="519">
        <f t="shared" si="123"/>
        <v>0.45458694659972615</v>
      </c>
      <c r="CF87" s="519">
        <f t="shared" si="123"/>
        <v>0.59835503769705278</v>
      </c>
      <c r="CG87" s="519">
        <f t="shared" ref="CG87:CX87" si="124">CG85/CG90</f>
        <v>0.49266727772685609</v>
      </c>
      <c r="CH87" s="519">
        <f t="shared" si="124"/>
        <v>0.36524741081703105</v>
      </c>
      <c r="CI87" s="518">
        <f t="shared" si="124"/>
        <v>1.9116098007785665</v>
      </c>
      <c r="CJ87" s="519">
        <f t="shared" si="124"/>
        <v>0.43354868481772035</v>
      </c>
      <c r="CK87" s="519">
        <f t="shared" si="124"/>
        <v>0.58839842847238266</v>
      </c>
      <c r="CL87" s="519">
        <f t="shared" si="124"/>
        <v>0.50370370370370365</v>
      </c>
      <c r="CM87" s="519">
        <f t="shared" si="124"/>
        <v>0.38818076477404401</v>
      </c>
      <c r="CN87" s="518">
        <f t="shared" si="124"/>
        <v>1.913968547641073</v>
      </c>
      <c r="CO87" s="519">
        <f t="shared" si="124"/>
        <v>0.46980956804458895</v>
      </c>
      <c r="CP87" s="519">
        <f t="shared" ca="1" si="124"/>
        <v>0.60676368271809145</v>
      </c>
      <c r="CQ87" s="519">
        <f t="shared" ca="1" si="124"/>
        <v>0.56523290205916921</v>
      </c>
      <c r="CR87" s="519">
        <f t="shared" ca="1" si="124"/>
        <v>0.44886677456935231</v>
      </c>
      <c r="CS87" s="518">
        <f t="shared" ca="1" si="124"/>
        <v>2.0906654729405956</v>
      </c>
      <c r="CT87" s="519">
        <f t="shared" ca="1" si="124"/>
        <v>0.49956646436550972</v>
      </c>
      <c r="CU87" s="519">
        <f t="shared" ca="1" si="124"/>
        <v>0.64466771943599577</v>
      </c>
      <c r="CV87" s="519">
        <f t="shared" ca="1" si="124"/>
        <v>0.60206682799694244</v>
      </c>
      <c r="CW87" s="519">
        <f t="shared" ca="1" si="124"/>
        <v>0.48169409853699535</v>
      </c>
      <c r="CX87" s="518">
        <f t="shared" ca="1" si="124"/>
        <v>2.2280090841342295</v>
      </c>
      <c r="CY87" s="519">
        <f t="shared" ref="CY87:DH87" ca="1" si="125">CY85/CY90</f>
        <v>0.53641204357005745</v>
      </c>
      <c r="CZ87" s="519">
        <f t="shared" ca="1" si="125"/>
        <v>0.6897108364578276</v>
      </c>
      <c r="DA87" s="519">
        <f t="shared" ca="1" si="125"/>
        <v>0.64516749937326501</v>
      </c>
      <c r="DB87" s="519">
        <f t="shared" ca="1" si="125"/>
        <v>0.51825893119189703</v>
      </c>
      <c r="DC87" s="518">
        <f t="shared" ca="1" si="125"/>
        <v>2.3895637055381176</v>
      </c>
      <c r="DD87" s="519">
        <f t="shared" ca="1" si="125"/>
        <v>0.57342376440802978</v>
      </c>
      <c r="DE87" s="519">
        <f t="shared" ca="1" si="125"/>
        <v>0.73458800271764801</v>
      </c>
      <c r="DF87" s="519">
        <f t="shared" ca="1" si="125"/>
        <v>0.6880908795949422</v>
      </c>
      <c r="DG87" s="519">
        <f t="shared" ca="1" si="125"/>
        <v>0.55476495155168737</v>
      </c>
      <c r="DH87" s="518">
        <f t="shared" ca="1" si="125"/>
        <v>2.5508765463653642</v>
      </c>
      <c r="DI87" s="519">
        <f ca="1">DI85/DI90</f>
        <v>0.60966525594848398</v>
      </c>
      <c r="DJ87" s="519">
        <f ca="1">DJ85/DJ90</f>
        <v>0.77885976984236582</v>
      </c>
      <c r="DK87" s="519">
        <f ca="1">DK85/DK90</f>
        <v>0.73035444925918314</v>
      </c>
      <c r="DL87" s="519">
        <f ca="1">DL85/DL90</f>
        <v>0.59050779126971709</v>
      </c>
      <c r="DM87" s="518">
        <f ca="1">DM85/DM90</f>
        <v>2.7093903524500531</v>
      </c>
      <c r="DN87" s="207"/>
    </row>
    <row r="88" spans="1:118" ht="15" hidden="1" outlineLevel="1" x14ac:dyDescent="0.2">
      <c r="A88" s="422"/>
      <c r="B88" s="422"/>
      <c r="C88" s="422"/>
      <c r="D88" s="422"/>
      <c r="E88" s="422"/>
      <c r="F88" s="422"/>
      <c r="G88" s="443"/>
      <c r="H88" s="422"/>
      <c r="I88" s="422"/>
      <c r="J88" s="422"/>
      <c r="K88" s="422"/>
      <c r="L88" s="443"/>
      <c r="M88" s="422"/>
      <c r="N88" s="422"/>
      <c r="O88" s="422"/>
      <c r="P88" s="422"/>
      <c r="Q88" s="443"/>
      <c r="R88" s="422"/>
      <c r="S88" s="422"/>
      <c r="T88" s="422"/>
      <c r="U88" s="422"/>
      <c r="V88" s="443"/>
      <c r="W88" s="422"/>
      <c r="X88" s="422"/>
      <c r="Y88" s="422"/>
      <c r="Z88" s="422"/>
      <c r="AA88" s="443"/>
      <c r="AB88" s="422"/>
      <c r="AC88" s="422"/>
      <c r="AD88" s="422"/>
      <c r="AE88" s="422"/>
      <c r="AF88" s="443"/>
      <c r="AG88" s="422"/>
      <c r="AH88" s="422"/>
      <c r="AI88" s="422"/>
      <c r="AJ88" s="422"/>
      <c r="AK88" s="443"/>
      <c r="AL88" s="422"/>
      <c r="AM88" s="422"/>
      <c r="AN88" s="422"/>
      <c r="AO88" s="422"/>
      <c r="AP88" s="443"/>
      <c r="AQ88" s="422"/>
      <c r="AR88" s="422"/>
      <c r="AS88" s="422"/>
      <c r="AT88" s="422"/>
      <c r="AU88" s="443"/>
      <c r="AV88" s="422"/>
      <c r="AW88" s="422"/>
      <c r="AX88" s="422"/>
      <c r="AY88" s="422"/>
      <c r="AZ88" s="443"/>
      <c r="BA88" s="422"/>
      <c r="BB88" s="422"/>
      <c r="BC88" s="422"/>
      <c r="BD88" s="418"/>
      <c r="BE88" s="443"/>
      <c r="BF88" s="418"/>
      <c r="BG88" s="418"/>
      <c r="BH88" s="422"/>
      <c r="BI88" s="422"/>
      <c r="BJ88" s="443"/>
      <c r="BK88" s="418"/>
      <c r="BL88" s="422"/>
      <c r="BM88" s="418"/>
      <c r="BN88" s="418"/>
      <c r="BO88" s="443"/>
      <c r="BP88" s="418"/>
      <c r="BQ88" s="418"/>
      <c r="BR88" s="418"/>
      <c r="BS88" s="418"/>
      <c r="BT88" s="443"/>
      <c r="BU88" s="418"/>
      <c r="BV88" s="418"/>
      <c r="BW88" s="418"/>
      <c r="BX88" s="418"/>
      <c r="BY88" s="443"/>
      <c r="BZ88" s="418"/>
      <c r="CA88" s="418"/>
      <c r="CB88" s="418"/>
      <c r="CC88" s="418"/>
      <c r="CD88" s="443"/>
      <c r="CE88" s="418"/>
      <c r="CF88" s="418"/>
      <c r="CG88" s="418"/>
      <c r="CH88" s="418"/>
      <c r="CI88" s="457"/>
      <c r="CJ88" s="418"/>
      <c r="CK88" s="418"/>
      <c r="CL88" s="418"/>
      <c r="CM88" s="418"/>
      <c r="CN88" s="457"/>
      <c r="CO88" s="418"/>
      <c r="CP88" s="418"/>
      <c r="CQ88" s="418"/>
      <c r="CR88" s="418"/>
      <c r="CS88" s="443"/>
      <c r="CT88" s="418"/>
      <c r="CU88" s="418"/>
      <c r="CV88" s="418"/>
      <c r="CW88" s="418"/>
      <c r="CX88" s="443"/>
      <c r="CY88" s="418"/>
      <c r="CZ88" s="418"/>
      <c r="DA88" s="418"/>
      <c r="DB88" s="418"/>
      <c r="DC88" s="443"/>
      <c r="DD88" s="418"/>
      <c r="DE88" s="418"/>
      <c r="DF88" s="418"/>
      <c r="DG88" s="418"/>
      <c r="DH88" s="443"/>
      <c r="DI88" s="418"/>
      <c r="DJ88" s="418"/>
      <c r="DK88" s="418"/>
      <c r="DL88" s="418"/>
      <c r="DM88" s="443"/>
      <c r="DN88" s="207"/>
    </row>
    <row r="89" spans="1:118" ht="16.5" customHeight="1" collapsed="1" x14ac:dyDescent="0.2">
      <c r="A89" s="422" t="s">
        <v>42</v>
      </c>
      <c r="B89" s="422"/>
      <c r="C89" s="429"/>
      <c r="D89" s="429"/>
      <c r="E89" s="429"/>
      <c r="F89" s="429"/>
      <c r="G89" s="430"/>
      <c r="H89" s="429"/>
      <c r="I89" s="429"/>
      <c r="J89" s="429"/>
      <c r="K89" s="429"/>
      <c r="L89" s="430"/>
      <c r="M89" s="429"/>
      <c r="N89" s="429"/>
      <c r="O89" s="429"/>
      <c r="P89" s="429"/>
      <c r="Q89" s="430"/>
      <c r="R89" s="429">
        <v>4938</v>
      </c>
      <c r="S89" s="429">
        <v>4926</v>
      </c>
      <c r="T89" s="429">
        <v>4914</v>
      </c>
      <c r="U89" s="429">
        <v>4895.7624999999989</v>
      </c>
      <c r="V89" s="430">
        <v>4918.4406249999993</v>
      </c>
      <c r="W89" s="429">
        <v>4877.5613059999996</v>
      </c>
      <c r="X89" s="429">
        <v>4859.0182839999998</v>
      </c>
      <c r="Y89" s="429">
        <v>4842</v>
      </c>
      <c r="Z89" s="429">
        <v>4825.5188739999994</v>
      </c>
      <c r="AA89" s="430">
        <v>4856.6287006504845</v>
      </c>
      <c r="AB89" s="429">
        <v>4818.070847</v>
      </c>
      <c r="AC89" s="429">
        <v>4798</v>
      </c>
      <c r="AD89" s="429">
        <v>4768</v>
      </c>
      <c r="AE89" s="429">
        <v>4750</v>
      </c>
      <c r="AF89" s="430">
        <v>4777.9617565770304</v>
      </c>
      <c r="AG89" s="429">
        <v>4730</v>
      </c>
      <c r="AH89" s="429">
        <v>4699</v>
      </c>
      <c r="AI89" s="429">
        <v>4684</v>
      </c>
      <c r="AJ89" s="429">
        <v>4672</v>
      </c>
      <c r="AK89" s="430">
        <v>4688.140429958391</v>
      </c>
      <c r="AL89" s="429">
        <v>4627.2040816326535</v>
      </c>
      <c r="AM89" s="429">
        <v>4624</v>
      </c>
      <c r="AN89" s="429">
        <v>4622</v>
      </c>
      <c r="AO89" s="429">
        <v>4626</v>
      </c>
      <c r="AP89" s="430">
        <v>4633.616603923123</v>
      </c>
      <c r="AQ89" s="429">
        <v>4644</v>
      </c>
      <c r="AR89" s="429">
        <v>4632</v>
      </c>
      <c r="AS89" s="429">
        <v>4622</v>
      </c>
      <c r="AT89" s="429">
        <v>4624</v>
      </c>
      <c r="AU89" s="430">
        <v>4630</v>
      </c>
      <c r="AV89" s="429">
        <v>4626</v>
      </c>
      <c r="AW89" s="429">
        <v>4626</v>
      </c>
      <c r="AX89" s="429">
        <v>4628</v>
      </c>
      <c r="AY89" s="429">
        <v>4624</v>
      </c>
      <c r="AZ89" s="430">
        <v>4626</v>
      </c>
      <c r="BA89" s="429">
        <v>4608</v>
      </c>
      <c r="BB89" s="429">
        <v>4612</v>
      </c>
      <c r="BC89" s="429">
        <v>4620</v>
      </c>
      <c r="BD89" s="429">
        <v>4622</v>
      </c>
      <c r="BE89" s="430">
        <v>4616</v>
      </c>
      <c r="BF89" s="429">
        <v>4584</v>
      </c>
      <c r="BG89" s="429">
        <v>4580</v>
      </c>
      <c r="BH89" s="429">
        <v>4572</v>
      </c>
      <c r="BI89" s="429">
        <v>4536</v>
      </c>
      <c r="BJ89" s="430">
        <v>4568</v>
      </c>
      <c r="BK89" s="429">
        <v>4526</v>
      </c>
      <c r="BL89" s="429">
        <v>4511</v>
      </c>
      <c r="BM89" s="429">
        <v>4502</v>
      </c>
      <c r="BN89" s="429">
        <v>4479</v>
      </c>
      <c r="BO89" s="430">
        <v>4504</v>
      </c>
      <c r="BP89" s="429">
        <v>4455</v>
      </c>
      <c r="BQ89" s="429">
        <v>4446</v>
      </c>
      <c r="BR89" s="429">
        <v>4426</v>
      </c>
      <c r="BS89" s="429">
        <v>4410</v>
      </c>
      <c r="BT89" s="430">
        <f>AVERAGE(BP89:BS89)</f>
        <v>4434.25</v>
      </c>
      <c r="BU89" s="429">
        <v>4401</v>
      </c>
      <c r="BV89" s="429">
        <f>BV97</f>
        <v>4388.5</v>
      </c>
      <c r="BW89" s="429">
        <v>4383</v>
      </c>
      <c r="BX89" s="429">
        <v>4375</v>
      </c>
      <c r="BY89" s="430">
        <f>AVERAGE(BU89:BX89)</f>
        <v>4386.875</v>
      </c>
      <c r="BZ89" s="429">
        <v>4365</v>
      </c>
      <c r="CA89" s="540">
        <v>4355</v>
      </c>
      <c r="CB89" s="540">
        <v>4349</v>
      </c>
      <c r="CC89" s="540">
        <v>4336</v>
      </c>
      <c r="CD89" s="430">
        <f>AVERAGE(BZ89:CC89)</f>
        <v>4351.25</v>
      </c>
      <c r="CE89" s="540">
        <v>4328</v>
      </c>
      <c r="CF89" s="429">
        <v>4323</v>
      </c>
      <c r="CG89" s="429">
        <f>CG97</f>
        <v>4314</v>
      </c>
      <c r="CH89" s="429">
        <v>4303</v>
      </c>
      <c r="CI89" s="430">
        <f>AVERAGE(CE89:CH89)</f>
        <v>4317</v>
      </c>
      <c r="CJ89" s="429">
        <v>4287</v>
      </c>
      <c r="CK89" s="429">
        <v>4273</v>
      </c>
      <c r="CL89" s="429">
        <v>4266</v>
      </c>
      <c r="CM89" s="838">
        <v>4261</v>
      </c>
      <c r="CN89" s="430">
        <f>AVERAGE(CJ89:CM89)</f>
        <v>4271.75</v>
      </c>
      <c r="CO89" s="838">
        <v>4265</v>
      </c>
      <c r="CP89" s="429">
        <f>CP97</f>
        <v>4258.5</v>
      </c>
      <c r="CQ89" s="429">
        <f>CQ97</f>
        <v>4257.5</v>
      </c>
      <c r="CR89" s="429">
        <f>CR97</f>
        <v>4258</v>
      </c>
      <c r="CS89" s="430">
        <f>AVERAGE(CO89:CR89)</f>
        <v>4259.75</v>
      </c>
      <c r="CT89" s="429">
        <f>CT97</f>
        <v>4258.375</v>
      </c>
      <c r="CU89" s="429">
        <f>CU97</f>
        <v>4257.125</v>
      </c>
      <c r="CV89" s="429">
        <f>CV97</f>
        <v>4255.875</v>
      </c>
      <c r="CW89" s="429">
        <f>CW97</f>
        <v>4254.625</v>
      </c>
      <c r="CX89" s="430">
        <f>AVERAGE(CT89:CW89)</f>
        <v>4256.5</v>
      </c>
      <c r="CY89" s="429">
        <f>CY97</f>
        <v>4253.375</v>
      </c>
      <c r="CZ89" s="429">
        <f>CZ97</f>
        <v>4252.125</v>
      </c>
      <c r="DA89" s="429">
        <f>DA97</f>
        <v>4250.875</v>
      </c>
      <c r="DB89" s="429">
        <f>DB97</f>
        <v>4249.625</v>
      </c>
      <c r="DC89" s="430">
        <f>AVERAGE(CY89:DB89)</f>
        <v>4251.5</v>
      </c>
      <c r="DD89" s="429">
        <f>DD97</f>
        <v>4248.625</v>
      </c>
      <c r="DE89" s="429">
        <f>DE97</f>
        <v>4247.875</v>
      </c>
      <c r="DF89" s="429">
        <f>DF97</f>
        <v>4247.125</v>
      </c>
      <c r="DG89" s="429">
        <f>DG97</f>
        <v>4246.375</v>
      </c>
      <c r="DH89" s="430">
        <f>AVERAGE(DD89:DG89)</f>
        <v>4247.5</v>
      </c>
      <c r="DI89" s="429">
        <f>DI97</f>
        <v>4245.875</v>
      </c>
      <c r="DJ89" s="429">
        <f>DJ97</f>
        <v>4245.625</v>
      </c>
      <c r="DK89" s="429">
        <f>DK97</f>
        <v>4245.375</v>
      </c>
      <c r="DL89" s="429">
        <f>DL97</f>
        <v>4245.125</v>
      </c>
      <c r="DM89" s="430">
        <f>AVERAGE(DI89:DL89)</f>
        <v>4245.5</v>
      </c>
      <c r="DN89" s="278"/>
    </row>
    <row r="90" spans="1:118" ht="16.5" customHeight="1" x14ac:dyDescent="0.2">
      <c r="A90" s="422" t="s">
        <v>43</v>
      </c>
      <c r="B90" s="422"/>
      <c r="C90" s="429">
        <v>4944</v>
      </c>
      <c r="D90" s="429">
        <v>4960</v>
      </c>
      <c r="E90" s="429">
        <v>4978</v>
      </c>
      <c r="F90" s="429">
        <v>4992</v>
      </c>
      <c r="G90" s="529">
        <v>5022</v>
      </c>
      <c r="H90" s="429">
        <v>4980</v>
      </c>
      <c r="I90" s="429">
        <v>4976</v>
      </c>
      <c r="J90" s="429">
        <v>4976</v>
      </c>
      <c r="K90" s="429">
        <v>4974</v>
      </c>
      <c r="L90" s="529">
        <v>4976.5</v>
      </c>
      <c r="M90" s="429">
        <v>4970</v>
      </c>
      <c r="N90" s="429">
        <v>4976</v>
      </c>
      <c r="O90" s="429">
        <v>4964</v>
      </c>
      <c r="P90" s="429">
        <v>4956</v>
      </c>
      <c r="Q90" s="529">
        <v>4966.5</v>
      </c>
      <c r="R90" s="429">
        <v>4944</v>
      </c>
      <c r="S90" s="429">
        <v>4932</v>
      </c>
      <c r="T90" s="429">
        <v>4916</v>
      </c>
      <c r="U90" s="429">
        <v>4904</v>
      </c>
      <c r="V90" s="529">
        <v>4924</v>
      </c>
      <c r="W90" s="429">
        <v>4888</v>
      </c>
      <c r="X90" s="429">
        <v>4868</v>
      </c>
      <c r="Y90" s="429">
        <v>4848</v>
      </c>
      <c r="Z90" s="429">
        <v>4830</v>
      </c>
      <c r="AA90" s="529">
        <v>4858</v>
      </c>
      <c r="AB90" s="429">
        <v>4820</v>
      </c>
      <c r="AC90" s="429">
        <v>4802</v>
      </c>
      <c r="AD90" s="429">
        <v>4770</v>
      </c>
      <c r="AE90" s="429">
        <v>4750</v>
      </c>
      <c r="AF90" s="529">
        <v>4785.5</v>
      </c>
      <c r="AG90" s="429">
        <v>4732</v>
      </c>
      <c r="AH90" s="429">
        <v>4704</v>
      </c>
      <c r="AI90" s="429">
        <v>4686</v>
      </c>
      <c r="AJ90" s="429">
        <v>4682</v>
      </c>
      <c r="AK90" s="529">
        <v>4701</v>
      </c>
      <c r="AL90" s="429">
        <v>4642</v>
      </c>
      <c r="AM90" s="429">
        <v>4652</v>
      </c>
      <c r="AN90" s="429">
        <v>4662</v>
      </c>
      <c r="AO90" s="429">
        <v>4694</v>
      </c>
      <c r="AP90" s="529">
        <v>4662.5</v>
      </c>
      <c r="AQ90" s="429">
        <v>4702</v>
      </c>
      <c r="AR90" s="429">
        <v>4686</v>
      </c>
      <c r="AS90" s="429">
        <v>4658</v>
      </c>
      <c r="AT90" s="429">
        <v>4642</v>
      </c>
      <c r="AU90" s="529">
        <v>4672</v>
      </c>
      <c r="AV90" s="429">
        <v>4638</v>
      </c>
      <c r="AW90" s="429">
        <v>4646</v>
      </c>
      <c r="AX90" s="429">
        <v>4664</v>
      </c>
      <c r="AY90" s="429">
        <v>4684</v>
      </c>
      <c r="AZ90" s="529">
        <v>4658</v>
      </c>
      <c r="BA90" s="429">
        <v>4654</v>
      </c>
      <c r="BB90" s="429">
        <v>4650</v>
      </c>
      <c r="BC90" s="429">
        <v>4672</v>
      </c>
      <c r="BD90" s="429">
        <v>4698</v>
      </c>
      <c r="BE90" s="529">
        <v>4666</v>
      </c>
      <c r="BF90" s="429">
        <v>4662</v>
      </c>
      <c r="BG90" s="429">
        <v>4660</v>
      </c>
      <c r="BH90" s="429">
        <v>4652</v>
      </c>
      <c r="BI90" s="429">
        <v>4612</v>
      </c>
      <c r="BJ90" s="529">
        <v>4646.5</v>
      </c>
      <c r="BK90" s="429">
        <v>4602</v>
      </c>
      <c r="BL90" s="429">
        <v>4592</v>
      </c>
      <c r="BM90" s="429">
        <v>4587</v>
      </c>
      <c r="BN90" s="429">
        <v>4557</v>
      </c>
      <c r="BO90" s="529">
        <v>4584</v>
      </c>
      <c r="BP90" s="429">
        <v>4530</v>
      </c>
      <c r="BQ90" s="429">
        <v>4527</v>
      </c>
      <c r="BR90" s="429">
        <v>4498</v>
      </c>
      <c r="BS90" s="429">
        <v>4482</v>
      </c>
      <c r="BT90" s="529">
        <f>AVERAGE(BP90:BS90)</f>
        <v>4509.25</v>
      </c>
      <c r="BU90" s="429">
        <v>4464</v>
      </c>
      <c r="BV90" s="429">
        <v>4454</v>
      </c>
      <c r="BW90" s="429">
        <v>4445</v>
      </c>
      <c r="BX90" s="540">
        <v>4437</v>
      </c>
      <c r="BY90" s="529">
        <f>AVERAGE(BU90:BX90)</f>
        <v>4450</v>
      </c>
      <c r="BZ90" s="540">
        <v>4422</v>
      </c>
      <c r="CA90" s="540">
        <v>4408</v>
      </c>
      <c r="CB90" s="540">
        <v>4399</v>
      </c>
      <c r="CC90" s="540">
        <v>4390</v>
      </c>
      <c r="CD90" s="529">
        <f>AVERAGE(BZ90:CC90)</f>
        <v>4404.75</v>
      </c>
      <c r="CE90" s="429">
        <v>4382</v>
      </c>
      <c r="CF90" s="429">
        <v>4377</v>
      </c>
      <c r="CG90" s="429">
        <v>4364</v>
      </c>
      <c r="CH90" s="429">
        <v>4345</v>
      </c>
      <c r="CI90" s="529">
        <f>AVERAGE(CE90:CH90)</f>
        <v>4367</v>
      </c>
      <c r="CJ90" s="429">
        <v>4334</v>
      </c>
      <c r="CK90" s="429">
        <v>4327</v>
      </c>
      <c r="CL90" s="429">
        <v>4320</v>
      </c>
      <c r="CM90" s="429">
        <v>4315</v>
      </c>
      <c r="CN90" s="529">
        <v>4324</v>
      </c>
      <c r="CO90" s="838">
        <v>4306</v>
      </c>
      <c r="CP90" s="429">
        <f>CP99</f>
        <v>4305.5</v>
      </c>
      <c r="CQ90" s="429">
        <f>CQ99</f>
        <v>4304.5</v>
      </c>
      <c r="CR90" s="429">
        <f>CR99</f>
        <v>4305</v>
      </c>
      <c r="CS90" s="529">
        <f>AVERAGE(CO90:CR90)</f>
        <v>4305.25</v>
      </c>
      <c r="CT90" s="429">
        <f>CT99</f>
        <v>4305.375</v>
      </c>
      <c r="CU90" s="429">
        <f>CU99</f>
        <v>4304.125</v>
      </c>
      <c r="CV90" s="429">
        <f>CV99</f>
        <v>4302.875</v>
      </c>
      <c r="CW90" s="429">
        <f>CW99</f>
        <v>4301.625</v>
      </c>
      <c r="CX90" s="529">
        <f>AVERAGE(CT90:CW90)</f>
        <v>4303.5</v>
      </c>
      <c r="CY90" s="429">
        <f>CY99</f>
        <v>4300.375</v>
      </c>
      <c r="CZ90" s="429">
        <f>CZ99</f>
        <v>4299.125</v>
      </c>
      <c r="DA90" s="429">
        <f>DA99</f>
        <v>4297.875</v>
      </c>
      <c r="DB90" s="429">
        <f>DB99</f>
        <v>4296.625</v>
      </c>
      <c r="DC90" s="529">
        <f>AVERAGE(CY90:DB90)</f>
        <v>4298.5</v>
      </c>
      <c r="DD90" s="429">
        <f>DD99</f>
        <v>4295.625</v>
      </c>
      <c r="DE90" s="429">
        <f>DE99</f>
        <v>4294.875</v>
      </c>
      <c r="DF90" s="429">
        <f>DF99</f>
        <v>4294.125</v>
      </c>
      <c r="DG90" s="429">
        <f>DG99</f>
        <v>4293.375</v>
      </c>
      <c r="DH90" s="529">
        <f>AVERAGE(DD90:DG90)</f>
        <v>4294.5</v>
      </c>
      <c r="DI90" s="429">
        <f>DI99</f>
        <v>4292.875</v>
      </c>
      <c r="DJ90" s="429">
        <f>DJ99</f>
        <v>4292.625</v>
      </c>
      <c r="DK90" s="429">
        <f>DK99</f>
        <v>4292.375</v>
      </c>
      <c r="DL90" s="429">
        <f>DL99</f>
        <v>4292.125</v>
      </c>
      <c r="DM90" s="529">
        <f>AVERAGE(DI90:DL90)</f>
        <v>4292.5</v>
      </c>
      <c r="DN90" s="278"/>
    </row>
    <row r="91" spans="1:118" ht="15" x14ac:dyDescent="0.2">
      <c r="A91" s="220"/>
      <c r="B91" s="220"/>
      <c r="C91" s="288"/>
      <c r="D91" s="288"/>
      <c r="E91" s="288"/>
      <c r="F91" s="288"/>
      <c r="G91" s="288"/>
      <c r="H91" s="288"/>
      <c r="I91" s="288"/>
      <c r="J91" s="288"/>
      <c r="K91" s="288"/>
      <c r="L91" s="288"/>
      <c r="M91" s="288"/>
      <c r="N91" s="288"/>
      <c r="O91" s="288"/>
      <c r="P91" s="288"/>
      <c r="Q91" s="288"/>
      <c r="R91" s="288"/>
      <c r="S91" s="288"/>
      <c r="T91" s="288"/>
      <c r="U91" s="288"/>
      <c r="V91" s="288"/>
      <c r="W91" s="288"/>
      <c r="X91" s="288"/>
      <c r="Y91" s="288"/>
      <c r="Z91" s="288"/>
      <c r="AA91" s="288"/>
      <c r="AB91" s="288"/>
      <c r="AC91" s="288"/>
      <c r="AD91" s="288"/>
      <c r="AE91" s="288"/>
      <c r="AF91" s="288"/>
      <c r="AG91" s="288"/>
      <c r="AH91" s="288"/>
      <c r="AI91" s="288"/>
      <c r="AJ91" s="288"/>
      <c r="AK91" s="288"/>
      <c r="AL91" s="288"/>
      <c r="AM91" s="288"/>
      <c r="AN91" s="288"/>
      <c r="AO91" s="288"/>
      <c r="AP91" s="288"/>
      <c r="AQ91" s="288"/>
      <c r="AR91" s="288"/>
      <c r="AS91" s="288"/>
      <c r="AT91" s="288"/>
      <c r="AU91" s="288"/>
      <c r="AV91" s="288"/>
      <c r="AW91" s="288"/>
      <c r="AX91" s="288"/>
      <c r="AY91" s="288"/>
      <c r="AZ91" s="288"/>
      <c r="BA91" s="288"/>
      <c r="BB91" s="288"/>
      <c r="BC91" s="288"/>
      <c r="BD91" s="288"/>
      <c r="BE91" s="288"/>
      <c r="BF91" s="288"/>
      <c r="BG91" s="288"/>
      <c r="BH91" s="288"/>
      <c r="BI91" s="288"/>
      <c r="BJ91" s="288"/>
      <c r="BK91" s="288"/>
      <c r="BL91" s="289"/>
      <c r="BM91" s="288"/>
      <c r="BN91" s="288"/>
      <c r="BO91" s="288"/>
      <c r="BP91" s="288"/>
      <c r="BQ91" s="289"/>
      <c r="BR91" s="289"/>
      <c r="BS91" s="289"/>
      <c r="BT91" s="289"/>
      <c r="BU91" s="288"/>
      <c r="BV91" s="288"/>
      <c r="BW91" s="288"/>
      <c r="BX91" s="288"/>
      <c r="BY91" s="535"/>
      <c r="BZ91" s="288"/>
      <c r="CA91" s="288"/>
      <c r="CB91" s="288"/>
      <c r="CC91" s="545"/>
      <c r="CD91" s="534"/>
      <c r="CE91" s="558"/>
      <c r="CF91" s="731"/>
      <c r="CG91" s="730"/>
      <c r="CH91" s="726"/>
      <c r="CI91" s="839"/>
      <c r="CJ91" s="726"/>
      <c r="CK91" s="726"/>
      <c r="CL91" s="726"/>
      <c r="CM91" s="726"/>
      <c r="CN91" s="726"/>
      <c r="CO91" s="726"/>
      <c r="CP91" s="726"/>
      <c r="CQ91" s="726"/>
      <c r="CR91" s="726"/>
      <c r="CS91" s="726"/>
      <c r="CT91" s="288"/>
      <c r="CU91" s="288"/>
      <c r="CV91" s="288"/>
      <c r="CW91" s="288"/>
      <c r="CX91" s="726"/>
      <c r="CY91" s="288"/>
      <c r="CZ91" s="288"/>
      <c r="DA91" s="288"/>
      <c r="DB91" s="288"/>
      <c r="DC91" s="726"/>
      <c r="DD91" s="288"/>
      <c r="DE91" s="288"/>
      <c r="DF91" s="288"/>
      <c r="DG91" s="288"/>
      <c r="DH91" s="726"/>
      <c r="DI91" s="288"/>
      <c r="DJ91" s="288"/>
      <c r="DK91" s="288"/>
      <c r="DL91" s="288"/>
      <c r="DM91" s="726"/>
      <c r="DN91" s="220"/>
    </row>
    <row r="92" spans="1:118" ht="16.5" hidden="1" customHeight="1" outlineLevel="1" x14ac:dyDescent="0.25">
      <c r="A92" s="290" t="s">
        <v>44</v>
      </c>
      <c r="B92" s="220"/>
      <c r="C92" s="220"/>
      <c r="D92" s="220"/>
      <c r="E92" s="220"/>
      <c r="F92" s="220"/>
      <c r="G92" s="291"/>
      <c r="H92" s="220"/>
      <c r="I92" s="220"/>
      <c r="J92" s="220"/>
      <c r="K92" s="220"/>
      <c r="L92" s="291"/>
      <c r="M92" s="220"/>
      <c r="N92" s="220"/>
      <c r="O92" s="220"/>
      <c r="P92" s="220"/>
      <c r="Q92" s="291"/>
      <c r="R92" s="292"/>
      <c r="S92" s="292"/>
      <c r="T92" s="292"/>
      <c r="U92" s="292"/>
      <c r="V92" s="292"/>
      <c r="W92" s="292"/>
      <c r="X92" s="292"/>
      <c r="Y92" s="292"/>
      <c r="Z92" s="292"/>
      <c r="AA92" s="292"/>
      <c r="AB92" s="292"/>
      <c r="AC92" s="292"/>
      <c r="AD92" s="292"/>
      <c r="AE92" s="292"/>
      <c r="AF92" s="292"/>
      <c r="AG92" s="292"/>
      <c r="AH92" s="292"/>
      <c r="AI92" s="292"/>
      <c r="AJ92" s="292"/>
      <c r="AK92" s="292"/>
      <c r="AL92" s="292"/>
      <c r="AM92" s="292"/>
      <c r="AN92" s="292"/>
      <c r="AO92" s="292"/>
      <c r="AP92" s="292"/>
      <c r="AQ92" s="292"/>
      <c r="AR92" s="292"/>
      <c r="AS92" s="292"/>
      <c r="AT92" s="292"/>
      <c r="AU92" s="292"/>
      <c r="AV92" s="292"/>
      <c r="AW92" s="292"/>
      <c r="AX92" s="292"/>
      <c r="AY92" s="292"/>
      <c r="AZ92" s="292"/>
      <c r="BA92" s="292"/>
      <c r="BB92" s="292"/>
      <c r="BC92" s="292"/>
      <c r="BD92" s="292"/>
      <c r="BE92" s="292"/>
      <c r="BF92" s="292"/>
      <c r="BG92" s="292"/>
      <c r="BH92" s="292"/>
      <c r="BI92" s="292"/>
      <c r="BJ92" s="292"/>
      <c r="BK92" s="293"/>
      <c r="BL92" s="293"/>
      <c r="BM92" s="293"/>
      <c r="BN92" s="288"/>
      <c r="BO92" s="294"/>
      <c r="BP92" s="295"/>
      <c r="BQ92" s="220"/>
      <c r="BR92" s="220"/>
      <c r="BS92" s="220"/>
      <c r="BT92" s="291"/>
      <c r="BU92" s="220"/>
      <c r="BV92" s="220"/>
      <c r="BW92" s="220"/>
      <c r="BX92" s="220"/>
      <c r="BY92" s="291"/>
      <c r="BZ92" s="220"/>
      <c r="CA92" s="220"/>
      <c r="CB92" s="220"/>
      <c r="CC92" s="220"/>
      <c r="CD92" s="533"/>
      <c r="CE92" s="444"/>
      <c r="CF92" s="728"/>
      <c r="CG92" s="444"/>
      <c r="CH92" s="736"/>
      <c r="CI92" s="737"/>
      <c r="CJ92" s="820"/>
      <c r="CK92" s="220"/>
      <c r="CL92" s="220"/>
      <c r="CM92" s="220"/>
      <c r="CN92" s="822"/>
      <c r="CO92" s="823"/>
      <c r="CP92" s="823"/>
      <c r="CQ92" s="823"/>
      <c r="CR92" s="823"/>
      <c r="CS92" s="833"/>
      <c r="CT92" s="833"/>
      <c r="CU92" s="833"/>
      <c r="CV92" s="833"/>
      <c r="CW92" s="833"/>
      <c r="CX92" s="833"/>
      <c r="CY92" s="823"/>
      <c r="CZ92" s="823"/>
      <c r="DA92" s="823"/>
      <c r="DB92" s="823"/>
      <c r="DC92" s="822"/>
      <c r="DD92" s="823"/>
      <c r="DE92" s="823"/>
      <c r="DF92" s="823"/>
      <c r="DG92" s="823"/>
      <c r="DH92" s="822"/>
      <c r="DI92" s="823"/>
      <c r="DJ92" s="823"/>
      <c r="DK92" s="823"/>
      <c r="DL92" s="823"/>
      <c r="DM92" s="822"/>
      <c r="DN92" s="220"/>
    </row>
    <row r="93" spans="1:118" ht="16.5" hidden="1" customHeight="1" outlineLevel="1" x14ac:dyDescent="0.2">
      <c r="A93" s="244" t="s">
        <v>45</v>
      </c>
      <c r="B93" s="207"/>
      <c r="C93" s="217"/>
      <c r="D93" s="217"/>
      <c r="E93" s="217"/>
      <c r="F93" s="217"/>
      <c r="G93" s="297"/>
      <c r="H93" s="217"/>
      <c r="I93" s="217"/>
      <c r="J93" s="217"/>
      <c r="K93" s="217"/>
      <c r="L93" s="297"/>
      <c r="M93" s="217"/>
      <c r="N93" s="217"/>
      <c r="O93" s="217"/>
      <c r="P93" s="217"/>
      <c r="Q93" s="297"/>
      <c r="R93" s="217">
        <v>4942</v>
      </c>
      <c r="S93" s="217">
        <v>4925.2984293193713</v>
      </c>
      <c r="T93" s="217">
        <v>4925.2</v>
      </c>
      <c r="U93" s="217">
        <v>4902.95</v>
      </c>
      <c r="V93" s="297">
        <v>4942</v>
      </c>
      <c r="W93" s="217">
        <v>4888.5749999999989</v>
      </c>
      <c r="X93" s="217">
        <v>4866.5476120000003</v>
      </c>
      <c r="Y93" s="217">
        <v>4851.4889559999992</v>
      </c>
      <c r="Z93" s="217">
        <v>4832.3606140000002</v>
      </c>
      <c r="AA93" s="297">
        <v>4888.5749999999989</v>
      </c>
      <c r="AB93" s="217">
        <v>4818.6771339999996</v>
      </c>
      <c r="AC93" s="217">
        <v>4817.4645600000003</v>
      </c>
      <c r="AD93" s="217">
        <v>4774.6334939999997</v>
      </c>
      <c r="AE93" s="217">
        <v>4754.9313299999994</v>
      </c>
      <c r="AF93" s="297">
        <v>4818.6771339999996</v>
      </c>
      <c r="AG93" s="217">
        <v>4738</v>
      </c>
      <c r="AH93" s="217">
        <v>4714</v>
      </c>
      <c r="AI93" s="217">
        <v>4684</v>
      </c>
      <c r="AJ93" s="217">
        <v>4684</v>
      </c>
      <c r="AK93" s="297">
        <v>4738</v>
      </c>
      <c r="AL93" s="217">
        <v>4636</v>
      </c>
      <c r="AM93" s="217">
        <v>4618.408163265306</v>
      </c>
      <c r="AN93" s="217">
        <v>4622</v>
      </c>
      <c r="AO93" s="217">
        <v>4616</v>
      </c>
      <c r="AP93" s="297">
        <v>4636</v>
      </c>
      <c r="AQ93" s="217">
        <v>4636</v>
      </c>
      <c r="AR93" s="217">
        <v>4647.5333333333338</v>
      </c>
      <c r="AS93" s="217">
        <v>4620</v>
      </c>
      <c r="AT93" s="217">
        <v>4624</v>
      </c>
      <c r="AU93" s="297">
        <v>4636</v>
      </c>
      <c r="AV93" s="217">
        <v>4624</v>
      </c>
      <c r="AW93" s="217">
        <v>4624</v>
      </c>
      <c r="AX93" s="217">
        <v>4630</v>
      </c>
      <c r="AY93" s="217">
        <v>4628</v>
      </c>
      <c r="AZ93" s="297">
        <v>4624</v>
      </c>
      <c r="BA93" s="213">
        <v>4606</v>
      </c>
      <c r="BB93" s="213">
        <v>4612</v>
      </c>
      <c r="BC93" s="213">
        <v>4614</v>
      </c>
      <c r="BD93" s="213">
        <v>4618</v>
      </c>
      <c r="BE93" s="297">
        <v>4606</v>
      </c>
      <c r="BF93" s="213">
        <v>4584</v>
      </c>
      <c r="BG93" s="213">
        <v>4574</v>
      </c>
      <c r="BH93" s="213">
        <v>4586</v>
      </c>
      <c r="BI93" s="213">
        <v>4542</v>
      </c>
      <c r="BJ93" s="607">
        <v>4584</v>
      </c>
      <c r="BK93" s="429">
        <v>4526</v>
      </c>
      <c r="BL93" s="429">
        <v>4514</v>
      </c>
      <c r="BM93" s="429">
        <f>BL96</f>
        <v>4502</v>
      </c>
      <c r="BN93" s="429">
        <f>BM96</f>
        <v>4486</v>
      </c>
      <c r="BO93" s="607">
        <f>BK93</f>
        <v>4526</v>
      </c>
      <c r="BP93" s="429">
        <f>BO96</f>
        <v>4469</v>
      </c>
      <c r="BQ93" s="429">
        <f>BP96</f>
        <v>4448</v>
      </c>
      <c r="BR93" s="429">
        <f>BQ96</f>
        <v>4434</v>
      </c>
      <c r="BS93" s="429">
        <f>BR96</f>
        <v>4416</v>
      </c>
      <c r="BT93" s="430">
        <f>BP93</f>
        <v>4469</v>
      </c>
      <c r="BU93" s="429">
        <f>BT96</f>
        <v>4402</v>
      </c>
      <c r="BV93" s="429">
        <f>BU96</f>
        <v>4392</v>
      </c>
      <c r="BW93" s="429">
        <f>BV96</f>
        <v>4385</v>
      </c>
      <c r="BX93" s="429">
        <f>BW96</f>
        <v>4375</v>
      </c>
      <c r="BY93" s="430">
        <f>BU93</f>
        <v>4402</v>
      </c>
      <c r="BZ93" s="429">
        <f>BY96</f>
        <v>4366</v>
      </c>
      <c r="CA93" s="429">
        <f>BZ96</f>
        <v>4360</v>
      </c>
      <c r="CB93" s="429">
        <f>CA96</f>
        <v>4349</v>
      </c>
      <c r="CC93" s="429">
        <f>CB96</f>
        <v>4342</v>
      </c>
      <c r="CD93" s="430">
        <f>BZ93</f>
        <v>4366</v>
      </c>
      <c r="CE93" s="429">
        <f>CD96</f>
        <v>4324</v>
      </c>
      <c r="CF93" s="429">
        <f>CE96</f>
        <v>4332</v>
      </c>
      <c r="CG93" s="429">
        <f>CF96</f>
        <v>4315</v>
      </c>
      <c r="CH93" s="429">
        <f>CG96</f>
        <v>4313</v>
      </c>
      <c r="CI93" s="430">
        <f>CE93</f>
        <v>4324</v>
      </c>
      <c r="CJ93" s="429">
        <f>CI96</f>
        <v>4288</v>
      </c>
      <c r="CK93" s="429">
        <f>CJ96</f>
        <v>4273</v>
      </c>
      <c r="CL93" s="429">
        <f>CK96</f>
        <v>4268</v>
      </c>
      <c r="CM93" s="429">
        <f>CL96</f>
        <v>4262</v>
      </c>
      <c r="CN93" s="430">
        <f>CJ93</f>
        <v>4288</v>
      </c>
      <c r="CO93" s="213">
        <f>CN96</f>
        <v>4259</v>
      </c>
      <c r="CP93" s="213">
        <f>CO96</f>
        <v>4259</v>
      </c>
      <c r="CQ93" s="213">
        <f>CP96</f>
        <v>4258</v>
      </c>
      <c r="CR93" s="213">
        <f>CQ96</f>
        <v>4257</v>
      </c>
      <c r="CS93" s="214">
        <f>CO93</f>
        <v>4259</v>
      </c>
      <c r="CT93" s="213">
        <f>CS96</f>
        <v>4259</v>
      </c>
      <c r="CU93" s="213">
        <f>CT96</f>
        <v>4257.75</v>
      </c>
      <c r="CV93" s="213">
        <f>CU96</f>
        <v>4256.5</v>
      </c>
      <c r="CW93" s="213">
        <f>CV96</f>
        <v>4255.25</v>
      </c>
      <c r="CX93" s="214">
        <f>CT93</f>
        <v>4259</v>
      </c>
      <c r="CY93" s="213">
        <f>CX96</f>
        <v>4254</v>
      </c>
      <c r="CZ93" s="213">
        <f>CY96</f>
        <v>4252.75</v>
      </c>
      <c r="DA93" s="213">
        <f>CZ96</f>
        <v>4251.5</v>
      </c>
      <c r="DB93" s="213">
        <f>DA96</f>
        <v>4250.25</v>
      </c>
      <c r="DC93" s="214">
        <f>CY93</f>
        <v>4254</v>
      </c>
      <c r="DD93" s="213">
        <f>DC96</f>
        <v>4249</v>
      </c>
      <c r="DE93" s="213">
        <f>DD96</f>
        <v>4248.25</v>
      </c>
      <c r="DF93" s="213">
        <f>DE96</f>
        <v>4247.5</v>
      </c>
      <c r="DG93" s="213">
        <f>DF96</f>
        <v>4246.75</v>
      </c>
      <c r="DH93" s="214">
        <f>DD93</f>
        <v>4249</v>
      </c>
      <c r="DI93" s="213">
        <f>DH96</f>
        <v>4246</v>
      </c>
      <c r="DJ93" s="213">
        <f>DI96</f>
        <v>4245.75</v>
      </c>
      <c r="DK93" s="213">
        <f>DJ96</f>
        <v>4245.5</v>
      </c>
      <c r="DL93" s="213">
        <f>DK96</f>
        <v>4245.25</v>
      </c>
      <c r="DM93" s="214">
        <f>DI93</f>
        <v>4246</v>
      </c>
      <c r="DN93" s="207"/>
    </row>
    <row r="94" spans="1:118" ht="16.5" hidden="1" customHeight="1" outlineLevel="1" x14ac:dyDescent="0.2">
      <c r="A94" s="244" t="s">
        <v>46</v>
      </c>
      <c r="B94" s="207"/>
      <c r="C94" s="215"/>
      <c r="D94" s="215"/>
      <c r="E94" s="215"/>
      <c r="F94" s="215"/>
      <c r="G94" s="238"/>
      <c r="H94" s="215"/>
      <c r="I94" s="215"/>
      <c r="J94" s="215"/>
      <c r="K94" s="215"/>
      <c r="L94" s="238"/>
      <c r="M94" s="215"/>
      <c r="N94" s="215"/>
      <c r="O94" s="215"/>
      <c r="P94" s="215"/>
      <c r="Q94" s="238"/>
      <c r="R94" s="215">
        <v>0</v>
      </c>
      <c r="S94" s="215">
        <v>6.4</v>
      </c>
      <c r="T94" s="215">
        <v>0</v>
      </c>
      <c r="U94" s="215">
        <v>10</v>
      </c>
      <c r="V94" s="238">
        <v>16.399999999999999</v>
      </c>
      <c r="W94" s="215">
        <v>7</v>
      </c>
      <c r="X94" s="215">
        <v>0</v>
      </c>
      <c r="Y94" s="215">
        <v>2.5716580000007525</v>
      </c>
      <c r="Z94" s="215">
        <v>2.7728306796107063</v>
      </c>
      <c r="AA94" s="238">
        <v>12.344488679611459</v>
      </c>
      <c r="AB94" s="215">
        <v>3.2525422790704397</v>
      </c>
      <c r="AC94" s="215">
        <v>2.3258542980347556</v>
      </c>
      <c r="AD94" s="215">
        <v>4</v>
      </c>
      <c r="AE94" s="215">
        <v>4</v>
      </c>
      <c r="AF94" s="238">
        <v>13.578396577105195</v>
      </c>
      <c r="AG94" s="215">
        <v>0</v>
      </c>
      <c r="AH94" s="215">
        <v>4.5</v>
      </c>
      <c r="AI94" s="215">
        <v>1.5709931818892073</v>
      </c>
      <c r="AJ94" s="215">
        <v>4.5</v>
      </c>
      <c r="AK94" s="238">
        <v>10.570993181889207</v>
      </c>
      <c r="AL94" s="215">
        <v>10</v>
      </c>
      <c r="AM94" s="215">
        <v>10</v>
      </c>
      <c r="AN94" s="215">
        <v>6</v>
      </c>
      <c r="AO94" s="215">
        <v>35.862068965517238</v>
      </c>
      <c r="AP94" s="238">
        <v>61.862068965517238</v>
      </c>
      <c r="AQ94" s="215">
        <v>20</v>
      </c>
      <c r="AR94" s="215">
        <v>0.72121212121146527</v>
      </c>
      <c r="AS94" s="215">
        <v>4</v>
      </c>
      <c r="AT94" s="215">
        <v>0</v>
      </c>
      <c r="AU94" s="238">
        <v>24.721212121211465</v>
      </c>
      <c r="AV94" s="215">
        <v>0</v>
      </c>
      <c r="AW94" s="215">
        <v>6</v>
      </c>
      <c r="AX94" s="215">
        <v>-2</v>
      </c>
      <c r="AY94" s="215">
        <v>30</v>
      </c>
      <c r="AZ94" s="238">
        <v>34</v>
      </c>
      <c r="BA94" s="216">
        <v>6</v>
      </c>
      <c r="BB94" s="216">
        <v>2</v>
      </c>
      <c r="BC94" s="216">
        <v>4</v>
      </c>
      <c r="BD94" s="216">
        <v>64</v>
      </c>
      <c r="BE94" s="238">
        <v>76</v>
      </c>
      <c r="BF94" s="216">
        <v>21.399999999999636</v>
      </c>
      <c r="BG94" s="216">
        <v>15</v>
      </c>
      <c r="BH94" s="216">
        <v>22</v>
      </c>
      <c r="BI94" s="216">
        <v>9.6000000000003638</v>
      </c>
      <c r="BJ94" s="492">
        <v>68</v>
      </c>
      <c r="BK94" s="433">
        <v>26</v>
      </c>
      <c r="BL94" s="487">
        <f>BL96-BL95-BL93</f>
        <v>20</v>
      </c>
      <c r="BM94" s="487">
        <f>BM96-BM95-BM93</f>
        <v>10.699999999999818</v>
      </c>
      <c r="BN94" s="487">
        <f>BN96-BN95-BN93</f>
        <v>7.5041659999997137</v>
      </c>
      <c r="BO94" s="492">
        <f>SUM(BK94:BN94)</f>
        <v>64.204165999999532</v>
      </c>
      <c r="BP94" s="487">
        <f>BP96-BP95-BP93</f>
        <v>18.300000000000182</v>
      </c>
      <c r="BQ94" s="487">
        <f>BQ96-BQ95-BQ93</f>
        <v>20.199999999999818</v>
      </c>
      <c r="BR94" s="487">
        <f>BR96-BR95-BR93</f>
        <v>4.3999999999996362</v>
      </c>
      <c r="BS94" s="487">
        <f>BS96-BS95-BS93</f>
        <v>11.100000000000364</v>
      </c>
      <c r="BT94" s="492">
        <f>SUM(BP94:BS94)</f>
        <v>54</v>
      </c>
      <c r="BU94" s="487">
        <f>BU96-BU95-BU93</f>
        <v>10.899999999999636</v>
      </c>
      <c r="BV94" s="487">
        <f>BV96-BV95-BV93</f>
        <v>19.300000000000182</v>
      </c>
      <c r="BW94" s="487">
        <f>BW96-BW95-BW93</f>
        <v>14.199999999999818</v>
      </c>
      <c r="BX94" s="487">
        <f>BX96-BX95-BX93</f>
        <v>17.600000000000364</v>
      </c>
      <c r="BY94" s="492">
        <f>SUM(BU94:BX94)</f>
        <v>62</v>
      </c>
      <c r="BZ94" s="487">
        <f>BZ96-BZ95-BZ93</f>
        <v>10</v>
      </c>
      <c r="CA94" s="487">
        <f>CA96-CA95-CA93</f>
        <v>4.1000000000003638</v>
      </c>
      <c r="CB94" s="487">
        <f>CB96-CB95-CB93</f>
        <v>11.199999999999818</v>
      </c>
      <c r="CC94" s="487">
        <f>CC96-CC95-CC93</f>
        <v>18.699999999999818</v>
      </c>
      <c r="CD94" s="492">
        <f>SUM(BZ94:CC94)</f>
        <v>44</v>
      </c>
      <c r="CE94" s="487">
        <f>CE96-CE95-CE93</f>
        <v>29.300000000000182</v>
      </c>
      <c r="CF94" s="487">
        <f>CF96-CF95-CF93</f>
        <v>10.5</v>
      </c>
      <c r="CG94" s="487">
        <f>CG96-CG95-CG93</f>
        <v>4.6000000000003638</v>
      </c>
      <c r="CH94" s="487">
        <f>CH96-CH95-CH93</f>
        <v>5.6000000000003638</v>
      </c>
      <c r="CI94" s="492">
        <f>SUM(CE94:CH94)</f>
        <v>50.000000000000909</v>
      </c>
      <c r="CJ94" s="487">
        <f>CJ96-CJ95-CJ93</f>
        <v>14.199999999999818</v>
      </c>
      <c r="CK94" s="487">
        <f>CK96-CK95-CK93</f>
        <v>16.600000000000364</v>
      </c>
      <c r="CL94" s="487">
        <f>CL96-CL95-CL93</f>
        <v>12</v>
      </c>
      <c r="CM94" s="487">
        <f>CM96-CM95-CM93</f>
        <v>10.199999999999818</v>
      </c>
      <c r="CN94" s="492">
        <f>SUM(CJ94:CM94)</f>
        <v>53</v>
      </c>
      <c r="CO94" s="487">
        <f>CO96-CO95-CO93</f>
        <v>15</v>
      </c>
      <c r="CP94" s="508">
        <v>15</v>
      </c>
      <c r="CQ94" s="508">
        <v>15</v>
      </c>
      <c r="CR94" s="508">
        <v>15</v>
      </c>
      <c r="CS94" s="238">
        <f>SUM(CO94:CR94)</f>
        <v>60</v>
      </c>
      <c r="CT94" s="508">
        <f>CO94</f>
        <v>15</v>
      </c>
      <c r="CU94" s="508">
        <f>CP94</f>
        <v>15</v>
      </c>
      <c r="CV94" s="508">
        <f>CQ94</f>
        <v>15</v>
      </c>
      <c r="CW94" s="508">
        <f>CR94</f>
        <v>15</v>
      </c>
      <c r="CX94" s="238">
        <f>SUM(CT94:CW94)</f>
        <v>60</v>
      </c>
      <c r="CY94" s="508">
        <f>CT94</f>
        <v>15</v>
      </c>
      <c r="CZ94" s="508">
        <f>CU94</f>
        <v>15</v>
      </c>
      <c r="DA94" s="508">
        <f>CV94</f>
        <v>15</v>
      </c>
      <c r="DB94" s="508">
        <f>CW94</f>
        <v>15</v>
      </c>
      <c r="DC94" s="238">
        <f>SUM(CY94:DB94)</f>
        <v>60</v>
      </c>
      <c r="DD94" s="508">
        <f>CY94</f>
        <v>15</v>
      </c>
      <c r="DE94" s="508">
        <f>CZ94</f>
        <v>15</v>
      </c>
      <c r="DF94" s="508">
        <f>DA94</f>
        <v>15</v>
      </c>
      <c r="DG94" s="508">
        <f>DB94</f>
        <v>15</v>
      </c>
      <c r="DH94" s="238">
        <f>SUM(DD94:DG94)</f>
        <v>60</v>
      </c>
      <c r="DI94" s="508">
        <f>DD94</f>
        <v>15</v>
      </c>
      <c r="DJ94" s="508">
        <f>DE94</f>
        <v>15</v>
      </c>
      <c r="DK94" s="508">
        <f>DF94</f>
        <v>15</v>
      </c>
      <c r="DL94" s="508">
        <f>DG94</f>
        <v>15</v>
      </c>
      <c r="DM94" s="238">
        <f>SUM(DI94:DL94)</f>
        <v>60</v>
      </c>
      <c r="DN94" s="207"/>
    </row>
    <row r="95" spans="1:118" ht="16.5" hidden="1" customHeight="1" outlineLevel="1" x14ac:dyDescent="0.2">
      <c r="A95" s="244" t="s">
        <v>47</v>
      </c>
      <c r="B95" s="207"/>
      <c r="C95" s="215"/>
      <c r="D95" s="215"/>
      <c r="E95" s="215"/>
      <c r="F95" s="215"/>
      <c r="G95" s="238"/>
      <c r="H95" s="215"/>
      <c r="I95" s="215"/>
      <c r="J95" s="215"/>
      <c r="K95" s="215"/>
      <c r="L95" s="238"/>
      <c r="M95" s="215"/>
      <c r="N95" s="215"/>
      <c r="O95" s="215"/>
      <c r="P95" s="215"/>
      <c r="Q95" s="238"/>
      <c r="R95" s="215">
        <v>-16.701570680628272</v>
      </c>
      <c r="S95" s="215">
        <v>-6.4984293193717271</v>
      </c>
      <c r="T95" s="215">
        <v>-22.25</v>
      </c>
      <c r="U95" s="215">
        <v>-24.375</v>
      </c>
      <c r="V95" s="238">
        <v>-69.825000000000003</v>
      </c>
      <c r="W95" s="215">
        <v>-19.440000000000001</v>
      </c>
      <c r="X95" s="215">
        <v>-18.640776699029125</v>
      </c>
      <c r="Y95" s="215">
        <v>-21.7</v>
      </c>
      <c r="Z95" s="215">
        <v>-16.456310679611651</v>
      </c>
      <c r="AA95" s="238">
        <v>-76.23708737864078</v>
      </c>
      <c r="AB95" s="215">
        <v>-4.4651162790697674</v>
      </c>
      <c r="AC95" s="215">
        <v>-45.156920298035672</v>
      </c>
      <c r="AD95" s="215">
        <v>-23.482352941176469</v>
      </c>
      <c r="AE95" s="215">
        <v>-21.904761904761905</v>
      </c>
      <c r="AF95" s="238">
        <v>-95.009151423043818</v>
      </c>
      <c r="AG95" s="215">
        <v>-23.761904761904763</v>
      </c>
      <c r="AH95" s="215">
        <v>-30.790568654646325</v>
      </c>
      <c r="AI95" s="215">
        <v>-1.5709931818895906</v>
      </c>
      <c r="AJ95" s="215">
        <v>-54.166666666666664</v>
      </c>
      <c r="AK95" s="238">
        <v>-110.29013326510734</v>
      </c>
      <c r="AL95" s="215">
        <v>-27.591836734693878</v>
      </c>
      <c r="AM95" s="215">
        <v>-11.174955419060829</v>
      </c>
      <c r="AN95" s="215">
        <v>-12</v>
      </c>
      <c r="AO95" s="215">
        <v>-15.862068965517242</v>
      </c>
      <c r="AP95" s="238">
        <v>-66.628861119271946</v>
      </c>
      <c r="AQ95" s="215">
        <v>-8.4666666666666668</v>
      </c>
      <c r="AR95" s="215">
        <v>-28.254545454545454</v>
      </c>
      <c r="AS95" s="215">
        <v>0</v>
      </c>
      <c r="AT95" s="215">
        <v>0</v>
      </c>
      <c r="AU95" s="238">
        <v>-36.721212121212119</v>
      </c>
      <c r="AV95" s="215">
        <v>0</v>
      </c>
      <c r="AW95" s="215">
        <v>0</v>
      </c>
      <c r="AX95" s="215">
        <v>0</v>
      </c>
      <c r="AY95" s="215">
        <v>-52</v>
      </c>
      <c r="AZ95" s="238">
        <v>-52</v>
      </c>
      <c r="BA95" s="216">
        <v>0</v>
      </c>
      <c r="BB95" s="216">
        <v>0</v>
      </c>
      <c r="BC95" s="216">
        <v>0</v>
      </c>
      <c r="BD95" s="216">
        <v>-98</v>
      </c>
      <c r="BE95" s="238">
        <v>-98</v>
      </c>
      <c r="BF95" s="216">
        <v>-31.4</v>
      </c>
      <c r="BG95" s="235">
        <v>-3</v>
      </c>
      <c r="BH95" s="236">
        <v>-66</v>
      </c>
      <c r="BI95" s="235">
        <v>-25.6</v>
      </c>
      <c r="BJ95" s="492">
        <v>-126</v>
      </c>
      <c r="BK95" s="487">
        <v>-38</v>
      </c>
      <c r="BL95" s="487">
        <v>-32</v>
      </c>
      <c r="BM95" s="487">
        <f>-BM101</f>
        <v>-26.700000000000003</v>
      </c>
      <c r="BN95" s="486">
        <f>-BN101</f>
        <v>-24.504166000000001</v>
      </c>
      <c r="BO95" s="492">
        <f>SUM(BK95:BN95)</f>
        <v>-121.204166</v>
      </c>
      <c r="BP95" s="486">
        <f>-BP101</f>
        <v>-39.299999999999997</v>
      </c>
      <c r="BQ95" s="486">
        <f>-BQ101</f>
        <v>-34.200000000000003</v>
      </c>
      <c r="BR95" s="486">
        <f>-BR101</f>
        <v>-22.400000000000006</v>
      </c>
      <c r="BS95" s="486">
        <f>-BS101</f>
        <v>-25.099999999999994</v>
      </c>
      <c r="BT95" s="492">
        <f>SUM(BP95:BS95)</f>
        <v>-121</v>
      </c>
      <c r="BU95" s="486">
        <f>-BU101</f>
        <v>-20.9</v>
      </c>
      <c r="BV95" s="486">
        <f>-BV101</f>
        <v>-26.300000000000004</v>
      </c>
      <c r="BW95" s="486">
        <f>-BW101</f>
        <v>-24.200000000000003</v>
      </c>
      <c r="BX95" s="486">
        <f>-BX101</f>
        <v>-26.599999999999994</v>
      </c>
      <c r="BY95" s="492">
        <f>SUM(BU95:BX95)</f>
        <v>-98</v>
      </c>
      <c r="BZ95" s="486">
        <f>-BZ101</f>
        <v>-16</v>
      </c>
      <c r="CA95" s="486">
        <f>-CA101</f>
        <v>-15.100000000000001</v>
      </c>
      <c r="CB95" s="486">
        <f>-CB101</f>
        <v>-18.199999999999996</v>
      </c>
      <c r="CC95" s="486">
        <f>-CC101</f>
        <v>-36.700000000000003</v>
      </c>
      <c r="CD95" s="492">
        <f>SUM(BZ95:CC95)</f>
        <v>-86</v>
      </c>
      <c r="CE95" s="486">
        <f>-CE101</f>
        <v>-21.3</v>
      </c>
      <c r="CF95" s="486">
        <f>-CF101</f>
        <v>-27.499999999999996</v>
      </c>
      <c r="CG95" s="486">
        <f>-CG101</f>
        <v>-6.6000000000000014</v>
      </c>
      <c r="CH95" s="486">
        <f>-CH101</f>
        <v>-30.6</v>
      </c>
      <c r="CI95" s="492">
        <f>SUM(CE95:CH95)</f>
        <v>-86</v>
      </c>
      <c r="CJ95" s="486">
        <f>-CJ101</f>
        <v>-29.2</v>
      </c>
      <c r="CK95" s="486">
        <f>-CK101</f>
        <v>-21.599999999999998</v>
      </c>
      <c r="CL95" s="486">
        <f>-CL101</f>
        <v>-18.000000000000004</v>
      </c>
      <c r="CM95" s="486">
        <f>-CM101</f>
        <v>-13.200000000000003</v>
      </c>
      <c r="CN95" s="492">
        <f>SUM(CJ95:CM95)</f>
        <v>-82</v>
      </c>
      <c r="CO95" s="235">
        <f>-CO101</f>
        <v>-15</v>
      </c>
      <c r="CP95" s="235">
        <f>-CP101</f>
        <v>-16</v>
      </c>
      <c r="CQ95" s="235">
        <f>-CQ101</f>
        <v>-16</v>
      </c>
      <c r="CR95" s="235">
        <f>-CR101</f>
        <v>-13</v>
      </c>
      <c r="CS95" s="238">
        <f>SUM(CO95:CR95)</f>
        <v>-60</v>
      </c>
      <c r="CT95" s="235">
        <f>-CT101</f>
        <v>-16.25</v>
      </c>
      <c r="CU95" s="235">
        <f>-CU101</f>
        <v>-16.25</v>
      </c>
      <c r="CV95" s="235">
        <f>-CV101</f>
        <v>-16.25</v>
      </c>
      <c r="CW95" s="235">
        <f>-CW101</f>
        <v>-16.25</v>
      </c>
      <c r="CX95" s="238">
        <f>SUM(CT95:CW95)</f>
        <v>-65</v>
      </c>
      <c r="CY95" s="235">
        <f>-CY101</f>
        <v>-16.25</v>
      </c>
      <c r="CZ95" s="235">
        <f>-CZ101</f>
        <v>-16.25</v>
      </c>
      <c r="DA95" s="235">
        <f>-DA101</f>
        <v>-16.25</v>
      </c>
      <c r="DB95" s="235">
        <f>-DB101</f>
        <v>-16.25</v>
      </c>
      <c r="DC95" s="238">
        <f>SUM(CY95:DB95)</f>
        <v>-65</v>
      </c>
      <c r="DD95" s="235">
        <f>-DD101</f>
        <v>-15.75</v>
      </c>
      <c r="DE95" s="235">
        <f>-DE101</f>
        <v>-15.75</v>
      </c>
      <c r="DF95" s="235">
        <f>-DF101</f>
        <v>-15.75</v>
      </c>
      <c r="DG95" s="235">
        <f>-DG101</f>
        <v>-15.75</v>
      </c>
      <c r="DH95" s="238">
        <f>SUM(DD95:DG95)</f>
        <v>-63</v>
      </c>
      <c r="DI95" s="235">
        <f>-DI101</f>
        <v>-15.25</v>
      </c>
      <c r="DJ95" s="235">
        <f>-DJ101</f>
        <v>-15.25</v>
      </c>
      <c r="DK95" s="235">
        <f>-DK101</f>
        <v>-15.25</v>
      </c>
      <c r="DL95" s="235">
        <f>-DL101</f>
        <v>-15.25</v>
      </c>
      <c r="DM95" s="238">
        <f>SUM(DI95:DL95)</f>
        <v>-61</v>
      </c>
      <c r="DN95" s="207"/>
    </row>
    <row r="96" spans="1:118" ht="16.5" hidden="1" customHeight="1" outlineLevel="1" x14ac:dyDescent="0.2">
      <c r="A96" s="244" t="s">
        <v>48</v>
      </c>
      <c r="B96" s="207"/>
      <c r="C96" s="217"/>
      <c r="D96" s="217"/>
      <c r="E96" s="217"/>
      <c r="F96" s="217"/>
      <c r="G96" s="214"/>
      <c r="H96" s="217"/>
      <c r="I96" s="217"/>
      <c r="J96" s="217"/>
      <c r="K96" s="217"/>
      <c r="L96" s="214"/>
      <c r="M96" s="217"/>
      <c r="N96" s="217"/>
      <c r="O96" s="217"/>
      <c r="P96" s="217"/>
      <c r="Q96" s="214"/>
      <c r="R96" s="217">
        <f t="shared" ref="R96:AS96" si="126">SUM(R93:R95)</f>
        <v>4925.2984293193713</v>
      </c>
      <c r="S96" s="217">
        <f t="shared" si="126"/>
        <v>4925.1999999999989</v>
      </c>
      <c r="T96" s="217">
        <f t="shared" si="126"/>
        <v>4902.95</v>
      </c>
      <c r="U96" s="217">
        <f t="shared" si="126"/>
        <v>4888.5749999999998</v>
      </c>
      <c r="V96" s="214">
        <f t="shared" si="126"/>
        <v>4888.5749999999998</v>
      </c>
      <c r="W96" s="217">
        <f t="shared" si="126"/>
        <v>4876.1349999999993</v>
      </c>
      <c r="X96" s="217">
        <f t="shared" si="126"/>
        <v>4847.9068353009716</v>
      </c>
      <c r="Y96" s="217">
        <f t="shared" si="126"/>
        <v>4832.3606140000002</v>
      </c>
      <c r="Z96" s="217">
        <f t="shared" si="126"/>
        <v>4818.6771339999996</v>
      </c>
      <c r="AA96" s="214">
        <f t="shared" si="126"/>
        <v>4824.68240130097</v>
      </c>
      <c r="AB96" s="217">
        <f t="shared" si="126"/>
        <v>4817.4645600000003</v>
      </c>
      <c r="AC96" s="217">
        <f t="shared" si="126"/>
        <v>4774.6334939999997</v>
      </c>
      <c r="AD96" s="217">
        <f t="shared" si="126"/>
        <v>4755.1511410588237</v>
      </c>
      <c r="AE96" s="217">
        <f t="shared" si="126"/>
        <v>4737.026568095238</v>
      </c>
      <c r="AF96" s="214">
        <f t="shared" si="126"/>
        <v>4737.2463791540613</v>
      </c>
      <c r="AG96" s="217">
        <f t="shared" si="126"/>
        <v>4714.2380952380954</v>
      </c>
      <c r="AH96" s="217">
        <f t="shared" si="126"/>
        <v>4687.7094313453536</v>
      </c>
      <c r="AI96" s="217">
        <f t="shared" si="126"/>
        <v>4684</v>
      </c>
      <c r="AJ96" s="217">
        <f t="shared" si="126"/>
        <v>4634.333333333333</v>
      </c>
      <c r="AK96" s="214">
        <f t="shared" si="126"/>
        <v>4638.280859916782</v>
      </c>
      <c r="AL96" s="217">
        <f t="shared" si="126"/>
        <v>4618.408163265306</v>
      </c>
      <c r="AM96" s="217">
        <f t="shared" si="126"/>
        <v>4617.233207846245</v>
      </c>
      <c r="AN96" s="217">
        <f t="shared" si="126"/>
        <v>4616</v>
      </c>
      <c r="AO96" s="217">
        <f t="shared" si="126"/>
        <v>4636</v>
      </c>
      <c r="AP96" s="214">
        <f t="shared" si="126"/>
        <v>4631.233207846245</v>
      </c>
      <c r="AQ96" s="217">
        <f t="shared" si="126"/>
        <v>4647.5333333333338</v>
      </c>
      <c r="AR96" s="217">
        <f t="shared" si="126"/>
        <v>4620</v>
      </c>
      <c r="AS96" s="217">
        <f t="shared" si="126"/>
        <v>4624</v>
      </c>
      <c r="AT96" s="217">
        <f>3519-1207</f>
        <v>2312</v>
      </c>
      <c r="AU96" s="214">
        <f>SUM(AU93:AU95)</f>
        <v>4623.9999999999991</v>
      </c>
      <c r="AV96" s="217">
        <f>3519-1207</f>
        <v>2312</v>
      </c>
      <c r="AW96" s="217">
        <f>3520-1205</f>
        <v>2315</v>
      </c>
      <c r="AX96" s="217">
        <f>3520-1206</f>
        <v>2314</v>
      </c>
      <c r="AY96" s="217">
        <f>3520-1217</f>
        <v>2303</v>
      </c>
      <c r="AZ96" s="214">
        <f>AY96</f>
        <v>2303</v>
      </c>
      <c r="BA96" s="213">
        <f>3520-1214</f>
        <v>2306</v>
      </c>
      <c r="BB96" s="213">
        <f>3520-1213</f>
        <v>2307</v>
      </c>
      <c r="BC96" s="213">
        <f>SUM(BC93:BC95)</f>
        <v>4618</v>
      </c>
      <c r="BD96" s="213">
        <f>SUM(BD93:BD95)</f>
        <v>4584</v>
      </c>
      <c r="BE96" s="214">
        <f>BD96</f>
        <v>4584</v>
      </c>
      <c r="BF96" s="213">
        <f>3520-1233</f>
        <v>2287</v>
      </c>
      <c r="BG96" s="213">
        <f>3520-1227</f>
        <v>2293</v>
      </c>
      <c r="BH96" s="213">
        <f>3520-1249</f>
        <v>2271</v>
      </c>
      <c r="BI96" s="213">
        <f>3520-1257</f>
        <v>2263</v>
      </c>
      <c r="BJ96" s="430">
        <f>BI96</f>
        <v>2263</v>
      </c>
      <c r="BK96" s="429">
        <f>SUM(BK93:BK95)</f>
        <v>4514</v>
      </c>
      <c r="BL96" s="429">
        <f>(3520-1269)*2</f>
        <v>4502</v>
      </c>
      <c r="BM96" s="429">
        <f>7040-2554</f>
        <v>4486</v>
      </c>
      <c r="BN96" s="429">
        <f>7040-2571</f>
        <v>4469</v>
      </c>
      <c r="BO96" s="430">
        <f>BN96</f>
        <v>4469</v>
      </c>
      <c r="BP96" s="429">
        <f>7040-2592</f>
        <v>4448</v>
      </c>
      <c r="BQ96" s="429">
        <f>7040-2606</f>
        <v>4434</v>
      </c>
      <c r="BR96" s="429">
        <f>7040-2624</f>
        <v>4416</v>
      </c>
      <c r="BS96" s="429">
        <f>7040-2638</f>
        <v>4402</v>
      </c>
      <c r="BT96" s="430">
        <f>BS96</f>
        <v>4402</v>
      </c>
      <c r="BU96" s="429">
        <f>7040-2648</f>
        <v>4392</v>
      </c>
      <c r="BV96" s="429">
        <f>7040-2655</f>
        <v>4385</v>
      </c>
      <c r="BW96" s="429">
        <f>7040-2665</f>
        <v>4375</v>
      </c>
      <c r="BX96" s="429">
        <f>7040-2674</f>
        <v>4366</v>
      </c>
      <c r="BY96" s="430">
        <f>BX96</f>
        <v>4366</v>
      </c>
      <c r="BZ96" s="429">
        <f>7040-2680</f>
        <v>4360</v>
      </c>
      <c r="CA96" s="429">
        <f>7040-2691</f>
        <v>4349</v>
      </c>
      <c r="CB96" s="429">
        <f>7040-2698</f>
        <v>4342</v>
      </c>
      <c r="CC96" s="429">
        <f>7040-2716</f>
        <v>4324</v>
      </c>
      <c r="CD96" s="430">
        <f>CC96</f>
        <v>4324</v>
      </c>
      <c r="CE96" s="429">
        <f>7040-2708</f>
        <v>4332</v>
      </c>
      <c r="CF96" s="429">
        <f>7040-2725</f>
        <v>4315</v>
      </c>
      <c r="CG96" s="429">
        <f>7040-2727</f>
        <v>4313</v>
      </c>
      <c r="CH96" s="429">
        <f>7040-2752</f>
        <v>4288</v>
      </c>
      <c r="CI96" s="430">
        <f>CH96</f>
        <v>4288</v>
      </c>
      <c r="CJ96" s="429">
        <f>7040-2767</f>
        <v>4273</v>
      </c>
      <c r="CK96" s="429">
        <f>7040-2772</f>
        <v>4268</v>
      </c>
      <c r="CL96" s="429">
        <f>7040-2778</f>
        <v>4262</v>
      </c>
      <c r="CM96" s="429">
        <f>7040-2781</f>
        <v>4259</v>
      </c>
      <c r="CN96" s="430">
        <f>CM96</f>
        <v>4259</v>
      </c>
      <c r="CO96" s="429">
        <f>7040-2781</f>
        <v>4259</v>
      </c>
      <c r="CP96" s="213">
        <f>SUM(CP93:CP95)</f>
        <v>4258</v>
      </c>
      <c r="CQ96" s="213">
        <f>SUM(CQ93:CQ95)</f>
        <v>4257</v>
      </c>
      <c r="CR96" s="213">
        <f>SUM(CR93:CR95)</f>
        <v>4259</v>
      </c>
      <c r="CS96" s="214">
        <f>CR96</f>
        <v>4259</v>
      </c>
      <c r="CT96" s="213">
        <f>SUM(CT93:CT95)</f>
        <v>4257.75</v>
      </c>
      <c r="CU96" s="213">
        <f>SUM(CU93:CU95)</f>
        <v>4256.5</v>
      </c>
      <c r="CV96" s="213">
        <f>SUM(CV93:CV95)</f>
        <v>4255.25</v>
      </c>
      <c r="CW96" s="213">
        <f>SUM(CW93:CW95)</f>
        <v>4254</v>
      </c>
      <c r="CX96" s="214">
        <f>CW96</f>
        <v>4254</v>
      </c>
      <c r="CY96" s="213">
        <f>SUM(CY93:CY95)</f>
        <v>4252.75</v>
      </c>
      <c r="CZ96" s="213">
        <f>SUM(CZ93:CZ95)</f>
        <v>4251.5</v>
      </c>
      <c r="DA96" s="213">
        <f>SUM(DA93:DA95)</f>
        <v>4250.25</v>
      </c>
      <c r="DB96" s="213">
        <f>SUM(DB93:DB95)</f>
        <v>4249</v>
      </c>
      <c r="DC96" s="214">
        <f>DB96</f>
        <v>4249</v>
      </c>
      <c r="DD96" s="213">
        <f>SUM(DD93:DD95)</f>
        <v>4248.25</v>
      </c>
      <c r="DE96" s="213">
        <f>SUM(DE93:DE95)</f>
        <v>4247.5</v>
      </c>
      <c r="DF96" s="213">
        <f>SUM(DF93:DF95)</f>
        <v>4246.75</v>
      </c>
      <c r="DG96" s="213">
        <f>SUM(DG93:DG95)</f>
        <v>4246</v>
      </c>
      <c r="DH96" s="214">
        <f>DG96</f>
        <v>4246</v>
      </c>
      <c r="DI96" s="213">
        <f>SUM(DI93:DI95)</f>
        <v>4245.75</v>
      </c>
      <c r="DJ96" s="213">
        <f>SUM(DJ93:DJ95)</f>
        <v>4245.5</v>
      </c>
      <c r="DK96" s="213">
        <f>SUM(DK93:DK95)</f>
        <v>4245.25</v>
      </c>
      <c r="DL96" s="213">
        <f>SUM(DL93:DL95)</f>
        <v>4245</v>
      </c>
      <c r="DM96" s="214">
        <f>DL96</f>
        <v>4245</v>
      </c>
      <c r="DN96" s="207"/>
    </row>
    <row r="97" spans="1:124" ht="16.5" hidden="1" customHeight="1" outlineLevel="1" x14ac:dyDescent="0.25">
      <c r="A97" s="245" t="s">
        <v>49</v>
      </c>
      <c r="B97" s="207"/>
      <c r="C97" s="206"/>
      <c r="D97" s="206"/>
      <c r="E97" s="206"/>
      <c r="F97" s="206"/>
      <c r="G97" s="205"/>
      <c r="H97" s="206"/>
      <c r="I97" s="206"/>
      <c r="J97" s="206"/>
      <c r="K97" s="206"/>
      <c r="L97" s="205"/>
      <c r="M97" s="206"/>
      <c r="N97" s="206"/>
      <c r="O97" s="206"/>
      <c r="P97" s="206"/>
      <c r="Q97" s="205"/>
      <c r="R97" s="206">
        <f t="shared" ref="R97:W97" si="127">R89</f>
        <v>4938</v>
      </c>
      <c r="S97" s="206">
        <f t="shared" si="127"/>
        <v>4926</v>
      </c>
      <c r="T97" s="206">
        <f t="shared" si="127"/>
        <v>4914</v>
      </c>
      <c r="U97" s="206">
        <f t="shared" si="127"/>
        <v>4895.7624999999989</v>
      </c>
      <c r="V97" s="205">
        <f t="shared" si="127"/>
        <v>4918.4406249999993</v>
      </c>
      <c r="W97" s="206">
        <f t="shared" si="127"/>
        <v>4877.5613059999996</v>
      </c>
      <c r="X97" s="206">
        <f t="shared" ref="X97:AU97" si="128">X89</f>
        <v>4859.0182839999998</v>
      </c>
      <c r="Y97" s="206">
        <f t="shared" si="128"/>
        <v>4842</v>
      </c>
      <c r="Z97" s="206">
        <f t="shared" si="128"/>
        <v>4825.5188739999994</v>
      </c>
      <c r="AA97" s="205">
        <f t="shared" si="128"/>
        <v>4856.6287006504845</v>
      </c>
      <c r="AB97" s="206">
        <f t="shared" si="128"/>
        <v>4818.070847</v>
      </c>
      <c r="AC97" s="206">
        <f t="shared" si="128"/>
        <v>4798</v>
      </c>
      <c r="AD97" s="206">
        <f t="shared" si="128"/>
        <v>4768</v>
      </c>
      <c r="AE97" s="206">
        <f t="shared" si="128"/>
        <v>4750</v>
      </c>
      <c r="AF97" s="205">
        <f t="shared" si="128"/>
        <v>4777.9617565770304</v>
      </c>
      <c r="AG97" s="206">
        <f t="shared" si="128"/>
        <v>4730</v>
      </c>
      <c r="AH97" s="206">
        <f t="shared" si="128"/>
        <v>4699</v>
      </c>
      <c r="AI97" s="206">
        <f t="shared" si="128"/>
        <v>4684</v>
      </c>
      <c r="AJ97" s="206">
        <f t="shared" si="128"/>
        <v>4672</v>
      </c>
      <c r="AK97" s="205">
        <f t="shared" si="128"/>
        <v>4688.140429958391</v>
      </c>
      <c r="AL97" s="206">
        <f t="shared" si="128"/>
        <v>4627.2040816326535</v>
      </c>
      <c r="AM97" s="206">
        <f t="shared" si="128"/>
        <v>4624</v>
      </c>
      <c r="AN97" s="206">
        <f t="shared" si="128"/>
        <v>4622</v>
      </c>
      <c r="AO97" s="206">
        <f t="shared" si="128"/>
        <v>4626</v>
      </c>
      <c r="AP97" s="205">
        <f t="shared" si="128"/>
        <v>4633.616603923123</v>
      </c>
      <c r="AQ97" s="206">
        <f t="shared" si="128"/>
        <v>4644</v>
      </c>
      <c r="AR97" s="206">
        <f t="shared" si="128"/>
        <v>4632</v>
      </c>
      <c r="AS97" s="206">
        <f t="shared" si="128"/>
        <v>4622</v>
      </c>
      <c r="AT97" s="206">
        <f t="shared" si="128"/>
        <v>4624</v>
      </c>
      <c r="AU97" s="205">
        <f t="shared" si="128"/>
        <v>4630</v>
      </c>
      <c r="AV97" s="206">
        <f>AV89</f>
        <v>4626</v>
      </c>
      <c r="AW97" s="206">
        <f>AW89</f>
        <v>4626</v>
      </c>
      <c r="AX97" s="206">
        <f>AX89</f>
        <v>4628</v>
      </c>
      <c r="AY97" s="206">
        <f>AY89</f>
        <v>4624</v>
      </c>
      <c r="AZ97" s="205">
        <f>AVERAGE(AV97:AY97)</f>
        <v>4626</v>
      </c>
      <c r="BA97" s="204">
        <f>BA89</f>
        <v>4608</v>
      </c>
      <c r="BB97" s="204">
        <f>BB89</f>
        <v>4612</v>
      </c>
      <c r="BC97" s="204">
        <f>BC89</f>
        <v>4620</v>
      </c>
      <c r="BD97" s="204">
        <f>BD89</f>
        <v>4622</v>
      </c>
      <c r="BE97" s="205">
        <f>AVERAGE(BA97:BD97)</f>
        <v>4615.5</v>
      </c>
      <c r="BF97" s="204">
        <f>BF89</f>
        <v>4584</v>
      </c>
      <c r="BG97" s="204">
        <f>BG89</f>
        <v>4580</v>
      </c>
      <c r="BH97" s="204">
        <f>BH89</f>
        <v>4572</v>
      </c>
      <c r="BI97" s="204">
        <f>BI89</f>
        <v>4536</v>
      </c>
      <c r="BJ97" s="420">
        <f>AVERAGE(BF97:BI97)</f>
        <v>4568</v>
      </c>
      <c r="BK97" s="419">
        <f>BK89</f>
        <v>4526</v>
      </c>
      <c r="BL97" s="419">
        <f>BL89</f>
        <v>4511</v>
      </c>
      <c r="BM97" s="419">
        <f>BM89</f>
        <v>4502</v>
      </c>
      <c r="BN97" s="419">
        <f>BN89</f>
        <v>4479</v>
      </c>
      <c r="BO97" s="420">
        <f>AVERAGE(BK97:BN97)</f>
        <v>4504.5</v>
      </c>
      <c r="BP97" s="419">
        <f>BP89</f>
        <v>4455</v>
      </c>
      <c r="BQ97" s="419">
        <f>BQ89</f>
        <v>4446</v>
      </c>
      <c r="BR97" s="419">
        <f>BR89</f>
        <v>4426</v>
      </c>
      <c r="BS97" s="419">
        <f>AVERAGE(BS93,BS96)</f>
        <v>4409</v>
      </c>
      <c r="BT97" s="420">
        <f>AVERAGE(BP97:BS97)</f>
        <v>4434</v>
      </c>
      <c r="BU97" s="419">
        <f>BU89</f>
        <v>4401</v>
      </c>
      <c r="BV97" s="419">
        <f>AVERAGE(BV93,BV96)</f>
        <v>4388.5</v>
      </c>
      <c r="BW97" s="419">
        <f>AVERAGE(BW93,BW96)</f>
        <v>4380</v>
      </c>
      <c r="BX97" s="419">
        <f>AVERAGE(BX93,BX96)</f>
        <v>4370.5</v>
      </c>
      <c r="BY97" s="420">
        <f>AVERAGE(BU97:BX97)</f>
        <v>4385</v>
      </c>
      <c r="BZ97" s="419">
        <f>AVERAGE(BZ93,BZ96)</f>
        <v>4363</v>
      </c>
      <c r="CA97" s="419">
        <f>AVERAGE(CA93,CA96)</f>
        <v>4354.5</v>
      </c>
      <c r="CB97" s="419">
        <f>AVERAGE(CB93,CB96)</f>
        <v>4345.5</v>
      </c>
      <c r="CC97" s="419">
        <f>AVERAGE(CC93,CC96)</f>
        <v>4333</v>
      </c>
      <c r="CD97" s="420">
        <f>AVERAGE(BZ97:CC97)</f>
        <v>4349</v>
      </c>
      <c r="CE97" s="419">
        <f>AVERAGE(CE93,CE96)</f>
        <v>4328</v>
      </c>
      <c r="CF97" s="419">
        <f>AVERAGE(CF93,CF96)</f>
        <v>4323.5</v>
      </c>
      <c r="CG97" s="419">
        <f>AVERAGE(CG93,CG96)</f>
        <v>4314</v>
      </c>
      <c r="CH97" s="419">
        <f>AVERAGE(CH93,CH96)</f>
        <v>4300.5</v>
      </c>
      <c r="CI97" s="420">
        <f>AVERAGE(CE97:CH97)</f>
        <v>4316.5</v>
      </c>
      <c r="CJ97" s="419">
        <f>AVERAGE(CJ93,CJ96)</f>
        <v>4280.5</v>
      </c>
      <c r="CK97" s="419">
        <f>AVERAGE(CK93,CK96)</f>
        <v>4270.5</v>
      </c>
      <c r="CL97" s="419">
        <f>AVERAGE(CL93,CL96)</f>
        <v>4265</v>
      </c>
      <c r="CM97" s="419">
        <f>AVERAGE(CM93,CM96)</f>
        <v>4260.5</v>
      </c>
      <c r="CN97" s="420">
        <f>AVERAGE(CJ97:CM97)</f>
        <v>4269.125</v>
      </c>
      <c r="CO97" s="204">
        <f>AVERAGE(CO93,CO96)</f>
        <v>4259</v>
      </c>
      <c r="CP97" s="204">
        <f>AVERAGE(CP93,CP96)</f>
        <v>4258.5</v>
      </c>
      <c r="CQ97" s="204">
        <f>AVERAGE(CQ93,CQ96)</f>
        <v>4257.5</v>
      </c>
      <c r="CR97" s="204">
        <f>AVERAGE(CR93,CR96)</f>
        <v>4258</v>
      </c>
      <c r="CS97" s="205">
        <f>AVERAGE(CO97:CR97)</f>
        <v>4258.25</v>
      </c>
      <c r="CT97" s="204">
        <f>AVERAGE(CT93,CT96)</f>
        <v>4258.375</v>
      </c>
      <c r="CU97" s="204">
        <f>AVERAGE(CU93,CU96)</f>
        <v>4257.125</v>
      </c>
      <c r="CV97" s="204">
        <f>AVERAGE(CV93,CV96)</f>
        <v>4255.875</v>
      </c>
      <c r="CW97" s="204">
        <f>AVERAGE(CW93,CW96)</f>
        <v>4254.625</v>
      </c>
      <c r="CX97" s="205">
        <f>AVERAGE(CT97:CW97)</f>
        <v>4256.5</v>
      </c>
      <c r="CY97" s="204">
        <f>AVERAGE(CY93,CY96)</f>
        <v>4253.375</v>
      </c>
      <c r="CZ97" s="204">
        <f>AVERAGE(CZ93,CZ96)</f>
        <v>4252.125</v>
      </c>
      <c r="DA97" s="204">
        <f>AVERAGE(DA93,DA96)</f>
        <v>4250.875</v>
      </c>
      <c r="DB97" s="204">
        <f>AVERAGE(DB93,DB96)</f>
        <v>4249.625</v>
      </c>
      <c r="DC97" s="205">
        <f>AVERAGE(CY97:DB97)</f>
        <v>4251.5</v>
      </c>
      <c r="DD97" s="204">
        <f>AVERAGE(DD93,DD96)</f>
        <v>4248.625</v>
      </c>
      <c r="DE97" s="204">
        <f>AVERAGE(DE93,DE96)</f>
        <v>4247.875</v>
      </c>
      <c r="DF97" s="204">
        <f>AVERAGE(DF93,DF96)</f>
        <v>4247.125</v>
      </c>
      <c r="DG97" s="204">
        <f>AVERAGE(DG93,DG96)</f>
        <v>4246.375</v>
      </c>
      <c r="DH97" s="205">
        <f>AVERAGE(DD97:DG97)</f>
        <v>4247.5</v>
      </c>
      <c r="DI97" s="204">
        <f>AVERAGE(DI93,DI96)</f>
        <v>4245.875</v>
      </c>
      <c r="DJ97" s="204">
        <f>AVERAGE(DJ93,DJ96)</f>
        <v>4245.625</v>
      </c>
      <c r="DK97" s="204">
        <f>AVERAGE(DK93,DK96)</f>
        <v>4245.375</v>
      </c>
      <c r="DL97" s="204">
        <f>AVERAGE(DL93,DL96)</f>
        <v>4245.125</v>
      </c>
      <c r="DM97" s="205">
        <f>AVERAGE(DI97:DL97)</f>
        <v>4245.5</v>
      </c>
      <c r="DN97" s="207"/>
    </row>
    <row r="98" spans="1:124" ht="16.5" hidden="1" customHeight="1" outlineLevel="1" x14ac:dyDescent="0.2">
      <c r="A98" s="244" t="s">
        <v>50</v>
      </c>
      <c r="B98" s="207"/>
      <c r="C98" s="235"/>
      <c r="D98" s="235"/>
      <c r="E98" s="235"/>
      <c r="F98" s="235"/>
      <c r="G98" s="237"/>
      <c r="H98" s="235"/>
      <c r="I98" s="235"/>
      <c r="J98" s="235"/>
      <c r="K98" s="235"/>
      <c r="L98" s="237"/>
      <c r="M98" s="235"/>
      <c r="N98" s="235"/>
      <c r="O98" s="235"/>
      <c r="P98" s="235"/>
      <c r="Q98" s="237"/>
      <c r="R98" s="235">
        <f t="shared" ref="R98:BS98" si="129">R99-R97</f>
        <v>6</v>
      </c>
      <c r="S98" s="235">
        <f t="shared" si="129"/>
        <v>6</v>
      </c>
      <c r="T98" s="235">
        <f t="shared" si="129"/>
        <v>2</v>
      </c>
      <c r="U98" s="235">
        <f t="shared" si="129"/>
        <v>8.2375000000010914</v>
      </c>
      <c r="V98" s="237">
        <f t="shared" si="129"/>
        <v>5.5593750000007276</v>
      </c>
      <c r="W98" s="235">
        <f t="shared" si="129"/>
        <v>10.438694000000396</v>
      </c>
      <c r="X98" s="235">
        <f t="shared" si="129"/>
        <v>8.9817160000002332</v>
      </c>
      <c r="Y98" s="235">
        <f t="shared" si="129"/>
        <v>6</v>
      </c>
      <c r="Z98" s="235">
        <f t="shared" si="129"/>
        <v>4.4811260000005859</v>
      </c>
      <c r="AA98" s="237">
        <f t="shared" si="129"/>
        <v>1.3712993495155388</v>
      </c>
      <c r="AB98" s="235">
        <f t="shared" si="129"/>
        <v>1.9291530000000421</v>
      </c>
      <c r="AC98" s="235">
        <f t="shared" si="129"/>
        <v>4</v>
      </c>
      <c r="AD98" s="235">
        <f t="shared" si="129"/>
        <v>2</v>
      </c>
      <c r="AE98" s="235">
        <f t="shared" si="129"/>
        <v>0</v>
      </c>
      <c r="AF98" s="237">
        <f t="shared" si="129"/>
        <v>7.5382434229695718</v>
      </c>
      <c r="AG98" s="235">
        <f t="shared" si="129"/>
        <v>2</v>
      </c>
      <c r="AH98" s="235">
        <f t="shared" si="129"/>
        <v>5</v>
      </c>
      <c r="AI98" s="235">
        <f t="shared" si="129"/>
        <v>2</v>
      </c>
      <c r="AJ98" s="235">
        <f t="shared" si="129"/>
        <v>10</v>
      </c>
      <c r="AK98" s="237">
        <f t="shared" si="129"/>
        <v>12.859570041609004</v>
      </c>
      <c r="AL98" s="235">
        <f t="shared" si="129"/>
        <v>14.79591836734653</v>
      </c>
      <c r="AM98" s="235">
        <f t="shared" si="129"/>
        <v>28</v>
      </c>
      <c r="AN98" s="235">
        <f t="shared" si="129"/>
        <v>40</v>
      </c>
      <c r="AO98" s="235">
        <f t="shared" si="129"/>
        <v>68</v>
      </c>
      <c r="AP98" s="237">
        <f t="shared" si="129"/>
        <v>28.883396076877034</v>
      </c>
      <c r="AQ98" s="235">
        <f t="shared" si="129"/>
        <v>58</v>
      </c>
      <c r="AR98" s="235">
        <f t="shared" si="129"/>
        <v>54</v>
      </c>
      <c r="AS98" s="235">
        <f t="shared" si="129"/>
        <v>36</v>
      </c>
      <c r="AT98" s="235">
        <f t="shared" si="129"/>
        <v>18</v>
      </c>
      <c r="AU98" s="237">
        <f t="shared" si="129"/>
        <v>42</v>
      </c>
      <c r="AV98" s="235">
        <f t="shared" si="129"/>
        <v>12</v>
      </c>
      <c r="AW98" s="235">
        <f t="shared" si="129"/>
        <v>20</v>
      </c>
      <c r="AX98" s="235">
        <f t="shared" si="129"/>
        <v>36</v>
      </c>
      <c r="AY98" s="235">
        <f t="shared" si="129"/>
        <v>60</v>
      </c>
      <c r="AZ98" s="237">
        <f t="shared" si="129"/>
        <v>32</v>
      </c>
      <c r="BA98" s="236">
        <f t="shared" si="129"/>
        <v>46</v>
      </c>
      <c r="BB98" s="236">
        <f t="shared" si="129"/>
        <v>38</v>
      </c>
      <c r="BC98" s="236">
        <f t="shared" si="129"/>
        <v>52</v>
      </c>
      <c r="BD98" s="236">
        <f t="shared" si="129"/>
        <v>76</v>
      </c>
      <c r="BE98" s="237">
        <f>BE99-BE97</f>
        <v>53</v>
      </c>
      <c r="BF98" s="236">
        <f t="shared" si="129"/>
        <v>78</v>
      </c>
      <c r="BG98" s="236">
        <f t="shared" si="129"/>
        <v>80</v>
      </c>
      <c r="BH98" s="236">
        <f t="shared" si="129"/>
        <v>80</v>
      </c>
      <c r="BI98" s="236">
        <f t="shared" si="129"/>
        <v>76</v>
      </c>
      <c r="BJ98" s="491">
        <f>BJ99-BJ97</f>
        <v>78.5</v>
      </c>
      <c r="BK98" s="487">
        <f t="shared" si="129"/>
        <v>76</v>
      </c>
      <c r="BL98" s="487">
        <f t="shared" si="129"/>
        <v>81</v>
      </c>
      <c r="BM98" s="487">
        <f t="shared" si="129"/>
        <v>85</v>
      </c>
      <c r="BN98" s="487">
        <f t="shared" si="129"/>
        <v>78</v>
      </c>
      <c r="BO98" s="491">
        <f>BO99-BO97</f>
        <v>80</v>
      </c>
      <c r="BP98" s="487">
        <f t="shared" si="129"/>
        <v>75</v>
      </c>
      <c r="BQ98" s="487">
        <f t="shared" si="129"/>
        <v>81</v>
      </c>
      <c r="BR98" s="487">
        <f t="shared" si="129"/>
        <v>72</v>
      </c>
      <c r="BS98" s="487">
        <f t="shared" si="129"/>
        <v>73</v>
      </c>
      <c r="BT98" s="491">
        <f t="shared" ref="BT98:CC98" si="130">BT99-BT97</f>
        <v>75.25</v>
      </c>
      <c r="BU98" s="487">
        <f t="shared" si="130"/>
        <v>63</v>
      </c>
      <c r="BV98" s="487">
        <f t="shared" si="130"/>
        <v>65.5</v>
      </c>
      <c r="BW98" s="487">
        <f t="shared" si="130"/>
        <v>65</v>
      </c>
      <c r="BX98" s="487">
        <f t="shared" si="130"/>
        <v>66.5</v>
      </c>
      <c r="BY98" s="491">
        <f t="shared" si="130"/>
        <v>65</v>
      </c>
      <c r="BZ98" s="487">
        <f t="shared" si="130"/>
        <v>59</v>
      </c>
      <c r="CA98" s="487">
        <f t="shared" si="130"/>
        <v>53.5</v>
      </c>
      <c r="CB98" s="487">
        <f t="shared" si="130"/>
        <v>53.5</v>
      </c>
      <c r="CC98" s="487">
        <f t="shared" si="130"/>
        <v>57</v>
      </c>
      <c r="CD98" s="491">
        <f t="shared" ref="CD98:CJ98" si="131">CD99-CD97</f>
        <v>55.75</v>
      </c>
      <c r="CE98" s="487">
        <f t="shared" si="131"/>
        <v>54</v>
      </c>
      <c r="CF98" s="487">
        <f t="shared" si="131"/>
        <v>53.5</v>
      </c>
      <c r="CG98" s="487">
        <f t="shared" si="131"/>
        <v>50</v>
      </c>
      <c r="CH98" s="487">
        <f t="shared" si="131"/>
        <v>44.5</v>
      </c>
      <c r="CI98" s="491">
        <f t="shared" si="131"/>
        <v>50.5</v>
      </c>
      <c r="CJ98" s="487">
        <f t="shared" si="131"/>
        <v>53.5</v>
      </c>
      <c r="CK98" s="487">
        <f t="shared" ref="CK98:CL98" si="132">CK99-CK97</f>
        <v>56.5</v>
      </c>
      <c r="CL98" s="487">
        <f t="shared" si="132"/>
        <v>55</v>
      </c>
      <c r="CM98" s="487">
        <f t="shared" ref="CM98:CO98" si="133">CM99-CM97</f>
        <v>54.5</v>
      </c>
      <c r="CN98" s="491">
        <f>CN99-CN97</f>
        <v>54.875</v>
      </c>
      <c r="CO98" s="487">
        <f t="shared" si="133"/>
        <v>47</v>
      </c>
      <c r="CP98" s="239">
        <f>CO98</f>
        <v>47</v>
      </c>
      <c r="CQ98" s="239">
        <f>CP98</f>
        <v>47</v>
      </c>
      <c r="CR98" s="239">
        <f>CQ98</f>
        <v>47</v>
      </c>
      <c r="CS98" s="237">
        <f>CS99-CS97</f>
        <v>47</v>
      </c>
      <c r="CT98" s="239">
        <f>CR98</f>
        <v>47</v>
      </c>
      <c r="CU98" s="239">
        <f>CT98</f>
        <v>47</v>
      </c>
      <c r="CV98" s="239">
        <f>CU98</f>
        <v>47</v>
      </c>
      <c r="CW98" s="239">
        <f>CV98</f>
        <v>47</v>
      </c>
      <c r="CX98" s="237">
        <f>CX99-CX97</f>
        <v>47</v>
      </c>
      <c r="CY98" s="239">
        <f>CW98</f>
        <v>47</v>
      </c>
      <c r="CZ98" s="239">
        <f>CY98</f>
        <v>47</v>
      </c>
      <c r="DA98" s="239">
        <f>CZ98</f>
        <v>47</v>
      </c>
      <c r="DB98" s="239">
        <f>DA98</f>
        <v>47</v>
      </c>
      <c r="DC98" s="237">
        <f>DC99-DC97</f>
        <v>47</v>
      </c>
      <c r="DD98" s="239">
        <f>DB98</f>
        <v>47</v>
      </c>
      <c r="DE98" s="239">
        <f>DD98</f>
        <v>47</v>
      </c>
      <c r="DF98" s="239">
        <f>DE98</f>
        <v>47</v>
      </c>
      <c r="DG98" s="239">
        <f>DF98</f>
        <v>47</v>
      </c>
      <c r="DH98" s="237">
        <f>DH99-DH97</f>
        <v>47</v>
      </c>
      <c r="DI98" s="239">
        <f>DG98</f>
        <v>47</v>
      </c>
      <c r="DJ98" s="239">
        <f>DI98</f>
        <v>47</v>
      </c>
      <c r="DK98" s="239">
        <f>DJ98</f>
        <v>47</v>
      </c>
      <c r="DL98" s="239">
        <f>DK98</f>
        <v>47</v>
      </c>
      <c r="DM98" s="237">
        <f>DM99-DM97</f>
        <v>47</v>
      </c>
      <c r="DN98" s="207"/>
    </row>
    <row r="99" spans="1:124" ht="16.5" hidden="1" customHeight="1" outlineLevel="1" x14ac:dyDescent="0.25">
      <c r="A99" s="245" t="s">
        <v>51</v>
      </c>
      <c r="B99" s="207"/>
      <c r="C99" s="206"/>
      <c r="D99" s="206"/>
      <c r="E99" s="206"/>
      <c r="F99" s="206"/>
      <c r="G99" s="205"/>
      <c r="H99" s="206"/>
      <c r="I99" s="206"/>
      <c r="J99" s="206"/>
      <c r="K99" s="206"/>
      <c r="L99" s="205"/>
      <c r="M99" s="206"/>
      <c r="N99" s="206"/>
      <c r="O99" s="206"/>
      <c r="P99" s="206"/>
      <c r="Q99" s="205"/>
      <c r="R99" s="206">
        <f t="shared" ref="R99:Z99" si="134">R90</f>
        <v>4944</v>
      </c>
      <c r="S99" s="206">
        <f t="shared" si="134"/>
        <v>4932</v>
      </c>
      <c r="T99" s="206">
        <f t="shared" si="134"/>
        <v>4916</v>
      </c>
      <c r="U99" s="206">
        <f t="shared" si="134"/>
        <v>4904</v>
      </c>
      <c r="V99" s="205">
        <f t="shared" si="134"/>
        <v>4924</v>
      </c>
      <c r="W99" s="206">
        <f t="shared" si="134"/>
        <v>4888</v>
      </c>
      <c r="X99" s="206">
        <f t="shared" si="134"/>
        <v>4868</v>
      </c>
      <c r="Y99" s="206">
        <f t="shared" si="134"/>
        <v>4848</v>
      </c>
      <c r="Z99" s="206">
        <f t="shared" si="134"/>
        <v>4830</v>
      </c>
      <c r="AA99" s="205">
        <f t="shared" ref="AA99:AU99" si="135">AA90</f>
        <v>4858</v>
      </c>
      <c r="AB99" s="206">
        <f t="shared" si="135"/>
        <v>4820</v>
      </c>
      <c r="AC99" s="206">
        <f t="shared" si="135"/>
        <v>4802</v>
      </c>
      <c r="AD99" s="206">
        <f t="shared" si="135"/>
        <v>4770</v>
      </c>
      <c r="AE99" s="206">
        <f t="shared" si="135"/>
        <v>4750</v>
      </c>
      <c r="AF99" s="205">
        <f t="shared" si="135"/>
        <v>4785.5</v>
      </c>
      <c r="AG99" s="206">
        <f t="shared" si="135"/>
        <v>4732</v>
      </c>
      <c r="AH99" s="206">
        <f t="shared" si="135"/>
        <v>4704</v>
      </c>
      <c r="AI99" s="206">
        <f t="shared" si="135"/>
        <v>4686</v>
      </c>
      <c r="AJ99" s="206">
        <f t="shared" si="135"/>
        <v>4682</v>
      </c>
      <c r="AK99" s="205">
        <f t="shared" si="135"/>
        <v>4701</v>
      </c>
      <c r="AL99" s="206">
        <f t="shared" si="135"/>
        <v>4642</v>
      </c>
      <c r="AM99" s="206">
        <f t="shared" si="135"/>
        <v>4652</v>
      </c>
      <c r="AN99" s="206">
        <f t="shared" si="135"/>
        <v>4662</v>
      </c>
      <c r="AO99" s="206">
        <f t="shared" si="135"/>
        <v>4694</v>
      </c>
      <c r="AP99" s="205">
        <f t="shared" si="135"/>
        <v>4662.5</v>
      </c>
      <c r="AQ99" s="206">
        <f t="shared" si="135"/>
        <v>4702</v>
      </c>
      <c r="AR99" s="206">
        <f t="shared" si="135"/>
        <v>4686</v>
      </c>
      <c r="AS99" s="206">
        <f t="shared" si="135"/>
        <v>4658</v>
      </c>
      <c r="AT99" s="206">
        <f t="shared" si="135"/>
        <v>4642</v>
      </c>
      <c r="AU99" s="205">
        <f t="shared" si="135"/>
        <v>4672</v>
      </c>
      <c r="AV99" s="206">
        <f>AV90</f>
        <v>4638</v>
      </c>
      <c r="AW99" s="206">
        <f>AW90</f>
        <v>4646</v>
      </c>
      <c r="AX99" s="206">
        <f>AX90</f>
        <v>4664</v>
      </c>
      <c r="AY99" s="206">
        <f>AY90</f>
        <v>4684</v>
      </c>
      <c r="AZ99" s="205">
        <f>AVERAGE(AV99:AY99)</f>
        <v>4658</v>
      </c>
      <c r="BA99" s="204">
        <f>BA90</f>
        <v>4654</v>
      </c>
      <c r="BB99" s="204">
        <f>BB90</f>
        <v>4650</v>
      </c>
      <c r="BC99" s="204">
        <f>BC90</f>
        <v>4672</v>
      </c>
      <c r="BD99" s="204">
        <f>BD90</f>
        <v>4698</v>
      </c>
      <c r="BE99" s="205">
        <f>AVERAGE(BA99:BD99)</f>
        <v>4668.5</v>
      </c>
      <c r="BF99" s="204">
        <f>BF90</f>
        <v>4662</v>
      </c>
      <c r="BG99" s="204">
        <f>BG90</f>
        <v>4660</v>
      </c>
      <c r="BH99" s="204">
        <f>BH90</f>
        <v>4652</v>
      </c>
      <c r="BI99" s="204">
        <f>BI90</f>
        <v>4612</v>
      </c>
      <c r="BJ99" s="420">
        <f>AVERAGE(BF99:BI99)</f>
        <v>4646.5</v>
      </c>
      <c r="BK99" s="419">
        <f>BK90</f>
        <v>4602</v>
      </c>
      <c r="BL99" s="419">
        <f>BL90</f>
        <v>4592</v>
      </c>
      <c r="BM99" s="419">
        <f>BM90</f>
        <v>4587</v>
      </c>
      <c r="BN99" s="419">
        <f>BN90</f>
        <v>4557</v>
      </c>
      <c r="BO99" s="420">
        <f>AVERAGE(BK99:BN99)</f>
        <v>4584.5</v>
      </c>
      <c r="BP99" s="419">
        <f>BP90</f>
        <v>4530</v>
      </c>
      <c r="BQ99" s="419">
        <f>BQ90</f>
        <v>4527</v>
      </c>
      <c r="BR99" s="419">
        <f>BR90</f>
        <v>4498</v>
      </c>
      <c r="BS99" s="419">
        <f>BS90</f>
        <v>4482</v>
      </c>
      <c r="BT99" s="420">
        <f>AVERAGE(BP99:BS99)</f>
        <v>4509.25</v>
      </c>
      <c r="BU99" s="419">
        <f>BU90</f>
        <v>4464</v>
      </c>
      <c r="BV99" s="419">
        <f>BV90</f>
        <v>4454</v>
      </c>
      <c r="BW99" s="419">
        <f>BW90</f>
        <v>4445</v>
      </c>
      <c r="BX99" s="419">
        <f>BX90</f>
        <v>4437</v>
      </c>
      <c r="BY99" s="420">
        <f>AVERAGE(BU99:BX99)</f>
        <v>4450</v>
      </c>
      <c r="BZ99" s="419">
        <f>BZ90</f>
        <v>4422</v>
      </c>
      <c r="CA99" s="419">
        <f>CA90</f>
        <v>4408</v>
      </c>
      <c r="CB99" s="419">
        <f>CB90</f>
        <v>4399</v>
      </c>
      <c r="CC99" s="419">
        <f>CC90</f>
        <v>4390</v>
      </c>
      <c r="CD99" s="420">
        <f>AVERAGE(BZ99:CC99)</f>
        <v>4404.75</v>
      </c>
      <c r="CE99" s="419">
        <f>CE90</f>
        <v>4382</v>
      </c>
      <c r="CF99" s="419">
        <f>CF90</f>
        <v>4377</v>
      </c>
      <c r="CG99" s="419">
        <f>CG90</f>
        <v>4364</v>
      </c>
      <c r="CH99" s="419">
        <f>CH90</f>
        <v>4345</v>
      </c>
      <c r="CI99" s="420">
        <f>AVERAGE(CE99:CH99)</f>
        <v>4367</v>
      </c>
      <c r="CJ99" s="419">
        <f>CJ90</f>
        <v>4334</v>
      </c>
      <c r="CK99" s="419">
        <f>CK90</f>
        <v>4327</v>
      </c>
      <c r="CL99" s="419">
        <f>CL90</f>
        <v>4320</v>
      </c>
      <c r="CM99" s="419">
        <f>CM90</f>
        <v>4315</v>
      </c>
      <c r="CN99" s="420">
        <f>AVERAGE(CJ99:CM99)</f>
        <v>4324</v>
      </c>
      <c r="CO99" s="419">
        <f>CO90</f>
        <v>4306</v>
      </c>
      <c r="CP99" s="204">
        <f>CP97+CP98</f>
        <v>4305.5</v>
      </c>
      <c r="CQ99" s="204">
        <f>CQ97+CQ98</f>
        <v>4304.5</v>
      </c>
      <c r="CR99" s="204">
        <f>CR97+CR98</f>
        <v>4305</v>
      </c>
      <c r="CS99" s="205">
        <f>AVERAGE(CO99:CR99)</f>
        <v>4305.25</v>
      </c>
      <c r="CT99" s="204">
        <f>CT97+CT98</f>
        <v>4305.375</v>
      </c>
      <c r="CU99" s="204">
        <f>CU97+CU98</f>
        <v>4304.125</v>
      </c>
      <c r="CV99" s="204">
        <f>CV97+CV98</f>
        <v>4302.875</v>
      </c>
      <c r="CW99" s="204">
        <f>CW97+CW98</f>
        <v>4301.625</v>
      </c>
      <c r="CX99" s="205">
        <f>AVERAGE(CT99:CW99)</f>
        <v>4303.5</v>
      </c>
      <c r="CY99" s="204">
        <f>CY97+CY98</f>
        <v>4300.375</v>
      </c>
      <c r="CZ99" s="204">
        <f>CZ97+CZ98</f>
        <v>4299.125</v>
      </c>
      <c r="DA99" s="204">
        <f>DA97+DA98</f>
        <v>4297.875</v>
      </c>
      <c r="DB99" s="204">
        <f>DB97+DB98</f>
        <v>4296.625</v>
      </c>
      <c r="DC99" s="205">
        <f>AVERAGE(CY99:DB99)</f>
        <v>4298.5</v>
      </c>
      <c r="DD99" s="204">
        <f>DD97+DD98</f>
        <v>4295.625</v>
      </c>
      <c r="DE99" s="204">
        <f>DE97+DE98</f>
        <v>4294.875</v>
      </c>
      <c r="DF99" s="204">
        <f>DF97+DF98</f>
        <v>4294.125</v>
      </c>
      <c r="DG99" s="204">
        <f>DG97+DG98</f>
        <v>4293.375</v>
      </c>
      <c r="DH99" s="205">
        <f>AVERAGE(DD99:DG99)</f>
        <v>4294.5</v>
      </c>
      <c r="DI99" s="204">
        <f>DI97+DI98</f>
        <v>4292.875</v>
      </c>
      <c r="DJ99" s="204">
        <f>DJ97+DJ98</f>
        <v>4292.625</v>
      </c>
      <c r="DK99" s="204">
        <f>DK97+DK98</f>
        <v>4292.375</v>
      </c>
      <c r="DL99" s="204">
        <f>DL97+DL98</f>
        <v>4292.125</v>
      </c>
      <c r="DM99" s="205">
        <f>AVERAGE(DI99:DL99)</f>
        <v>4292.5</v>
      </c>
      <c r="DN99" s="207"/>
    </row>
    <row r="100" spans="1:124" ht="15.75" hidden="1" outlineLevel="1" x14ac:dyDescent="0.25">
      <c r="A100" s="245"/>
      <c r="B100" s="207"/>
      <c r="G100" s="219"/>
      <c r="L100" s="219"/>
      <c r="Q100" s="219"/>
      <c r="V100" s="219"/>
      <c r="AA100" s="219"/>
      <c r="AF100" s="219"/>
      <c r="AK100" s="219"/>
      <c r="AP100" s="219"/>
      <c r="AU100" s="219"/>
      <c r="AZ100" s="219"/>
      <c r="BA100" s="207"/>
      <c r="BB100" s="207"/>
      <c r="BC100" s="207"/>
      <c r="BD100" s="207"/>
      <c r="BE100" s="219"/>
      <c r="BG100" s="243"/>
      <c r="BH100" s="241"/>
      <c r="BI100" s="243"/>
      <c r="BJ100" s="299"/>
      <c r="BK100" s="243"/>
      <c r="BL100" s="241"/>
      <c r="BM100" s="243"/>
      <c r="BN100" s="243"/>
      <c r="BO100" s="299"/>
      <c r="BP100" s="243"/>
      <c r="BQ100" s="243"/>
      <c r="BR100" s="243"/>
      <c r="BS100" s="243"/>
      <c r="BT100" s="242"/>
      <c r="BY100" s="219"/>
      <c r="CD100" s="219"/>
      <c r="CE100" s="418"/>
      <c r="CF100" s="418"/>
      <c r="CG100" s="418"/>
      <c r="CH100" s="418"/>
      <c r="CI100" s="443"/>
      <c r="CN100" s="219"/>
      <c r="CS100" s="219"/>
      <c r="CX100" s="219"/>
      <c r="DC100" s="219"/>
      <c r="DH100" s="219"/>
      <c r="DM100" s="219"/>
      <c r="DN100" s="207"/>
    </row>
    <row r="101" spans="1:124" ht="16.5" hidden="1" customHeight="1" outlineLevel="1" x14ac:dyDescent="0.2">
      <c r="A101" s="244" t="s">
        <v>52</v>
      </c>
      <c r="B101" s="207"/>
      <c r="C101" s="235"/>
      <c r="D101" s="235"/>
      <c r="E101" s="235"/>
      <c r="F101" s="235"/>
      <c r="G101" s="237"/>
      <c r="H101" s="235"/>
      <c r="I101" s="235"/>
      <c r="J101" s="235"/>
      <c r="K101" s="235"/>
      <c r="L101" s="237"/>
      <c r="M101" s="235"/>
      <c r="N101" s="235"/>
      <c r="O101" s="235"/>
      <c r="P101" s="235"/>
      <c r="Q101" s="237"/>
      <c r="R101" s="235">
        <f t="shared" ref="R101:W101" si="136">-R95</f>
        <v>16.701570680628272</v>
      </c>
      <c r="S101" s="235">
        <f t="shared" si="136"/>
        <v>6.4984293193717271</v>
      </c>
      <c r="T101" s="235">
        <f t="shared" si="136"/>
        <v>22.25</v>
      </c>
      <c r="U101" s="235">
        <f t="shared" si="136"/>
        <v>24.375</v>
      </c>
      <c r="V101" s="237">
        <f t="shared" si="136"/>
        <v>69.825000000000003</v>
      </c>
      <c r="W101" s="235">
        <f t="shared" si="136"/>
        <v>19.440000000000001</v>
      </c>
      <c r="X101" s="235">
        <f t="shared" ref="X101:BL101" si="137">-X95</f>
        <v>18.640776699029125</v>
      </c>
      <c r="Y101" s="235">
        <f t="shared" si="137"/>
        <v>21.7</v>
      </c>
      <c r="Z101" s="235">
        <f t="shared" si="137"/>
        <v>16.456310679611651</v>
      </c>
      <c r="AA101" s="237">
        <f t="shared" si="137"/>
        <v>76.23708737864078</v>
      </c>
      <c r="AB101" s="235">
        <f t="shared" si="137"/>
        <v>4.4651162790697674</v>
      </c>
      <c r="AC101" s="235">
        <f t="shared" si="137"/>
        <v>45.156920298035672</v>
      </c>
      <c r="AD101" s="235">
        <f t="shared" si="137"/>
        <v>23.482352941176469</v>
      </c>
      <c r="AE101" s="235">
        <f t="shared" si="137"/>
        <v>21.904761904761905</v>
      </c>
      <c r="AF101" s="237">
        <f t="shared" si="137"/>
        <v>95.009151423043818</v>
      </c>
      <c r="AG101" s="235">
        <f t="shared" si="137"/>
        <v>23.761904761904763</v>
      </c>
      <c r="AH101" s="235">
        <f t="shared" si="137"/>
        <v>30.790568654646325</v>
      </c>
      <c r="AI101" s="235">
        <f t="shared" si="137"/>
        <v>1.5709931818895906</v>
      </c>
      <c r="AJ101" s="235">
        <f t="shared" si="137"/>
        <v>54.166666666666664</v>
      </c>
      <c r="AK101" s="237">
        <f t="shared" si="137"/>
        <v>110.29013326510734</v>
      </c>
      <c r="AL101" s="235">
        <f t="shared" si="137"/>
        <v>27.591836734693878</v>
      </c>
      <c r="AM101" s="235">
        <f t="shared" si="137"/>
        <v>11.174955419060829</v>
      </c>
      <c r="AN101" s="235">
        <f t="shared" si="137"/>
        <v>12</v>
      </c>
      <c r="AO101" s="235">
        <f t="shared" si="137"/>
        <v>15.862068965517242</v>
      </c>
      <c r="AP101" s="237">
        <f t="shared" si="137"/>
        <v>66.628861119271946</v>
      </c>
      <c r="AQ101" s="235">
        <f t="shared" si="137"/>
        <v>8.4666666666666668</v>
      </c>
      <c r="AR101" s="235">
        <f t="shared" si="137"/>
        <v>28.254545454545454</v>
      </c>
      <c r="AS101" s="235">
        <f t="shared" si="137"/>
        <v>0</v>
      </c>
      <c r="AT101" s="235">
        <f t="shared" si="137"/>
        <v>0</v>
      </c>
      <c r="AU101" s="237">
        <f t="shared" si="137"/>
        <v>36.721212121212119</v>
      </c>
      <c r="AV101" s="235">
        <f t="shared" si="137"/>
        <v>0</v>
      </c>
      <c r="AW101" s="235">
        <f t="shared" si="137"/>
        <v>0</v>
      </c>
      <c r="AX101" s="235">
        <f t="shared" si="137"/>
        <v>0</v>
      </c>
      <c r="AY101" s="235">
        <f t="shared" si="137"/>
        <v>52</v>
      </c>
      <c r="AZ101" s="237">
        <f t="shared" si="137"/>
        <v>52</v>
      </c>
      <c r="BA101" s="236">
        <f t="shared" si="137"/>
        <v>0</v>
      </c>
      <c r="BB101" s="236">
        <f t="shared" si="137"/>
        <v>0</v>
      </c>
      <c r="BC101" s="236">
        <f t="shared" si="137"/>
        <v>0</v>
      </c>
      <c r="BD101" s="236">
        <f t="shared" si="137"/>
        <v>98</v>
      </c>
      <c r="BE101" s="237">
        <f t="shared" si="137"/>
        <v>98</v>
      </c>
      <c r="BF101" s="235">
        <f t="shared" si="137"/>
        <v>31.4</v>
      </c>
      <c r="BG101" s="235">
        <f t="shared" si="137"/>
        <v>3</v>
      </c>
      <c r="BH101" s="236">
        <f t="shared" si="137"/>
        <v>66</v>
      </c>
      <c r="BI101" s="235">
        <f t="shared" si="137"/>
        <v>25.6</v>
      </c>
      <c r="BJ101" s="237">
        <f t="shared" si="137"/>
        <v>126</v>
      </c>
      <c r="BK101" s="235">
        <f t="shared" si="137"/>
        <v>38</v>
      </c>
      <c r="BL101" s="235">
        <f t="shared" si="137"/>
        <v>32</v>
      </c>
      <c r="BM101" s="300">
        <f>96.7-BL101-BK101</f>
        <v>26.700000000000003</v>
      </c>
      <c r="BN101" s="235">
        <v>24.504166000000001</v>
      </c>
      <c r="BO101" s="237">
        <f>SUM(BK101:BN101)</f>
        <v>121.204166</v>
      </c>
      <c r="BP101" s="235">
        <v>39.299999999999997</v>
      </c>
      <c r="BQ101" s="235">
        <f>73.5-BP101</f>
        <v>34.200000000000003</v>
      </c>
      <c r="BR101" s="235">
        <f>95.9-BQ101-BP101</f>
        <v>22.400000000000006</v>
      </c>
      <c r="BS101" s="235">
        <f>BT101-SUM(BP101:BR101)</f>
        <v>25.099999999999994</v>
      </c>
      <c r="BT101" s="237">
        <v>121</v>
      </c>
      <c r="BU101" s="235">
        <v>20.9</v>
      </c>
      <c r="BV101" s="235">
        <f>47.2-BU101</f>
        <v>26.300000000000004</v>
      </c>
      <c r="BW101" s="235">
        <f>71.4-BV101-BU101</f>
        <v>24.200000000000003</v>
      </c>
      <c r="BX101" s="235">
        <f>BY101-SUM(BU101:BW101)</f>
        <v>26.599999999999994</v>
      </c>
      <c r="BY101" s="237">
        <v>98</v>
      </c>
      <c r="BZ101" s="235">
        <v>16</v>
      </c>
      <c r="CA101" s="235">
        <f>31.1-BZ101</f>
        <v>15.100000000000001</v>
      </c>
      <c r="CB101" s="235">
        <f>49.3-CA101-BZ101</f>
        <v>18.199999999999996</v>
      </c>
      <c r="CC101" s="235">
        <f>CD101-SUM(BZ101:CB101)</f>
        <v>36.700000000000003</v>
      </c>
      <c r="CD101" s="237">
        <v>86</v>
      </c>
      <c r="CE101" s="732">
        <v>21.3</v>
      </c>
      <c r="CF101" s="732">
        <f>48.8-CE101</f>
        <v>27.499999999999996</v>
      </c>
      <c r="CG101" s="732">
        <f>55.4-CF101-CE101</f>
        <v>6.6000000000000014</v>
      </c>
      <c r="CH101" s="732">
        <f>CI101-SUM(CE101:CG101)</f>
        <v>30.6</v>
      </c>
      <c r="CI101" s="237">
        <v>86</v>
      </c>
      <c r="CJ101" s="235">
        <v>29.2</v>
      </c>
      <c r="CK101" s="235">
        <f>50.8-CJ101</f>
        <v>21.599999999999998</v>
      </c>
      <c r="CL101" s="235">
        <f>68.8-CK101-CJ101</f>
        <v>18.000000000000004</v>
      </c>
      <c r="CM101" s="732">
        <f>CN101-SUM(CJ101:CL101)</f>
        <v>13.200000000000003</v>
      </c>
      <c r="CN101" s="237">
        <v>82</v>
      </c>
      <c r="CO101" s="239">
        <f>CS101/4</f>
        <v>15</v>
      </c>
      <c r="CP101" s="239">
        <v>16</v>
      </c>
      <c r="CQ101" s="239">
        <f>CP101</f>
        <v>16</v>
      </c>
      <c r="CR101" s="239">
        <f>CS101-SUM(CO101:CQ101)</f>
        <v>13</v>
      </c>
      <c r="CS101" s="301">
        <v>60</v>
      </c>
      <c r="CT101" s="239">
        <f>CX101/4</f>
        <v>16.25</v>
      </c>
      <c r="CU101" s="239">
        <f>CT101</f>
        <v>16.25</v>
      </c>
      <c r="CV101" s="239">
        <f>CU101</f>
        <v>16.25</v>
      </c>
      <c r="CW101" s="239">
        <f>CV101</f>
        <v>16.25</v>
      </c>
      <c r="CX101" s="301">
        <v>65</v>
      </c>
      <c r="CY101" s="239">
        <f>DC101/4</f>
        <v>16.25</v>
      </c>
      <c r="CZ101" s="239">
        <f>CY101</f>
        <v>16.25</v>
      </c>
      <c r="DA101" s="239">
        <f>CZ101</f>
        <v>16.25</v>
      </c>
      <c r="DB101" s="239">
        <f>DA101</f>
        <v>16.25</v>
      </c>
      <c r="DC101" s="301">
        <v>65</v>
      </c>
      <c r="DD101" s="239">
        <f>DH101/4</f>
        <v>15.75</v>
      </c>
      <c r="DE101" s="239">
        <f>DD101</f>
        <v>15.75</v>
      </c>
      <c r="DF101" s="239">
        <f>DE101</f>
        <v>15.75</v>
      </c>
      <c r="DG101" s="239">
        <f>DF101</f>
        <v>15.75</v>
      </c>
      <c r="DH101" s="301">
        <v>63</v>
      </c>
      <c r="DI101" s="239">
        <f>DM101/4</f>
        <v>15.25</v>
      </c>
      <c r="DJ101" s="239">
        <f>DI101</f>
        <v>15.25</v>
      </c>
      <c r="DK101" s="239">
        <f>DJ101</f>
        <v>15.25</v>
      </c>
      <c r="DL101" s="239">
        <f>DK101</f>
        <v>15.25</v>
      </c>
      <c r="DM101" s="301">
        <v>61</v>
      </c>
      <c r="DN101" s="207"/>
    </row>
    <row r="102" spans="1:124" ht="16.5" hidden="1" customHeight="1" outlineLevel="1" x14ac:dyDescent="0.2">
      <c r="A102" s="244" t="s">
        <v>53</v>
      </c>
      <c r="B102" s="207"/>
      <c r="C102" s="302"/>
      <c r="D102" s="302"/>
      <c r="E102" s="302"/>
      <c r="F102" s="302"/>
      <c r="G102" s="303"/>
      <c r="H102" s="302"/>
      <c r="I102" s="302"/>
      <c r="J102" s="302"/>
      <c r="K102" s="302"/>
      <c r="L102" s="303"/>
      <c r="M102" s="302"/>
      <c r="N102" s="302"/>
      <c r="O102" s="302"/>
      <c r="P102" s="302"/>
      <c r="Q102" s="303"/>
      <c r="R102" s="302">
        <f t="shared" ref="R102:CC102" si="138">IF(R101=0,"NA",R103/R101)</f>
        <v>20.477115987460817</v>
      </c>
      <c r="S102" s="302">
        <f t="shared" si="138"/>
        <v>14.00338382210764</v>
      </c>
      <c r="T102" s="302">
        <f t="shared" si="138"/>
        <v>22.696629213483146</v>
      </c>
      <c r="U102" s="302">
        <f t="shared" si="138"/>
        <v>20.594871794871796</v>
      </c>
      <c r="V102" s="303">
        <f t="shared" si="138"/>
        <v>20.622986036519869</v>
      </c>
      <c r="W102" s="302">
        <f t="shared" si="138"/>
        <v>25.874485596707817</v>
      </c>
      <c r="X102" s="302">
        <f t="shared" si="138"/>
        <v>25.910937500000003</v>
      </c>
      <c r="Y102" s="302">
        <f t="shared" si="138"/>
        <v>22.396313364055299</v>
      </c>
      <c r="Z102" s="302">
        <f t="shared" si="138"/>
        <v>16.224778761061948</v>
      </c>
      <c r="AA102" s="303">
        <f t="shared" si="138"/>
        <v>22.810420227140167</v>
      </c>
      <c r="AB102" s="302">
        <f t="shared" si="138"/>
        <v>21.5</v>
      </c>
      <c r="AC102" s="302">
        <f t="shared" si="138"/>
        <v>21.281345000000002</v>
      </c>
      <c r="AD102" s="302">
        <f t="shared" si="138"/>
        <v>22.910821643286575</v>
      </c>
      <c r="AE102" s="302">
        <f t="shared" si="138"/>
        <v>21</v>
      </c>
      <c r="AF102" s="303">
        <f t="shared" si="138"/>
        <v>21.629495361449717</v>
      </c>
      <c r="AG102" s="302">
        <f t="shared" si="138"/>
        <v>21.420841683366731</v>
      </c>
      <c r="AH102" s="302">
        <f t="shared" si="138"/>
        <v>21.305225225225225</v>
      </c>
      <c r="AI102" s="302">
        <f t="shared" si="138"/>
        <v>29.917380000000001</v>
      </c>
      <c r="AJ102" s="302">
        <f t="shared" si="138"/>
        <v>22.227692307692308</v>
      </c>
      <c r="AK102" s="303">
        <f t="shared" si="138"/>
        <v>21.905858017168192</v>
      </c>
      <c r="AL102" s="302">
        <f t="shared" si="138"/>
        <v>26.022189349112427</v>
      </c>
      <c r="AM102" s="302">
        <f t="shared" si="138"/>
        <v>21.47659574468085</v>
      </c>
      <c r="AN102" s="302">
        <f t="shared" si="138"/>
        <v>61.75</v>
      </c>
      <c r="AO102" s="302">
        <f t="shared" si="138"/>
        <v>8.7630434782608688</v>
      </c>
      <c r="AP102" s="303">
        <f t="shared" si="138"/>
        <v>27.585643355209189</v>
      </c>
      <c r="AQ102" s="302">
        <f t="shared" si="138"/>
        <v>30</v>
      </c>
      <c r="AR102" s="302">
        <f t="shared" si="138"/>
        <v>27.5</v>
      </c>
      <c r="AS102" s="302" t="str">
        <f t="shared" si="138"/>
        <v>NA</v>
      </c>
      <c r="AT102" s="302" t="str">
        <f t="shared" si="138"/>
        <v>NA</v>
      </c>
      <c r="AU102" s="303">
        <f t="shared" si="138"/>
        <v>29.38356164383562</v>
      </c>
      <c r="AV102" s="302" t="str">
        <f t="shared" si="138"/>
        <v>NA</v>
      </c>
      <c r="AW102" s="302" t="str">
        <f t="shared" si="138"/>
        <v>NA</v>
      </c>
      <c r="AX102" s="302" t="str">
        <f t="shared" si="138"/>
        <v>NA</v>
      </c>
      <c r="AY102" s="302">
        <f t="shared" si="138"/>
        <v>29.076923076923077</v>
      </c>
      <c r="AZ102" s="303">
        <f t="shared" si="138"/>
        <v>29.192307692307693</v>
      </c>
      <c r="BA102" s="304" t="str">
        <f t="shared" si="138"/>
        <v>NA</v>
      </c>
      <c r="BB102" s="304" t="str">
        <f t="shared" si="138"/>
        <v>NA</v>
      </c>
      <c r="BC102" s="304" t="str">
        <f t="shared" si="138"/>
        <v>NA</v>
      </c>
      <c r="BD102" s="304">
        <f t="shared" si="138"/>
        <v>31.632653061224488</v>
      </c>
      <c r="BE102" s="303">
        <f t="shared" si="138"/>
        <v>31.663265306122447</v>
      </c>
      <c r="BF102" s="302">
        <f t="shared" si="138"/>
        <v>35.955414012738856</v>
      </c>
      <c r="BG102" s="302">
        <f t="shared" si="138"/>
        <v>80.666666666666671</v>
      </c>
      <c r="BH102" s="304">
        <f t="shared" si="138"/>
        <v>33.893939393939391</v>
      </c>
      <c r="BI102" s="304">
        <f t="shared" si="138"/>
        <v>35.3515625</v>
      </c>
      <c r="BJ102" s="303">
        <f t="shared" si="138"/>
        <v>35.817460317460316</v>
      </c>
      <c r="BK102" s="304">
        <f t="shared" si="138"/>
        <v>28.394736842105264</v>
      </c>
      <c r="BL102" s="302">
        <f t="shared" si="138"/>
        <v>47.84375</v>
      </c>
      <c r="BM102" s="305">
        <f t="shared" si="138"/>
        <v>37.790262172284642</v>
      </c>
      <c r="BN102" s="305">
        <f t="shared" si="138"/>
        <v>38.360824032941991</v>
      </c>
      <c r="BO102" s="303">
        <f>IF(BO101=0,"NA",BO103/BO101)</f>
        <v>37.61421863997645</v>
      </c>
      <c r="BP102" s="305">
        <f t="shared" si="138"/>
        <v>38.753180661577609</v>
      </c>
      <c r="BQ102" s="305">
        <f t="shared" si="138"/>
        <v>42.543859649122801</v>
      </c>
      <c r="BR102" s="305">
        <f t="shared" si="138"/>
        <v>40.803571428571416</v>
      </c>
      <c r="BS102" s="305">
        <f t="shared" si="138"/>
        <v>37.45019920318726</v>
      </c>
      <c r="BT102" s="303">
        <f>IF(BT101=0,"NA",BT103/BT101)</f>
        <v>39.933884297520663</v>
      </c>
      <c r="BU102" s="305">
        <f t="shared" si="138"/>
        <v>41.866028708133975</v>
      </c>
      <c r="BV102" s="305">
        <f t="shared" si="138"/>
        <v>40.988593155893533</v>
      </c>
      <c r="BW102" s="305">
        <f t="shared" si="138"/>
        <v>41.735537190082638</v>
      </c>
      <c r="BX102" s="305">
        <f t="shared" si="138"/>
        <v>45.075187969924819</v>
      </c>
      <c r="BY102" s="303">
        <f>IF(BY101=0,"NA",BY103/BY101)</f>
        <v>42.469387755102041</v>
      </c>
      <c r="BZ102" s="305">
        <f t="shared" si="138"/>
        <v>40.875</v>
      </c>
      <c r="CA102" s="305">
        <f t="shared" si="138"/>
        <v>42.649006622516552</v>
      </c>
      <c r="CB102" s="305">
        <f t="shared" si="138"/>
        <v>36.703296703296715</v>
      </c>
      <c r="CC102" s="305">
        <f t="shared" si="138"/>
        <v>43.542234332425068</v>
      </c>
      <c r="CD102" s="303">
        <f>IF(CD101=0,"NA",CD103/CD101)</f>
        <v>41.441860465116278</v>
      </c>
      <c r="CE102" s="305">
        <v>44.82</v>
      </c>
      <c r="CF102" s="733">
        <v>44.82</v>
      </c>
      <c r="CG102" s="733">
        <v>44.5</v>
      </c>
      <c r="CH102" s="733">
        <f t="shared" ref="CH102:CM102" si="139">IF(CH101=0,"NA",CH103/CH101)</f>
        <v>38.300653594771241</v>
      </c>
      <c r="CI102" s="560">
        <f>IF(CI101=0,"NA",CI103/CI101)</f>
        <v>42.802325581395351</v>
      </c>
      <c r="CJ102" s="733">
        <f t="shared" si="139"/>
        <v>44.657534246575345</v>
      </c>
      <c r="CK102" s="733">
        <f t="shared" si="139"/>
        <v>41.342592592592595</v>
      </c>
      <c r="CL102" s="733">
        <f t="shared" si="139"/>
        <v>49.444444444444436</v>
      </c>
      <c r="CM102" s="733">
        <f t="shared" si="139"/>
        <v>45.075757575757564</v>
      </c>
      <c r="CN102" s="303">
        <f>IF(CN101=0,"NA",CN103/CN101)</f>
        <v>44.902439024390247</v>
      </c>
      <c r="CO102" s="306">
        <v>45.16</v>
      </c>
      <c r="CP102" s="306">
        <f>CO102+0.25</f>
        <v>45.41</v>
      </c>
      <c r="CQ102" s="306">
        <f>CP102+0.25</f>
        <v>45.66</v>
      </c>
      <c r="CR102" s="306">
        <f>CQ102+0.25</f>
        <v>45.91</v>
      </c>
      <c r="CS102" s="303">
        <f>IF(CS101=0,"NA",CS103/CS101)</f>
        <v>49.682499999999997</v>
      </c>
      <c r="CT102" s="306">
        <f>CR102+1.5</f>
        <v>47.41</v>
      </c>
      <c r="CU102" s="306">
        <f>CT102+1.5</f>
        <v>48.91</v>
      </c>
      <c r="CV102" s="306">
        <f>CU102+1.5</f>
        <v>50.41</v>
      </c>
      <c r="CW102" s="306">
        <f>CV102+1.5</f>
        <v>51.91</v>
      </c>
      <c r="CX102" s="303">
        <f>IF(CX101=0,"NA",CX103/CX101)</f>
        <v>49.66</v>
      </c>
      <c r="CY102" s="306">
        <f>CW102+1.5</f>
        <v>53.41</v>
      </c>
      <c r="CZ102" s="306">
        <f>CY102+1.5</f>
        <v>54.91</v>
      </c>
      <c r="DA102" s="306">
        <f>CZ102+1.5</f>
        <v>56.41</v>
      </c>
      <c r="DB102" s="306">
        <f>DA102+1.5</f>
        <v>57.91</v>
      </c>
      <c r="DC102" s="303">
        <f>IF(DC101=0,"NA",DC103/DC101)</f>
        <v>55.66</v>
      </c>
      <c r="DD102" s="306">
        <f>DB102+1.5</f>
        <v>59.41</v>
      </c>
      <c r="DE102" s="306">
        <f>DD102+1.5</f>
        <v>60.91</v>
      </c>
      <c r="DF102" s="306">
        <f>DE102+1.5</f>
        <v>62.41</v>
      </c>
      <c r="DG102" s="306">
        <f>DF102+1.5</f>
        <v>63.91</v>
      </c>
      <c r="DH102" s="303">
        <f>IF(DH101=0,"NA",DH103/DH101)</f>
        <v>61.66</v>
      </c>
      <c r="DI102" s="306">
        <f>DG102+1.5</f>
        <v>65.41</v>
      </c>
      <c r="DJ102" s="306">
        <f>DI102+1.5</f>
        <v>66.91</v>
      </c>
      <c r="DK102" s="306">
        <f>DJ102+1.5</f>
        <v>68.41</v>
      </c>
      <c r="DL102" s="306">
        <f>DK102+1.5</f>
        <v>69.91</v>
      </c>
      <c r="DM102" s="303">
        <f>IF(DM101=0,"NA",DM103/DM101)</f>
        <v>67.66</v>
      </c>
      <c r="DN102" s="207"/>
    </row>
    <row r="103" spans="1:124" ht="16.5" hidden="1" customHeight="1" outlineLevel="1" x14ac:dyDescent="0.2">
      <c r="A103" s="207" t="s">
        <v>54</v>
      </c>
      <c r="B103" s="207"/>
      <c r="C103" s="307"/>
      <c r="D103" s="307"/>
      <c r="E103" s="307"/>
      <c r="F103" s="307"/>
      <c r="G103" s="308"/>
      <c r="H103" s="307"/>
      <c r="I103" s="307"/>
      <c r="J103" s="307"/>
      <c r="K103" s="307"/>
      <c r="L103" s="308"/>
      <c r="M103" s="307"/>
      <c r="N103" s="307"/>
      <c r="O103" s="307"/>
      <c r="P103" s="307"/>
      <c r="Q103" s="308"/>
      <c r="R103" s="307">
        <f t="shared" ref="R103:W103" si="140">-R186</f>
        <v>342</v>
      </c>
      <c r="S103" s="307">
        <f t="shared" si="140"/>
        <v>91</v>
      </c>
      <c r="T103" s="307">
        <f t="shared" si="140"/>
        <v>505</v>
      </c>
      <c r="U103" s="307">
        <f t="shared" si="140"/>
        <v>502</v>
      </c>
      <c r="V103" s="308">
        <f t="shared" si="140"/>
        <v>1440</v>
      </c>
      <c r="W103" s="307">
        <f t="shared" si="140"/>
        <v>503</v>
      </c>
      <c r="X103" s="307">
        <f t="shared" ref="X103:AY103" si="141">-X186</f>
        <v>483</v>
      </c>
      <c r="Y103" s="307">
        <f t="shared" si="141"/>
        <v>486</v>
      </c>
      <c r="Z103" s="307">
        <f t="shared" si="141"/>
        <v>267</v>
      </c>
      <c r="AA103" s="308">
        <f t="shared" si="141"/>
        <v>1739</v>
      </c>
      <c r="AB103" s="307">
        <f t="shared" si="141"/>
        <v>96</v>
      </c>
      <c r="AC103" s="307">
        <f t="shared" si="141"/>
        <v>961</v>
      </c>
      <c r="AD103" s="307">
        <f t="shared" si="141"/>
        <v>538</v>
      </c>
      <c r="AE103" s="307">
        <f t="shared" si="141"/>
        <v>460</v>
      </c>
      <c r="AF103" s="308">
        <f t="shared" si="141"/>
        <v>2055</v>
      </c>
      <c r="AG103" s="307">
        <f t="shared" si="141"/>
        <v>509</v>
      </c>
      <c r="AH103" s="307">
        <f t="shared" si="141"/>
        <v>656</v>
      </c>
      <c r="AI103" s="307">
        <f t="shared" si="141"/>
        <v>47</v>
      </c>
      <c r="AJ103" s="307">
        <f t="shared" si="141"/>
        <v>1204</v>
      </c>
      <c r="AK103" s="308">
        <f t="shared" si="141"/>
        <v>2416</v>
      </c>
      <c r="AL103" s="307">
        <f t="shared" si="141"/>
        <v>718</v>
      </c>
      <c r="AM103" s="307">
        <f t="shared" si="141"/>
        <v>240</v>
      </c>
      <c r="AN103" s="307">
        <f t="shared" si="141"/>
        <v>741</v>
      </c>
      <c r="AO103" s="307">
        <f t="shared" si="141"/>
        <v>139</v>
      </c>
      <c r="AP103" s="308">
        <f t="shared" si="141"/>
        <v>1838</v>
      </c>
      <c r="AQ103" s="307">
        <f t="shared" si="141"/>
        <v>254</v>
      </c>
      <c r="AR103" s="307">
        <f t="shared" si="141"/>
        <v>777</v>
      </c>
      <c r="AS103" s="307">
        <f t="shared" si="141"/>
        <v>48</v>
      </c>
      <c r="AT103" s="307">
        <f t="shared" si="141"/>
        <v>0</v>
      </c>
      <c r="AU103" s="308">
        <f t="shared" si="141"/>
        <v>1079</v>
      </c>
      <c r="AV103" s="307">
        <f t="shared" si="141"/>
        <v>0</v>
      </c>
      <c r="AW103" s="307">
        <f t="shared" si="141"/>
        <v>4</v>
      </c>
      <c r="AX103" s="307">
        <f t="shared" si="141"/>
        <v>2</v>
      </c>
      <c r="AY103" s="307">
        <f t="shared" si="141"/>
        <v>1512</v>
      </c>
      <c r="AZ103" s="308">
        <f>SUM(AV103:AY103)</f>
        <v>1518</v>
      </c>
      <c r="BA103" s="309">
        <f>-BA186</f>
        <v>2</v>
      </c>
      <c r="BB103" s="309">
        <f>-BB186</f>
        <v>0</v>
      </c>
      <c r="BC103" s="309">
        <f>-BC186</f>
        <v>1</v>
      </c>
      <c r="BD103" s="309">
        <v>3100</v>
      </c>
      <c r="BE103" s="308">
        <f>SUM(BA103:BD103)</f>
        <v>3103</v>
      </c>
      <c r="BF103" s="309">
        <f>-BF186</f>
        <v>1129</v>
      </c>
      <c r="BG103" s="309">
        <f>-BG186</f>
        <v>242</v>
      </c>
      <c r="BH103" s="309">
        <f>-BH186</f>
        <v>2237</v>
      </c>
      <c r="BI103" s="309">
        <f>-BI186</f>
        <v>905</v>
      </c>
      <c r="BJ103" s="308">
        <f>SUM(BF103:BI103)</f>
        <v>4513</v>
      </c>
      <c r="BK103" s="309">
        <f>-BK186</f>
        <v>1079</v>
      </c>
      <c r="BL103" s="309">
        <f>-BL186</f>
        <v>1531</v>
      </c>
      <c r="BM103" s="310">
        <f>-BM186</f>
        <v>1009</v>
      </c>
      <c r="BN103" s="310">
        <f>-BN186</f>
        <v>940</v>
      </c>
      <c r="BO103" s="308">
        <f>SUM(BK103:BN103)</f>
        <v>4559</v>
      </c>
      <c r="BP103" s="310">
        <f>-BP186</f>
        <v>1523</v>
      </c>
      <c r="BQ103" s="310">
        <f>-BQ186</f>
        <v>1455</v>
      </c>
      <c r="BR103" s="310">
        <f>-BR186</f>
        <v>914</v>
      </c>
      <c r="BS103" s="310">
        <f>-BS186</f>
        <v>940</v>
      </c>
      <c r="BT103" s="308">
        <f>SUM(BP103:BS103)</f>
        <v>4832</v>
      </c>
      <c r="BU103" s="310">
        <f>-BU186</f>
        <v>875</v>
      </c>
      <c r="BV103" s="310">
        <f>-BV186</f>
        <v>1078</v>
      </c>
      <c r="BW103" s="310">
        <f>-BW186</f>
        <v>1010</v>
      </c>
      <c r="BX103" s="310">
        <f>-BX186</f>
        <v>1199</v>
      </c>
      <c r="BY103" s="308">
        <f>SUM(BU103:BX103)</f>
        <v>4162</v>
      </c>
      <c r="BZ103" s="310">
        <f>-BZ186</f>
        <v>654</v>
      </c>
      <c r="CA103" s="310">
        <f>-CA186</f>
        <v>644</v>
      </c>
      <c r="CB103" s="310">
        <f>-CB186</f>
        <v>668</v>
      </c>
      <c r="CC103" s="310">
        <f>-CC186</f>
        <v>1598</v>
      </c>
      <c r="CD103" s="308">
        <f>SUM(BZ103:CC103)</f>
        <v>3564</v>
      </c>
      <c r="CE103" s="734">
        <f>-CE186</f>
        <v>739</v>
      </c>
      <c r="CF103" s="734">
        <f>-CF186</f>
        <v>1417</v>
      </c>
      <c r="CG103" s="734">
        <f>-CG186</f>
        <v>353</v>
      </c>
      <c r="CH103" s="734">
        <f>-CH186</f>
        <v>1172</v>
      </c>
      <c r="CI103" s="561">
        <f>SUM(CE103:CH103)</f>
        <v>3681</v>
      </c>
      <c r="CJ103" s="734">
        <f>-CJ186</f>
        <v>1304</v>
      </c>
      <c r="CK103" s="734">
        <f>-CK186</f>
        <v>893</v>
      </c>
      <c r="CL103" s="734">
        <f>-CL186</f>
        <v>890</v>
      </c>
      <c r="CM103" s="734">
        <f>-CM186</f>
        <v>595</v>
      </c>
      <c r="CN103" s="308">
        <f>SUM(CJ103:CM103)</f>
        <v>3682</v>
      </c>
      <c r="CO103" s="734">
        <f>-CO186</f>
        <v>927</v>
      </c>
      <c r="CP103" s="307">
        <f>CP101*CP102</f>
        <v>726.56</v>
      </c>
      <c r="CQ103" s="307">
        <f>CQ101*CQ102</f>
        <v>730.56</v>
      </c>
      <c r="CR103" s="307">
        <f>CR101*CR102</f>
        <v>596.82999999999993</v>
      </c>
      <c r="CS103" s="308">
        <f>SUM(CO103:CR103)</f>
        <v>2980.95</v>
      </c>
      <c r="CT103" s="307">
        <f>CT101*CT102</f>
        <v>770.41249999999991</v>
      </c>
      <c r="CU103" s="307">
        <f>CU101*CU102</f>
        <v>794.78749999999991</v>
      </c>
      <c r="CV103" s="307">
        <f>CV101*CV102</f>
        <v>819.16249999999991</v>
      </c>
      <c r="CW103" s="307">
        <f>CW101*CW102</f>
        <v>843.53749999999991</v>
      </c>
      <c r="CX103" s="308">
        <f>SUM(CT103:CW103)</f>
        <v>3227.8999999999996</v>
      </c>
      <c r="CY103" s="307">
        <f>CY101*CY102</f>
        <v>867.91249999999991</v>
      </c>
      <c r="CZ103" s="307">
        <f>CZ101*CZ102</f>
        <v>892.28749999999991</v>
      </c>
      <c r="DA103" s="307">
        <f>DA101*DA102</f>
        <v>916.66249999999991</v>
      </c>
      <c r="DB103" s="307">
        <f>DB101*DB102</f>
        <v>941.03749999999991</v>
      </c>
      <c r="DC103" s="308">
        <f>SUM(CY103:DB103)</f>
        <v>3617.8999999999996</v>
      </c>
      <c r="DD103" s="307">
        <f>DD101*DD102</f>
        <v>935.70749999999998</v>
      </c>
      <c r="DE103" s="307">
        <f>DE101*DE102</f>
        <v>959.33249999999998</v>
      </c>
      <c r="DF103" s="307">
        <f>DF101*DF102</f>
        <v>982.95749999999998</v>
      </c>
      <c r="DG103" s="307">
        <f>DG101*DG102</f>
        <v>1006.5825</v>
      </c>
      <c r="DH103" s="308">
        <f>SUM(DD103:DG103)</f>
        <v>3884.58</v>
      </c>
      <c r="DI103" s="307">
        <f>DI101*DI102</f>
        <v>997.50249999999994</v>
      </c>
      <c r="DJ103" s="307">
        <f>DJ101*DJ102</f>
        <v>1020.3774999999999</v>
      </c>
      <c r="DK103" s="307">
        <f>DK101*DK102</f>
        <v>1043.2525000000001</v>
      </c>
      <c r="DL103" s="307">
        <f>DL101*DL102</f>
        <v>1066.1275000000001</v>
      </c>
      <c r="DM103" s="308">
        <f>SUM(DI103:DL103)</f>
        <v>4127.26</v>
      </c>
      <c r="DN103" s="207"/>
    </row>
    <row r="104" spans="1:124" s="207" customFormat="1" ht="15" hidden="1" outlineLevel="1" x14ac:dyDescent="0.2">
      <c r="C104" s="309"/>
      <c r="D104" s="309"/>
      <c r="E104" s="309"/>
      <c r="F104" s="309"/>
      <c r="G104" s="311"/>
      <c r="H104" s="309"/>
      <c r="I104" s="309"/>
      <c r="J104" s="309"/>
      <c r="K104" s="309"/>
      <c r="L104" s="311"/>
      <c r="M104" s="309"/>
      <c r="N104" s="309"/>
      <c r="O104" s="309"/>
      <c r="P104" s="309"/>
      <c r="Q104" s="311"/>
      <c r="R104" s="312"/>
      <c r="S104" s="312"/>
      <c r="T104" s="312"/>
      <c r="U104" s="312"/>
      <c r="V104" s="312"/>
      <c r="W104" s="312"/>
      <c r="X104" s="312"/>
      <c r="Y104" s="312"/>
      <c r="Z104" s="312"/>
      <c r="AA104" s="312"/>
      <c r="AB104" s="312"/>
      <c r="AC104" s="312"/>
      <c r="AD104" s="312"/>
      <c r="AE104" s="312"/>
      <c r="AF104" s="312"/>
      <c r="AG104" s="312"/>
      <c r="AH104" s="312"/>
      <c r="AI104" s="312"/>
      <c r="AJ104" s="312"/>
      <c r="AK104" s="312"/>
      <c r="AL104" s="312"/>
      <c r="AM104" s="312"/>
      <c r="AN104" s="312"/>
      <c r="AO104" s="312"/>
      <c r="AP104" s="312"/>
      <c r="AQ104" s="312"/>
      <c r="AR104" s="312"/>
      <c r="AS104" s="312"/>
      <c r="AT104" s="312"/>
      <c r="AU104" s="312"/>
      <c r="AV104" s="312"/>
      <c r="AW104" s="312"/>
      <c r="AX104" s="312"/>
      <c r="AY104" s="312"/>
      <c r="AZ104" s="312"/>
      <c r="BA104" s="312"/>
      <c r="BB104" s="312"/>
      <c r="BC104" s="312"/>
      <c r="BD104" s="312"/>
      <c r="BE104" s="312"/>
      <c r="BF104" s="312"/>
      <c r="BG104" s="312"/>
      <c r="BH104" s="312"/>
      <c r="BI104" s="312"/>
      <c r="BJ104" s="312"/>
      <c r="BK104" s="312"/>
      <c r="BL104" s="312"/>
      <c r="BM104" s="309"/>
      <c r="BN104" s="309"/>
      <c r="BO104" s="311"/>
      <c r="BP104" s="309"/>
      <c r="BQ104" s="309"/>
      <c r="BR104" s="309"/>
      <c r="BS104" s="309"/>
      <c r="BT104" s="311"/>
      <c r="BU104" s="309"/>
      <c r="BV104" s="309"/>
      <c r="BW104" s="309"/>
      <c r="BX104" s="309"/>
      <c r="BY104" s="311"/>
      <c r="BZ104" s="309"/>
      <c r="CA104" s="309"/>
      <c r="CB104" s="549"/>
      <c r="CC104" s="309"/>
      <c r="CD104" s="311"/>
      <c r="CE104" s="735"/>
      <c r="CF104" s="562"/>
      <c r="CG104" s="562"/>
      <c r="CH104" s="562"/>
      <c r="CI104" s="563"/>
      <c r="CJ104" s="309"/>
      <c r="CK104" s="309"/>
      <c r="CL104" s="309"/>
      <c r="CM104" s="309"/>
      <c r="CN104" s="311"/>
      <c r="CO104" s="309"/>
      <c r="CP104" s="309"/>
      <c r="CQ104" s="309"/>
      <c r="CR104" s="309"/>
      <c r="CS104" s="311"/>
      <c r="CT104" s="309"/>
      <c r="CU104" s="309"/>
      <c r="CV104" s="309"/>
      <c r="CW104" s="309"/>
      <c r="CX104" s="311"/>
      <c r="CY104" s="309"/>
      <c r="CZ104" s="309"/>
      <c r="DA104" s="309"/>
      <c r="DB104" s="309"/>
      <c r="DC104" s="311"/>
      <c r="DD104" s="309"/>
      <c r="DE104" s="309"/>
      <c r="DF104" s="309"/>
      <c r="DG104" s="309"/>
      <c r="DH104" s="311"/>
      <c r="DI104" s="309"/>
      <c r="DJ104" s="309"/>
      <c r="DK104" s="309"/>
      <c r="DL104" s="309"/>
      <c r="DM104" s="311"/>
      <c r="DO104"/>
      <c r="DP104"/>
      <c r="DQ104"/>
      <c r="DR104"/>
      <c r="DS104"/>
      <c r="DT104"/>
    </row>
    <row r="105" spans="1:124" s="207" customFormat="1" ht="16.5" hidden="1" customHeight="1" outlineLevel="2" x14ac:dyDescent="0.2">
      <c r="B105" s="207" t="s">
        <v>286</v>
      </c>
      <c r="C105" s="309"/>
      <c r="D105" s="309"/>
      <c r="E105" s="309"/>
      <c r="F105" s="309"/>
      <c r="G105" s="311"/>
      <c r="H105" s="309"/>
      <c r="I105" s="309"/>
      <c r="J105" s="309"/>
      <c r="K105" s="309"/>
      <c r="L105" s="311"/>
      <c r="M105" s="309"/>
      <c r="N105" s="309"/>
      <c r="O105" s="309"/>
      <c r="P105" s="309"/>
      <c r="Q105" s="311"/>
      <c r="R105" s="309"/>
      <c r="S105" s="309"/>
      <c r="T105" s="309"/>
      <c r="U105" s="309"/>
      <c r="V105" s="311"/>
      <c r="W105" s="309"/>
      <c r="X105" s="309"/>
      <c r="Y105" s="309"/>
      <c r="Z105" s="309"/>
      <c r="AA105" s="311"/>
      <c r="AB105" s="309"/>
      <c r="AC105" s="309"/>
      <c r="AD105" s="309"/>
      <c r="AE105" s="309"/>
      <c r="AF105" s="311"/>
      <c r="AG105" s="309"/>
      <c r="AH105" s="309"/>
      <c r="AI105" s="309"/>
      <c r="AJ105" s="309"/>
      <c r="AK105" s="311"/>
      <c r="AL105" s="309"/>
      <c r="AM105" s="309"/>
      <c r="AN105" s="309"/>
      <c r="AO105" s="309"/>
      <c r="AP105" s="311"/>
      <c r="AQ105" s="309"/>
      <c r="AR105" s="309"/>
      <c r="AS105" s="309"/>
      <c r="AT105" s="309"/>
      <c r="AU105" s="311"/>
      <c r="AV105" s="309"/>
      <c r="AW105" s="309"/>
      <c r="AX105" s="309"/>
      <c r="AY105" s="309"/>
      <c r="AZ105" s="311"/>
      <c r="BA105" s="309"/>
      <c r="BB105" s="309"/>
      <c r="BC105" s="309"/>
      <c r="BD105" s="309"/>
      <c r="BE105" s="311"/>
      <c r="BF105" s="306"/>
      <c r="BG105" s="306"/>
      <c r="BH105" s="306"/>
      <c r="BI105" s="306"/>
      <c r="BJ105" s="724"/>
      <c r="BK105" s="559"/>
      <c r="BL105" s="559"/>
      <c r="BM105" s="559"/>
      <c r="BN105" s="559"/>
      <c r="BO105" s="564">
        <f>BO106/BO94</f>
        <v>23.082614296399566</v>
      </c>
      <c r="BP105" s="725"/>
      <c r="BQ105" s="559"/>
      <c r="BR105" s="559"/>
      <c r="BS105" s="559"/>
      <c r="BT105" s="564">
        <f>BT106/BT94</f>
        <v>24.592592592592592</v>
      </c>
      <c r="BU105" s="559"/>
      <c r="BV105" s="559"/>
      <c r="BW105" s="559"/>
      <c r="BX105" s="559"/>
      <c r="BY105" s="564">
        <f>BY106/BY94</f>
        <v>24.70967741935484</v>
      </c>
      <c r="BZ105" s="559"/>
      <c r="CA105" s="559"/>
      <c r="CB105" s="559"/>
      <c r="CC105" s="559"/>
      <c r="CD105" s="564">
        <f t="shared" ref="CD105:CJ105" si="142">CD106/CD94</f>
        <v>28.295454545454547</v>
      </c>
      <c r="CE105" s="733">
        <f t="shared" si="142"/>
        <v>26.040955631399157</v>
      </c>
      <c r="CF105" s="733">
        <f t="shared" si="142"/>
        <v>32.857142857142854</v>
      </c>
      <c r="CG105" s="733">
        <f t="shared" si="142"/>
        <v>40.652173913040265</v>
      </c>
      <c r="CH105" s="733">
        <f t="shared" si="142"/>
        <v>24.82142857142696</v>
      </c>
      <c r="CI105" s="564">
        <f t="shared" si="142"/>
        <v>28.679999999999477</v>
      </c>
      <c r="CJ105" s="733">
        <f t="shared" si="142"/>
        <v>27.746478873239791</v>
      </c>
      <c r="CK105" s="733">
        <f t="shared" ref="CK105:CO105" si="143">CK106/CK94</f>
        <v>31.506024096384852</v>
      </c>
      <c r="CL105" s="733">
        <f t="shared" si="143"/>
        <v>33.583333333333336</v>
      </c>
      <c r="CM105" s="733">
        <f t="shared" si="143"/>
        <v>26.96078431372597</v>
      </c>
      <c r="CN105" s="564">
        <f>CN106/CN94</f>
        <v>30.09433962264151</v>
      </c>
      <c r="CO105" s="733">
        <f t="shared" si="143"/>
        <v>31.8</v>
      </c>
      <c r="CP105" s="306">
        <f>CN105*1.025</f>
        <v>30.846698113207545</v>
      </c>
      <c r="CQ105" s="306">
        <f>CP105*1.025</f>
        <v>31.617865566037729</v>
      </c>
      <c r="CR105" s="306">
        <f>CQ105*1.025</f>
        <v>32.408312205188672</v>
      </c>
      <c r="CS105" s="313">
        <f>CS106/CS94</f>
        <v>31.668218971108487</v>
      </c>
      <c r="CT105" s="306">
        <f>CR105*1.025</f>
        <v>33.218520010318386</v>
      </c>
      <c r="CU105" s="306">
        <f>CT105*1.025</f>
        <v>34.048983010576343</v>
      </c>
      <c r="CV105" s="306">
        <f>CU105*1.025</f>
        <v>34.900207585840747</v>
      </c>
      <c r="CW105" s="306">
        <f>CV105*1.025</f>
        <v>35.77271277548676</v>
      </c>
      <c r="CX105" s="313">
        <f>CX106/CX94</f>
        <v>34.485105845555566</v>
      </c>
      <c r="CY105" s="306">
        <f>CW105*1.025</f>
        <v>36.667030594873928</v>
      </c>
      <c r="CZ105" s="306">
        <f>CY105*1.025</f>
        <v>37.583706359745776</v>
      </c>
      <c r="DA105" s="306">
        <f>CZ105*1.025</f>
        <v>38.523299018739415</v>
      </c>
      <c r="DB105" s="306">
        <f>DA105*1.025</f>
        <v>39.486381494207897</v>
      </c>
      <c r="DC105" s="313">
        <f>DC106/DC94</f>
        <v>38.065104366891759</v>
      </c>
      <c r="DD105" s="306">
        <f>DB105*1.025</f>
        <v>40.473541031563094</v>
      </c>
      <c r="DE105" s="306">
        <f>DD105*1.025</f>
        <v>41.485379557352168</v>
      </c>
      <c r="DF105" s="306">
        <f>DE105*1.025</f>
        <v>42.52251404628597</v>
      </c>
      <c r="DG105" s="306">
        <f>DF105*1.025</f>
        <v>43.585576897443119</v>
      </c>
      <c r="DH105" s="313">
        <f>DH106/DH94</f>
        <v>42.016752883161082</v>
      </c>
      <c r="DI105" s="306">
        <f>DG105*1.025</f>
        <v>44.675216319879191</v>
      </c>
      <c r="DJ105" s="306">
        <f>DI105*1.025</f>
        <v>45.792096727876164</v>
      </c>
      <c r="DK105" s="306">
        <f>DJ105*1.025</f>
        <v>46.936899146073067</v>
      </c>
      <c r="DL105" s="306">
        <f>DK105*1.025</f>
        <v>48.110321624724889</v>
      </c>
      <c r="DM105" s="313">
        <f>DM106/DM94</f>
        <v>46.378633454638333</v>
      </c>
      <c r="DO105"/>
      <c r="DP105"/>
      <c r="DQ105"/>
      <c r="DR105"/>
      <c r="DS105"/>
      <c r="DT105"/>
    </row>
    <row r="106" spans="1:124" s="207" customFormat="1" ht="16.5" hidden="1" customHeight="1" outlineLevel="2" x14ac:dyDescent="0.2">
      <c r="B106" s="207" t="s">
        <v>66</v>
      </c>
      <c r="C106" s="309"/>
      <c r="D106" s="309"/>
      <c r="E106" s="309"/>
      <c r="F106" s="309"/>
      <c r="G106" s="311"/>
      <c r="H106" s="309"/>
      <c r="I106" s="309"/>
      <c r="J106" s="309"/>
      <c r="K106" s="309"/>
      <c r="L106" s="311"/>
      <c r="M106" s="309"/>
      <c r="N106" s="309"/>
      <c r="O106" s="309"/>
      <c r="P106" s="309"/>
      <c r="Q106" s="311"/>
      <c r="R106" s="309"/>
      <c r="S106" s="309"/>
      <c r="T106" s="309"/>
      <c r="U106" s="309"/>
      <c r="V106" s="311"/>
      <c r="W106" s="309"/>
      <c r="X106" s="309"/>
      <c r="Y106" s="309"/>
      <c r="Z106" s="309"/>
      <c r="AA106" s="311"/>
      <c r="AB106" s="309"/>
      <c r="AC106" s="309"/>
      <c r="AD106" s="309"/>
      <c r="AE106" s="309"/>
      <c r="AF106" s="311"/>
      <c r="AG106" s="309"/>
      <c r="AH106" s="309"/>
      <c r="AI106" s="309"/>
      <c r="AJ106" s="309"/>
      <c r="AK106" s="311"/>
      <c r="AL106" s="309"/>
      <c r="AM106" s="309"/>
      <c r="AN106" s="309"/>
      <c r="AO106" s="309"/>
      <c r="AP106" s="311"/>
      <c r="AQ106" s="309"/>
      <c r="AR106" s="309"/>
      <c r="AS106" s="309"/>
      <c r="AT106" s="309"/>
      <c r="AU106" s="311"/>
      <c r="AV106" s="309"/>
      <c r="AW106" s="309"/>
      <c r="AX106" s="309"/>
      <c r="AY106" s="309"/>
      <c r="AZ106" s="311"/>
      <c r="BA106" s="309"/>
      <c r="BB106" s="309"/>
      <c r="BC106" s="309"/>
      <c r="BD106" s="309"/>
      <c r="BE106" s="311"/>
      <c r="BF106" s="309">
        <f>BF185</f>
        <v>462</v>
      </c>
      <c r="BG106" s="309">
        <f>BG185</f>
        <v>346</v>
      </c>
      <c r="BH106" s="309">
        <f>BH185</f>
        <v>607</v>
      </c>
      <c r="BI106" s="309">
        <f>BI185</f>
        <v>154</v>
      </c>
      <c r="BJ106" s="565">
        <f>SUM(BF106:BI106)</f>
        <v>1569</v>
      </c>
      <c r="BK106" s="562">
        <f>BK185-42</f>
        <v>436</v>
      </c>
      <c r="BL106" s="562">
        <f>BL185-13</f>
        <v>559</v>
      </c>
      <c r="BM106" s="562">
        <f>BM185-52</f>
        <v>324</v>
      </c>
      <c r="BN106" s="562">
        <f>BN185</f>
        <v>163</v>
      </c>
      <c r="BO106" s="565">
        <f>SUM(BK106:BN106)</f>
        <v>1482</v>
      </c>
      <c r="BP106" s="562">
        <f>BP185</f>
        <v>417</v>
      </c>
      <c r="BQ106" s="562">
        <f>BQ185</f>
        <v>621</v>
      </c>
      <c r="BR106" s="562">
        <f>BR185</f>
        <v>111</v>
      </c>
      <c r="BS106" s="562">
        <f>BS185</f>
        <v>179</v>
      </c>
      <c r="BT106" s="565">
        <f>SUM(BP106:BS106)</f>
        <v>1328</v>
      </c>
      <c r="BU106" s="562">
        <f>BU185</f>
        <v>191</v>
      </c>
      <c r="BV106" s="562">
        <f>BV185</f>
        <v>459</v>
      </c>
      <c r="BW106" s="562">
        <f>BW185</f>
        <v>408</v>
      </c>
      <c r="BX106" s="562">
        <f>BX185</f>
        <v>474</v>
      </c>
      <c r="BY106" s="565">
        <f>SUM(BU106:BX106)</f>
        <v>1532</v>
      </c>
      <c r="BZ106" s="562">
        <f>BZ185</f>
        <v>279</v>
      </c>
      <c r="CA106" s="562">
        <f>CA185</f>
        <v>131</v>
      </c>
      <c r="CB106" s="562">
        <f>CB185</f>
        <v>322</v>
      </c>
      <c r="CC106" s="562">
        <f>CC185</f>
        <v>513</v>
      </c>
      <c r="CD106" s="565">
        <f>SUM(BZ106:CC106)</f>
        <v>1245</v>
      </c>
      <c r="CE106" s="562">
        <f t="shared" ref="CE106:CJ106" si="144">CE185</f>
        <v>763</v>
      </c>
      <c r="CF106" s="562">
        <f t="shared" si="144"/>
        <v>345</v>
      </c>
      <c r="CG106" s="562">
        <f t="shared" si="144"/>
        <v>187</v>
      </c>
      <c r="CH106" s="562">
        <f t="shared" si="144"/>
        <v>139</v>
      </c>
      <c r="CI106" s="565">
        <f>SUM(CE106:CH106)</f>
        <v>1434</v>
      </c>
      <c r="CJ106" s="562">
        <f t="shared" si="144"/>
        <v>394</v>
      </c>
      <c r="CK106" s="562">
        <f t="shared" ref="CK106:CO106" si="145">CK185</f>
        <v>523</v>
      </c>
      <c r="CL106" s="562">
        <f t="shared" si="145"/>
        <v>403</v>
      </c>
      <c r="CM106" s="562">
        <f t="shared" si="145"/>
        <v>275</v>
      </c>
      <c r="CN106" s="565">
        <f>SUM(CJ106:CM106)</f>
        <v>1595</v>
      </c>
      <c r="CO106" s="562">
        <f t="shared" si="145"/>
        <v>477</v>
      </c>
      <c r="CP106" s="309">
        <f>CP94*CP105</f>
        <v>462.70047169811318</v>
      </c>
      <c r="CQ106" s="309">
        <f>CQ94*CQ105</f>
        <v>474.26798349056594</v>
      </c>
      <c r="CR106" s="309">
        <f>CR94*CR105</f>
        <v>486.12468307783007</v>
      </c>
      <c r="CS106" s="314">
        <f>SUM(CO106:CR106)</f>
        <v>1900.0931382665092</v>
      </c>
      <c r="CT106" s="309">
        <f>CT94*CT105</f>
        <v>498.27780015477578</v>
      </c>
      <c r="CU106" s="309">
        <f>CU94*CU105</f>
        <v>510.73474515864513</v>
      </c>
      <c r="CV106" s="309">
        <f>CV94*CV105</f>
        <v>523.50311378761126</v>
      </c>
      <c r="CW106" s="309">
        <f>CW94*CW105</f>
        <v>536.5906916323014</v>
      </c>
      <c r="CX106" s="314">
        <f>SUM(CT106:CW106)</f>
        <v>2069.1063507333338</v>
      </c>
      <c r="CY106" s="309">
        <f>CY94*CY105</f>
        <v>550.0054589231089</v>
      </c>
      <c r="CZ106" s="309">
        <f>CZ94*CZ105</f>
        <v>563.75559539618666</v>
      </c>
      <c r="DA106" s="309">
        <f>DA94*DA105</f>
        <v>577.84948528109123</v>
      </c>
      <c r="DB106" s="309">
        <f>DB94*DB105</f>
        <v>592.29572241311848</v>
      </c>
      <c r="DC106" s="314">
        <f>SUM(CY106:DB106)</f>
        <v>2283.9062620135055</v>
      </c>
      <c r="DD106" s="309">
        <f>DD94*DD105</f>
        <v>607.10311547344645</v>
      </c>
      <c r="DE106" s="309">
        <f>DE94*DE105</f>
        <v>622.2806933602825</v>
      </c>
      <c r="DF106" s="309">
        <f>DF94*DF105</f>
        <v>637.83771069428951</v>
      </c>
      <c r="DG106" s="309">
        <f>DG94*DG105</f>
        <v>653.78365346164674</v>
      </c>
      <c r="DH106" s="314">
        <f>SUM(DD106:DG106)</f>
        <v>2521.005172989665</v>
      </c>
      <c r="DI106" s="309">
        <f>DI94*DI105</f>
        <v>670.12824479818789</v>
      </c>
      <c r="DJ106" s="309">
        <f>DJ94*DJ105</f>
        <v>686.88145091814249</v>
      </c>
      <c r="DK106" s="309">
        <f>DK94*DK105</f>
        <v>704.053487191096</v>
      </c>
      <c r="DL106" s="309">
        <f>DL94*DL105</f>
        <v>721.65482437087337</v>
      </c>
      <c r="DM106" s="314">
        <f>SUM(DI106:DL106)</f>
        <v>2782.7180072782999</v>
      </c>
      <c r="DO106"/>
      <c r="DP106"/>
      <c r="DQ106"/>
      <c r="DR106"/>
      <c r="DS106"/>
      <c r="DT106"/>
    </row>
    <row r="107" spans="1:124" s="207" customFormat="1" ht="15" hidden="1" outlineLevel="2" x14ac:dyDescent="0.2">
      <c r="C107" s="309"/>
      <c r="D107" s="309"/>
      <c r="E107" s="309"/>
      <c r="F107" s="309"/>
      <c r="G107" s="311"/>
      <c r="H107" s="309"/>
      <c r="I107" s="309"/>
      <c r="J107" s="309"/>
      <c r="K107" s="309"/>
      <c r="L107" s="311"/>
      <c r="M107" s="309"/>
      <c r="N107" s="309"/>
      <c r="O107" s="309"/>
      <c r="P107" s="309"/>
      <c r="Q107" s="311"/>
      <c r="R107" s="309"/>
      <c r="S107" s="309"/>
      <c r="T107" s="309"/>
      <c r="U107" s="309"/>
      <c r="V107" s="311"/>
      <c r="W107" s="309"/>
      <c r="X107" s="309"/>
      <c r="Y107" s="309"/>
      <c r="Z107" s="309"/>
      <c r="AA107" s="311"/>
      <c r="AB107" s="309"/>
      <c r="AC107" s="309"/>
      <c r="AD107" s="309"/>
      <c r="AE107" s="309"/>
      <c r="AF107" s="311"/>
      <c r="AG107" s="309"/>
      <c r="AH107" s="309"/>
      <c r="AI107" s="309"/>
      <c r="AJ107" s="309"/>
      <c r="AK107" s="311"/>
      <c r="AL107" s="309"/>
      <c r="AM107" s="309"/>
      <c r="AN107" s="309"/>
      <c r="AO107" s="309"/>
      <c r="AP107" s="311"/>
      <c r="AQ107" s="309"/>
      <c r="AR107" s="309"/>
      <c r="AS107" s="309"/>
      <c r="AT107" s="309"/>
      <c r="AU107" s="311"/>
      <c r="AV107" s="309"/>
      <c r="AW107" s="309"/>
      <c r="AX107" s="309"/>
      <c r="AY107" s="309"/>
      <c r="AZ107" s="311"/>
      <c r="BA107" s="309"/>
      <c r="BB107" s="309"/>
      <c r="BC107" s="309"/>
      <c r="BD107" s="309"/>
      <c r="BE107" s="311"/>
      <c r="BF107" s="309"/>
      <c r="BG107" s="309"/>
      <c r="BH107" s="309"/>
      <c r="BI107" s="309"/>
      <c r="BJ107" s="565"/>
      <c r="BK107" s="562"/>
      <c r="BL107" s="562"/>
      <c r="BM107" s="562"/>
      <c r="BN107" s="562"/>
      <c r="BO107" s="565"/>
      <c r="BP107" s="562"/>
      <c r="BQ107" s="562"/>
      <c r="BR107" s="562"/>
      <c r="BS107" s="562"/>
      <c r="BT107" s="565"/>
      <c r="BU107" s="562"/>
      <c r="BV107" s="562"/>
      <c r="BW107" s="562"/>
      <c r="BX107" s="562"/>
      <c r="BY107" s="565"/>
      <c r="BZ107" s="562"/>
      <c r="CA107" s="562"/>
      <c r="CB107" s="562"/>
      <c r="CC107" s="562"/>
      <c r="CD107" s="565"/>
      <c r="CE107" s="562"/>
      <c r="CF107" s="562"/>
      <c r="CG107" s="562"/>
      <c r="CH107" s="562"/>
      <c r="CI107" s="565"/>
      <c r="CJ107" s="562"/>
      <c r="CK107" s="562"/>
      <c r="CL107" s="562"/>
      <c r="CM107" s="562"/>
      <c r="CN107" s="565"/>
      <c r="CO107" s="309"/>
      <c r="CP107" s="309"/>
      <c r="CQ107" s="309"/>
      <c r="CR107" s="309"/>
      <c r="CS107" s="314"/>
      <c r="CT107" s="309"/>
      <c r="CU107" s="309"/>
      <c r="CV107" s="309"/>
      <c r="CW107" s="309"/>
      <c r="CX107" s="314"/>
      <c r="CY107" s="309"/>
      <c r="CZ107" s="309"/>
      <c r="DA107" s="309"/>
      <c r="DB107" s="309"/>
      <c r="DC107" s="314"/>
      <c r="DD107" s="309"/>
      <c r="DE107" s="309"/>
      <c r="DF107" s="309"/>
      <c r="DG107" s="309"/>
      <c r="DH107" s="314"/>
      <c r="DI107" s="309"/>
      <c r="DJ107" s="309"/>
      <c r="DK107" s="309"/>
      <c r="DL107" s="309"/>
      <c r="DM107" s="314"/>
      <c r="DO107"/>
      <c r="DP107"/>
      <c r="DQ107"/>
      <c r="DR107"/>
      <c r="DS107"/>
      <c r="DT107"/>
    </row>
    <row r="108" spans="1:124" s="227" customFormat="1" ht="16.5" hidden="1" customHeight="1" outlineLevel="1" collapsed="1" x14ac:dyDescent="0.25">
      <c r="A108" s="227" t="s">
        <v>67</v>
      </c>
      <c r="C108" s="315"/>
      <c r="D108" s="315"/>
      <c r="E108" s="315"/>
      <c r="F108" s="315"/>
      <c r="G108" s="316"/>
      <c r="H108" s="315"/>
      <c r="I108" s="315"/>
      <c r="J108" s="315"/>
      <c r="K108" s="315"/>
      <c r="L108" s="316"/>
      <c r="M108" s="315"/>
      <c r="N108" s="315"/>
      <c r="O108" s="315"/>
      <c r="P108" s="315"/>
      <c r="Q108" s="316"/>
      <c r="R108" s="315"/>
      <c r="S108" s="315"/>
      <c r="T108" s="315"/>
      <c r="U108" s="315"/>
      <c r="V108" s="316"/>
      <c r="W108" s="315"/>
      <c r="X108" s="315"/>
      <c r="Y108" s="315"/>
      <c r="Z108" s="315"/>
      <c r="AA108" s="316"/>
      <c r="AB108" s="315"/>
      <c r="AC108" s="315"/>
      <c r="AD108" s="315"/>
      <c r="AE108" s="315"/>
      <c r="AF108" s="316"/>
      <c r="AG108" s="315"/>
      <c r="AH108" s="315"/>
      <c r="AI108" s="315"/>
      <c r="AJ108" s="315"/>
      <c r="AK108" s="316"/>
      <c r="AL108" s="315"/>
      <c r="AM108" s="315"/>
      <c r="AN108" s="315"/>
      <c r="AO108" s="315"/>
      <c r="AP108" s="316"/>
      <c r="AQ108" s="315"/>
      <c r="AR108" s="315"/>
      <c r="AS108" s="315"/>
      <c r="AT108" s="315"/>
      <c r="AU108" s="316"/>
      <c r="AV108" s="315"/>
      <c r="AW108" s="315"/>
      <c r="AX108" s="315"/>
      <c r="AY108" s="315"/>
      <c r="AZ108" s="316"/>
      <c r="BA108" s="315"/>
      <c r="BB108" s="315"/>
      <c r="BC108" s="315"/>
      <c r="BD108" s="315"/>
      <c r="BE108" s="316"/>
      <c r="BF108" s="316">
        <f t="shared" ref="BF108:BN108" si="146">BF103-BF106</f>
        <v>667</v>
      </c>
      <c r="BG108" s="316">
        <f t="shared" si="146"/>
        <v>-104</v>
      </c>
      <c r="BH108" s="316">
        <f t="shared" si="146"/>
        <v>1630</v>
      </c>
      <c r="BI108" s="316">
        <f t="shared" si="146"/>
        <v>751</v>
      </c>
      <c r="BJ108" s="567">
        <f>BJ103-BJ106</f>
        <v>2944</v>
      </c>
      <c r="BK108" s="566">
        <f t="shared" si="146"/>
        <v>643</v>
      </c>
      <c r="BL108" s="566">
        <f t="shared" si="146"/>
        <v>972</v>
      </c>
      <c r="BM108" s="566">
        <f t="shared" si="146"/>
        <v>685</v>
      </c>
      <c r="BN108" s="566">
        <f t="shared" si="146"/>
        <v>777</v>
      </c>
      <c r="BO108" s="567">
        <f t="shared" ref="BO108:BT108" si="147">BO103-BO106</f>
        <v>3077</v>
      </c>
      <c r="BP108" s="566">
        <f t="shared" si="147"/>
        <v>1106</v>
      </c>
      <c r="BQ108" s="566">
        <f t="shared" si="147"/>
        <v>834</v>
      </c>
      <c r="BR108" s="566">
        <f>BR103-BR106</f>
        <v>803</v>
      </c>
      <c r="BS108" s="566">
        <f t="shared" si="147"/>
        <v>761</v>
      </c>
      <c r="BT108" s="567">
        <f t="shared" si="147"/>
        <v>3504</v>
      </c>
      <c r="BU108" s="566">
        <f t="shared" ref="BU108:CD108" si="148">BU103-BU106</f>
        <v>684</v>
      </c>
      <c r="BV108" s="566">
        <f t="shared" si="148"/>
        <v>619</v>
      </c>
      <c r="BW108" s="566">
        <f t="shared" si="148"/>
        <v>602</v>
      </c>
      <c r="BX108" s="566">
        <f t="shared" si="148"/>
        <v>725</v>
      </c>
      <c r="BY108" s="567">
        <f t="shared" si="148"/>
        <v>2630</v>
      </c>
      <c r="BZ108" s="566">
        <f>BZ103-BZ106</f>
        <v>375</v>
      </c>
      <c r="CA108" s="566">
        <f t="shared" si="148"/>
        <v>513</v>
      </c>
      <c r="CB108" s="566">
        <f t="shared" si="148"/>
        <v>346</v>
      </c>
      <c r="CC108" s="566">
        <f t="shared" si="148"/>
        <v>1085</v>
      </c>
      <c r="CD108" s="567">
        <f t="shared" si="148"/>
        <v>2319</v>
      </c>
      <c r="CE108" s="566">
        <f>CE103-CE106</f>
        <v>-24</v>
      </c>
      <c r="CF108" s="566">
        <f t="shared" ref="CF108:DC108" si="149">CF103-CF106</f>
        <v>1072</v>
      </c>
      <c r="CG108" s="566">
        <f t="shared" si="149"/>
        <v>166</v>
      </c>
      <c r="CH108" s="566">
        <f t="shared" si="149"/>
        <v>1033</v>
      </c>
      <c r="CI108" s="567">
        <f t="shared" si="149"/>
        <v>2247</v>
      </c>
      <c r="CJ108" s="566">
        <f t="shared" si="149"/>
        <v>910</v>
      </c>
      <c r="CK108" s="566">
        <f t="shared" si="149"/>
        <v>370</v>
      </c>
      <c r="CL108" s="566">
        <f t="shared" si="149"/>
        <v>487</v>
      </c>
      <c r="CM108" s="566">
        <f t="shared" si="149"/>
        <v>320</v>
      </c>
      <c r="CN108" s="567">
        <f t="shared" si="149"/>
        <v>2087</v>
      </c>
      <c r="CO108" s="316">
        <f t="shared" si="149"/>
        <v>450</v>
      </c>
      <c r="CP108" s="316">
        <f t="shared" si="149"/>
        <v>263.85952830188677</v>
      </c>
      <c r="CQ108" s="316">
        <f t="shared" si="149"/>
        <v>256.29201650943401</v>
      </c>
      <c r="CR108" s="316">
        <f t="shared" si="149"/>
        <v>110.70531692216986</v>
      </c>
      <c r="CS108" s="317">
        <f t="shared" si="149"/>
        <v>1080.8568617334906</v>
      </c>
      <c r="CT108" s="316">
        <f t="shared" si="149"/>
        <v>272.13469984522413</v>
      </c>
      <c r="CU108" s="316">
        <f t="shared" si="149"/>
        <v>284.05275484135478</v>
      </c>
      <c r="CV108" s="316">
        <f t="shared" si="149"/>
        <v>295.65938621238865</v>
      </c>
      <c r="CW108" s="316">
        <f t="shared" si="149"/>
        <v>306.94680836769851</v>
      </c>
      <c r="CX108" s="317">
        <f t="shared" si="149"/>
        <v>1158.7936492666659</v>
      </c>
      <c r="CY108" s="316">
        <f t="shared" si="149"/>
        <v>317.90704107689101</v>
      </c>
      <c r="CZ108" s="316">
        <f t="shared" si="149"/>
        <v>328.53190460381325</v>
      </c>
      <c r="DA108" s="316">
        <f t="shared" si="149"/>
        <v>338.81301471890868</v>
      </c>
      <c r="DB108" s="316">
        <f t="shared" si="149"/>
        <v>348.74177758688143</v>
      </c>
      <c r="DC108" s="317">
        <f t="shared" si="149"/>
        <v>1333.9937379864941</v>
      </c>
      <c r="DD108" s="316">
        <f t="shared" ref="DD108:DM108" si="150">DD103-DD106</f>
        <v>328.60438452655353</v>
      </c>
      <c r="DE108" s="316">
        <f t="shared" si="150"/>
        <v>337.05180663971748</v>
      </c>
      <c r="DF108" s="316">
        <f t="shared" si="150"/>
        <v>345.11978930571047</v>
      </c>
      <c r="DG108" s="316">
        <f t="shared" si="150"/>
        <v>352.79884653835325</v>
      </c>
      <c r="DH108" s="317">
        <f t="shared" si="150"/>
        <v>1363.574827010335</v>
      </c>
      <c r="DI108" s="316">
        <f>DI103-DI106</f>
        <v>327.37425520181205</v>
      </c>
      <c r="DJ108" s="316">
        <f>DJ103-DJ106</f>
        <v>333.49604908185745</v>
      </c>
      <c r="DK108" s="316">
        <f>DK103-DK106</f>
        <v>339.19901280890406</v>
      </c>
      <c r="DL108" s="316">
        <f>DL103-DL106</f>
        <v>344.47267562912668</v>
      </c>
      <c r="DM108" s="317">
        <f t="shared" si="150"/>
        <v>1344.5419927217004</v>
      </c>
      <c r="DO108"/>
      <c r="DP108"/>
      <c r="DQ108"/>
      <c r="DR108"/>
      <c r="DS108"/>
      <c r="DT108"/>
    </row>
    <row r="109" spans="1:124" ht="16.5" customHeight="1" collapsed="1" x14ac:dyDescent="0.25">
      <c r="A109" s="207"/>
      <c r="B109" s="207"/>
      <c r="C109" s="207"/>
      <c r="D109" s="207"/>
      <c r="E109" s="318"/>
      <c r="F109" s="207"/>
      <c r="G109" s="207"/>
      <c r="H109" s="207"/>
      <c r="I109" s="207"/>
      <c r="J109" s="318"/>
      <c r="K109" s="207"/>
      <c r="L109" s="207"/>
      <c r="M109" s="207"/>
      <c r="N109" s="207"/>
      <c r="O109" s="318"/>
      <c r="P109" s="207"/>
      <c r="Q109" s="207"/>
      <c r="R109" s="207"/>
      <c r="S109" s="207"/>
      <c r="T109" s="318"/>
      <c r="U109" s="207"/>
      <c r="V109" s="207"/>
      <c r="W109" s="207"/>
      <c r="X109" s="207"/>
      <c r="Y109" s="318"/>
      <c r="Z109" s="207"/>
      <c r="AA109" s="207"/>
      <c r="AB109" s="207"/>
      <c r="AC109" s="207"/>
      <c r="AD109" s="318"/>
      <c r="AE109" s="207"/>
      <c r="AF109" s="207"/>
      <c r="AG109" s="207"/>
      <c r="AH109" s="207"/>
      <c r="AI109" s="318"/>
      <c r="AJ109" s="207"/>
      <c r="AK109" s="207"/>
      <c r="AL109" s="207"/>
      <c r="AM109" s="207"/>
      <c r="AN109" s="318"/>
      <c r="AO109" s="207"/>
      <c r="AP109" s="207"/>
      <c r="AQ109" s="207"/>
      <c r="AR109" s="207"/>
      <c r="AS109" s="318"/>
      <c r="AT109" s="207"/>
      <c r="AU109" s="207"/>
      <c r="AV109" s="207"/>
      <c r="AW109" s="207"/>
      <c r="AX109" s="318"/>
      <c r="AY109" s="207"/>
      <c r="AZ109" s="207"/>
      <c r="BA109" s="207"/>
      <c r="BB109" s="224"/>
      <c r="BD109" s="319"/>
      <c r="BE109" s="218"/>
      <c r="BF109" s="320"/>
      <c r="BG109" s="320"/>
      <c r="BH109" s="320"/>
      <c r="BI109" s="320"/>
      <c r="BJ109" s="320"/>
      <c r="BK109" s="316"/>
      <c r="BL109" s="321"/>
      <c r="BM109" s="321"/>
      <c r="BN109" s="321"/>
      <c r="BO109" s="322"/>
      <c r="BP109" s="321"/>
      <c r="BQ109" s="321"/>
      <c r="BR109" s="321"/>
      <c r="BS109" s="321"/>
      <c r="BT109" s="320"/>
      <c r="BU109" s="218"/>
      <c r="BV109" s="218"/>
      <c r="BW109" s="323"/>
      <c r="BX109" s="324"/>
      <c r="BY109" s="218"/>
      <c r="BZ109" s="218"/>
      <c r="CA109" s="218"/>
      <c r="CB109" s="218"/>
      <c r="CC109" s="218"/>
      <c r="CD109" s="319"/>
      <c r="CE109" s="218"/>
      <c r="CF109" s="218"/>
      <c r="CG109" s="218"/>
      <c r="CI109" s="701"/>
      <c r="CJ109" s="826"/>
      <c r="CK109" s="218"/>
      <c r="CL109" s="218"/>
      <c r="CM109" s="218"/>
      <c r="CN109" s="844"/>
      <c r="CO109" s="218"/>
      <c r="CP109" s="218"/>
      <c r="CQ109" s="218"/>
      <c r="CR109" s="218"/>
      <c r="CS109" s="218"/>
      <c r="CT109" s="218"/>
      <c r="CU109" s="218"/>
      <c r="CV109" s="218"/>
      <c r="CW109" s="218"/>
      <c r="CX109" s="218"/>
      <c r="CY109" s="218"/>
      <c r="CZ109" s="218"/>
      <c r="DA109" s="218"/>
      <c r="DB109" s="218"/>
      <c r="DC109" s="218"/>
      <c r="DD109" s="218"/>
      <c r="DE109" s="218"/>
      <c r="DF109" s="218"/>
      <c r="DG109" s="218"/>
      <c r="DH109" s="218"/>
      <c r="DI109" s="218"/>
      <c r="DJ109" s="218"/>
      <c r="DK109" s="218"/>
      <c r="DL109" s="218"/>
      <c r="DM109" s="218"/>
      <c r="DN109" s="218"/>
    </row>
    <row r="110" spans="1:124" x14ac:dyDescent="0.2">
      <c r="A110" s="207"/>
      <c r="B110" s="207"/>
      <c r="C110" s="207"/>
      <c r="D110" s="207"/>
      <c r="E110" s="207"/>
      <c r="F110" s="207"/>
      <c r="G110" s="207"/>
      <c r="H110" s="207"/>
      <c r="I110" s="207"/>
      <c r="J110" s="207"/>
      <c r="K110" s="207"/>
      <c r="L110" s="207"/>
      <c r="M110" s="207"/>
      <c r="N110" s="207"/>
      <c r="O110" s="207"/>
      <c r="P110" s="207"/>
      <c r="Q110" s="207"/>
      <c r="R110" s="207"/>
      <c r="S110" s="207"/>
      <c r="T110" s="207"/>
      <c r="U110" s="207"/>
      <c r="V110" s="207"/>
      <c r="W110" s="207"/>
      <c r="X110" s="207"/>
      <c r="Y110" s="207"/>
      <c r="Z110" s="207"/>
      <c r="AA110" s="207"/>
      <c r="AB110" s="207"/>
      <c r="AC110" s="207"/>
      <c r="AD110" s="207"/>
      <c r="AE110" s="207"/>
      <c r="AF110" s="207"/>
      <c r="AG110" s="207"/>
      <c r="AH110" s="207"/>
      <c r="AI110" s="207"/>
      <c r="AJ110" s="207"/>
      <c r="AK110" s="207"/>
      <c r="AL110" s="207"/>
      <c r="AM110" s="207"/>
      <c r="AN110" s="207"/>
      <c r="AO110" s="207"/>
      <c r="AP110" s="207"/>
      <c r="AQ110" s="207"/>
      <c r="AR110" s="207"/>
      <c r="AS110" s="207"/>
      <c r="AT110" s="207"/>
      <c r="AU110" s="207"/>
      <c r="AV110" s="207"/>
      <c r="AW110" s="207"/>
      <c r="AX110" s="207"/>
      <c r="AY110" s="207"/>
      <c r="AZ110" s="207"/>
      <c r="BA110" s="207"/>
      <c r="BB110" s="207"/>
      <c r="BC110" s="207"/>
      <c r="BD110" s="207"/>
      <c r="BE110" s="224"/>
      <c r="BF110" s="280"/>
      <c r="BG110" s="280"/>
      <c r="BH110" s="280"/>
      <c r="BI110" s="280"/>
      <c r="BJ110" s="280"/>
      <c r="BK110" s="280"/>
      <c r="BL110" s="280"/>
      <c r="BM110" s="280"/>
      <c r="BN110" s="280"/>
      <c r="BO110" s="258"/>
      <c r="BP110" s="207"/>
      <c r="BQ110" s="207"/>
      <c r="BR110" s="207"/>
      <c r="BS110" s="207"/>
      <c r="BT110" s="296"/>
      <c r="BU110" s="207"/>
      <c r="BV110" s="207"/>
      <c r="BW110" s="207"/>
      <c r="BX110" s="207"/>
      <c r="BY110" s="539"/>
      <c r="BZ110" s="207"/>
      <c r="CA110" s="207"/>
      <c r="CB110" s="207"/>
      <c r="CC110" s="207"/>
      <c r="CD110" s="224"/>
      <c r="CE110" s="224"/>
      <c r="CF110" s="224"/>
      <c r="CG110" s="224"/>
      <c r="CH110" s="224"/>
      <c r="CI110" s="224"/>
      <c r="CJ110" s="207"/>
      <c r="CK110" s="207"/>
      <c r="CL110" s="207"/>
      <c r="CM110" s="207"/>
      <c r="CN110" s="207"/>
      <c r="CO110" s="207"/>
      <c r="CP110" s="207"/>
      <c r="CQ110" s="207"/>
      <c r="CR110" s="207"/>
      <c r="CS110" s="207"/>
      <c r="CT110" s="207"/>
      <c r="CU110" s="207"/>
      <c r="CV110" s="207"/>
      <c r="CW110" s="207"/>
      <c r="CX110" s="207"/>
      <c r="CY110" s="207"/>
      <c r="CZ110" s="207"/>
      <c r="DA110" s="207"/>
      <c r="DB110" s="207"/>
      <c r="DC110" s="207"/>
      <c r="DD110" s="207"/>
      <c r="DE110" s="207"/>
      <c r="DF110" s="207"/>
      <c r="DG110" s="207"/>
      <c r="DH110" s="207"/>
      <c r="DI110" s="207"/>
      <c r="DJ110" s="207"/>
      <c r="DK110" s="207"/>
      <c r="DL110" s="207"/>
      <c r="DM110" s="207"/>
      <c r="DN110" s="207"/>
    </row>
    <row r="111" spans="1:124" ht="15.75" x14ac:dyDescent="0.25">
      <c r="A111" s="200" t="s">
        <v>55</v>
      </c>
      <c r="B111" s="201"/>
      <c r="C111" s="202">
        <f>C4</f>
        <v>36616</v>
      </c>
      <c r="D111" s="202">
        <f t="shared" ref="D111:BP111" si="151">D4</f>
        <v>36686</v>
      </c>
      <c r="E111" s="202">
        <f t="shared" si="151"/>
        <v>36778</v>
      </c>
      <c r="F111" s="202">
        <f t="shared" si="151"/>
        <v>36869</v>
      </c>
      <c r="G111" s="203" t="str">
        <f t="shared" si="151"/>
        <v>FY2000</v>
      </c>
      <c r="H111" s="202">
        <f t="shared" si="151"/>
        <v>36981</v>
      </c>
      <c r="I111" s="202">
        <f t="shared" si="151"/>
        <v>37051</v>
      </c>
      <c r="J111" s="202">
        <f t="shared" si="151"/>
        <v>37143</v>
      </c>
      <c r="K111" s="202">
        <f t="shared" si="151"/>
        <v>37234</v>
      </c>
      <c r="L111" s="203" t="str">
        <f t="shared" si="151"/>
        <v>FY2001</v>
      </c>
      <c r="M111" s="202">
        <f t="shared" si="151"/>
        <v>37346</v>
      </c>
      <c r="N111" s="202">
        <f t="shared" si="151"/>
        <v>37416</v>
      </c>
      <c r="O111" s="202">
        <f t="shared" si="151"/>
        <v>37508</v>
      </c>
      <c r="P111" s="202">
        <f t="shared" si="151"/>
        <v>37599</v>
      </c>
      <c r="Q111" s="203" t="str">
        <f t="shared" si="151"/>
        <v>FY2002</v>
      </c>
      <c r="R111" s="202">
        <f t="shared" si="151"/>
        <v>37711</v>
      </c>
      <c r="S111" s="202">
        <f t="shared" si="151"/>
        <v>37781</v>
      </c>
      <c r="T111" s="202">
        <f t="shared" si="151"/>
        <v>37873</v>
      </c>
      <c r="U111" s="202">
        <f t="shared" si="151"/>
        <v>37964</v>
      </c>
      <c r="V111" s="203" t="str">
        <f t="shared" si="151"/>
        <v>FY2003</v>
      </c>
      <c r="W111" s="202">
        <f t="shared" si="151"/>
        <v>38077</v>
      </c>
      <c r="X111" s="202">
        <f t="shared" si="151"/>
        <v>38147</v>
      </c>
      <c r="Y111" s="202">
        <f t="shared" si="151"/>
        <v>38239</v>
      </c>
      <c r="Z111" s="202">
        <f t="shared" si="151"/>
        <v>38330</v>
      </c>
      <c r="AA111" s="203" t="str">
        <f t="shared" si="151"/>
        <v>FY2004</v>
      </c>
      <c r="AB111" s="202">
        <f t="shared" si="151"/>
        <v>38442</v>
      </c>
      <c r="AC111" s="202">
        <f t="shared" si="151"/>
        <v>38512</v>
      </c>
      <c r="AD111" s="202">
        <f t="shared" si="151"/>
        <v>38604</v>
      </c>
      <c r="AE111" s="202">
        <f t="shared" si="151"/>
        <v>38695</v>
      </c>
      <c r="AF111" s="203" t="str">
        <f t="shared" si="151"/>
        <v>FY2005</v>
      </c>
      <c r="AG111" s="202">
        <f t="shared" si="151"/>
        <v>38807</v>
      </c>
      <c r="AH111" s="202">
        <f t="shared" si="151"/>
        <v>38877</v>
      </c>
      <c r="AI111" s="202">
        <f t="shared" si="151"/>
        <v>38969</v>
      </c>
      <c r="AJ111" s="202">
        <f t="shared" si="151"/>
        <v>39060</v>
      </c>
      <c r="AK111" s="203" t="str">
        <f t="shared" si="151"/>
        <v>FY2006</v>
      </c>
      <c r="AL111" s="202">
        <f t="shared" si="151"/>
        <v>39172</v>
      </c>
      <c r="AM111" s="202">
        <f t="shared" si="151"/>
        <v>39242</v>
      </c>
      <c r="AN111" s="202">
        <f t="shared" si="151"/>
        <v>39334</v>
      </c>
      <c r="AO111" s="202">
        <f t="shared" si="151"/>
        <v>39425</v>
      </c>
      <c r="AP111" s="203" t="str">
        <f t="shared" si="151"/>
        <v>FY2007</v>
      </c>
      <c r="AQ111" s="202">
        <f t="shared" si="151"/>
        <v>39538</v>
      </c>
      <c r="AR111" s="202">
        <f t="shared" si="151"/>
        <v>39608</v>
      </c>
      <c r="AS111" s="202">
        <f t="shared" si="151"/>
        <v>39700</v>
      </c>
      <c r="AT111" s="202">
        <f t="shared" si="151"/>
        <v>39791</v>
      </c>
      <c r="AU111" s="203" t="str">
        <f t="shared" si="151"/>
        <v>FY2008</v>
      </c>
      <c r="AV111" s="202">
        <f t="shared" si="151"/>
        <v>39903</v>
      </c>
      <c r="AW111" s="202">
        <f t="shared" si="151"/>
        <v>39973</v>
      </c>
      <c r="AX111" s="202">
        <f t="shared" si="151"/>
        <v>40065</v>
      </c>
      <c r="AY111" s="202">
        <f t="shared" si="151"/>
        <v>40156</v>
      </c>
      <c r="AZ111" s="203" t="str">
        <f t="shared" si="151"/>
        <v>FY2009</v>
      </c>
      <c r="BA111" s="202">
        <f t="shared" si="151"/>
        <v>40247</v>
      </c>
      <c r="BB111" s="202">
        <f t="shared" si="151"/>
        <v>40339</v>
      </c>
      <c r="BC111" s="202">
        <f t="shared" si="151"/>
        <v>40431</v>
      </c>
      <c r="BD111" s="202">
        <f t="shared" si="151"/>
        <v>40522</v>
      </c>
      <c r="BE111" s="203" t="str">
        <f t="shared" si="151"/>
        <v>FY2010</v>
      </c>
      <c r="BF111" s="202">
        <f t="shared" si="151"/>
        <v>40613</v>
      </c>
      <c r="BG111" s="202">
        <f t="shared" si="151"/>
        <v>40705</v>
      </c>
      <c r="BH111" s="202">
        <f t="shared" si="151"/>
        <v>40797</v>
      </c>
      <c r="BI111" s="202">
        <f t="shared" si="151"/>
        <v>40888</v>
      </c>
      <c r="BJ111" s="416" t="str">
        <f t="shared" si="151"/>
        <v>FY2011</v>
      </c>
      <c r="BK111" s="414">
        <f t="shared" si="151"/>
        <v>40980</v>
      </c>
      <c r="BL111" s="414">
        <f t="shared" si="151"/>
        <v>41072</v>
      </c>
      <c r="BM111" s="414">
        <f t="shared" si="151"/>
        <v>41164</v>
      </c>
      <c r="BN111" s="414">
        <f t="shared" si="151"/>
        <v>41274</v>
      </c>
      <c r="BO111" s="416" t="str">
        <f t="shared" si="151"/>
        <v>FY2012</v>
      </c>
      <c r="BP111" s="414">
        <f t="shared" si="151"/>
        <v>41346</v>
      </c>
      <c r="BQ111" s="414">
        <f t="shared" ref="BQ111:CX111" si="152">BQ4</f>
        <v>41438</v>
      </c>
      <c r="BR111" s="414">
        <f t="shared" si="152"/>
        <v>41530</v>
      </c>
      <c r="BS111" s="414">
        <f t="shared" si="152"/>
        <v>41621</v>
      </c>
      <c r="BT111" s="416" t="str">
        <f t="shared" si="152"/>
        <v>FY2013</v>
      </c>
      <c r="BU111" s="414">
        <f t="shared" si="152"/>
        <v>41712</v>
      </c>
      <c r="BV111" s="414">
        <f t="shared" si="152"/>
        <v>41804</v>
      </c>
      <c r="BW111" s="414">
        <f t="shared" si="152"/>
        <v>41896</v>
      </c>
      <c r="BX111" s="414">
        <f t="shared" si="152"/>
        <v>41987</v>
      </c>
      <c r="BY111" s="416" t="str">
        <f t="shared" si="152"/>
        <v>FY2014</v>
      </c>
      <c r="BZ111" s="414">
        <f t="shared" si="152"/>
        <v>42078</v>
      </c>
      <c r="CA111" s="414">
        <f t="shared" si="152"/>
        <v>42170</v>
      </c>
      <c r="CB111" s="414">
        <f t="shared" si="152"/>
        <v>42262</v>
      </c>
      <c r="CC111" s="414">
        <f t="shared" si="152"/>
        <v>42353</v>
      </c>
      <c r="CD111" s="416" t="str">
        <f t="shared" si="152"/>
        <v>FY2015</v>
      </c>
      <c r="CE111" s="414">
        <f t="shared" si="152"/>
        <v>42445</v>
      </c>
      <c r="CF111" s="414">
        <f t="shared" si="152"/>
        <v>42537</v>
      </c>
      <c r="CG111" s="414">
        <f t="shared" si="152"/>
        <v>42629</v>
      </c>
      <c r="CH111" s="414">
        <f t="shared" si="152"/>
        <v>42720</v>
      </c>
      <c r="CI111" s="416" t="str">
        <f t="shared" si="152"/>
        <v>FY2016</v>
      </c>
      <c r="CJ111" s="414">
        <f t="shared" si="152"/>
        <v>42811</v>
      </c>
      <c r="CK111" s="414">
        <f t="shared" si="152"/>
        <v>42903</v>
      </c>
      <c r="CL111" s="414">
        <f t="shared" si="152"/>
        <v>42995</v>
      </c>
      <c r="CM111" s="414">
        <f t="shared" si="152"/>
        <v>43086</v>
      </c>
      <c r="CN111" s="416" t="str">
        <f t="shared" si="152"/>
        <v>FY2017</v>
      </c>
      <c r="CO111" s="414">
        <f t="shared" si="152"/>
        <v>43177</v>
      </c>
      <c r="CP111" s="414" t="str">
        <f t="shared" si="152"/>
        <v>Jun-18 E</v>
      </c>
      <c r="CQ111" s="414" t="str">
        <f t="shared" si="152"/>
        <v>Sep-18 E</v>
      </c>
      <c r="CR111" s="414" t="str">
        <f t="shared" si="152"/>
        <v>Dec-18 E</v>
      </c>
      <c r="CS111" s="416" t="str">
        <f t="shared" si="152"/>
        <v>FY2018E</v>
      </c>
      <c r="CT111" s="414" t="str">
        <f t="shared" si="152"/>
        <v>Mar-19 E</v>
      </c>
      <c r="CU111" s="414" t="str">
        <f t="shared" si="152"/>
        <v>Jun-19 E</v>
      </c>
      <c r="CV111" s="414" t="str">
        <f t="shared" si="152"/>
        <v>Sep-19 E</v>
      </c>
      <c r="CW111" s="414" t="str">
        <f t="shared" si="152"/>
        <v>Dec-19 E</v>
      </c>
      <c r="CX111" s="416" t="str">
        <f t="shared" si="152"/>
        <v>FY2019E</v>
      </c>
      <c r="CY111" s="414" t="str">
        <f t="shared" ref="CY111:DH111" si="153">CY4</f>
        <v>Mar-20 E</v>
      </c>
      <c r="CZ111" s="414" t="str">
        <f t="shared" si="153"/>
        <v>Jun-20 E</v>
      </c>
      <c r="DA111" s="414" t="str">
        <f t="shared" si="153"/>
        <v>Sep-20 E</v>
      </c>
      <c r="DB111" s="414" t="str">
        <f t="shared" si="153"/>
        <v>Dec-20 E</v>
      </c>
      <c r="DC111" s="416" t="str">
        <f t="shared" si="153"/>
        <v>FY2020E</v>
      </c>
      <c r="DD111" s="414" t="str">
        <f t="shared" si="153"/>
        <v>Mar-21 E</v>
      </c>
      <c r="DE111" s="414" t="str">
        <f t="shared" si="153"/>
        <v>Jun-21 E</v>
      </c>
      <c r="DF111" s="414" t="str">
        <f t="shared" si="153"/>
        <v>Sep-21 E</v>
      </c>
      <c r="DG111" s="414" t="str">
        <f t="shared" si="153"/>
        <v>Dec-21 E</v>
      </c>
      <c r="DH111" s="416" t="str">
        <f t="shared" si="153"/>
        <v>FY2021E</v>
      </c>
      <c r="DI111" s="414" t="str">
        <f>DI4</f>
        <v>Mar-22 E</v>
      </c>
      <c r="DJ111" s="414" t="str">
        <f>DJ4</f>
        <v>Jun-22 E</v>
      </c>
      <c r="DK111" s="414" t="str">
        <f>DK4</f>
        <v>Sep-22 E</v>
      </c>
      <c r="DL111" s="414" t="str">
        <f>DL4</f>
        <v>Dec-22 E</v>
      </c>
      <c r="DM111" s="416" t="str">
        <f>DM4</f>
        <v>FY2022E</v>
      </c>
      <c r="DN111" s="207"/>
    </row>
    <row r="112" spans="1:124" ht="15" x14ac:dyDescent="0.2">
      <c r="G112" s="219"/>
      <c r="L112" s="219"/>
      <c r="Q112" s="219"/>
      <c r="V112" s="219"/>
      <c r="AA112" s="219"/>
      <c r="AF112" s="219"/>
      <c r="AK112" s="219"/>
      <c r="AP112" s="219"/>
      <c r="AU112" s="219"/>
      <c r="AZ112" s="219"/>
      <c r="BE112" s="219"/>
      <c r="BJ112" s="443"/>
      <c r="BK112" s="418"/>
      <c r="BL112" s="418"/>
      <c r="BM112" s="418"/>
      <c r="BN112" s="418"/>
      <c r="BO112" s="443"/>
      <c r="BP112" s="418"/>
      <c r="BQ112" s="418"/>
      <c r="BR112" s="418"/>
      <c r="BS112" s="418"/>
      <c r="BT112" s="443"/>
      <c r="BU112" s="418"/>
      <c r="BV112" s="418"/>
      <c r="BW112" s="418"/>
      <c r="BX112" s="418"/>
      <c r="BY112" s="443"/>
      <c r="BZ112" s="418"/>
      <c r="CA112" s="418"/>
      <c r="CB112" s="418"/>
      <c r="CC112" s="418"/>
      <c r="CD112" s="443"/>
      <c r="CE112" s="418"/>
      <c r="CF112" s="418"/>
      <c r="CG112" s="418"/>
      <c r="CH112" s="418"/>
      <c r="CI112" s="443"/>
      <c r="CJ112" s="418"/>
      <c r="CK112" s="418"/>
      <c r="CL112" s="418"/>
      <c r="CM112" s="418"/>
      <c r="CN112" s="443"/>
      <c r="CO112" s="418"/>
      <c r="CP112" s="418"/>
      <c r="CQ112" s="418"/>
      <c r="CR112" s="418"/>
      <c r="CS112" s="443"/>
      <c r="CT112" s="418"/>
      <c r="CU112" s="418"/>
      <c r="CV112" s="418"/>
      <c r="CW112" s="418"/>
      <c r="CX112" s="443"/>
      <c r="CY112" s="418"/>
      <c r="CZ112" s="418"/>
      <c r="DA112" s="418"/>
      <c r="DB112" s="418"/>
      <c r="DC112" s="443"/>
      <c r="DD112" s="418"/>
      <c r="DE112" s="418"/>
      <c r="DF112" s="418"/>
      <c r="DG112" s="418"/>
      <c r="DH112" s="443"/>
      <c r="DI112" s="418"/>
      <c r="DJ112" s="418"/>
      <c r="DK112" s="418"/>
      <c r="DL112" s="418"/>
      <c r="DM112" s="443"/>
      <c r="DN112" s="207"/>
    </row>
    <row r="113" spans="1:118" ht="15.75" x14ac:dyDescent="0.25">
      <c r="A113" s="20" t="s">
        <v>56</v>
      </c>
      <c r="C113" s="207"/>
      <c r="D113" s="207"/>
      <c r="E113" s="207"/>
      <c r="G113" s="219"/>
      <c r="H113" s="207"/>
      <c r="I113" s="207"/>
      <c r="J113" s="207"/>
      <c r="L113" s="219"/>
      <c r="M113" s="207"/>
      <c r="N113" s="207"/>
      <c r="O113" s="207"/>
      <c r="Q113" s="219"/>
      <c r="R113" s="207"/>
      <c r="S113" s="207"/>
      <c r="T113" s="207"/>
      <c r="V113" s="219"/>
      <c r="W113" s="207"/>
      <c r="X113" s="207"/>
      <c r="Y113" s="207"/>
      <c r="AA113" s="219"/>
      <c r="AB113" s="207"/>
      <c r="AC113" s="207"/>
      <c r="AD113" s="207"/>
      <c r="AF113" s="219"/>
      <c r="AG113" s="207"/>
      <c r="AH113" s="207"/>
      <c r="AI113" s="207"/>
      <c r="AK113" s="219"/>
      <c r="AL113" s="207"/>
      <c r="AM113" s="207"/>
      <c r="AN113" s="207"/>
      <c r="AP113" s="219"/>
      <c r="AQ113" s="207"/>
      <c r="AR113" s="207"/>
      <c r="AS113" s="207"/>
      <c r="AU113" s="219"/>
      <c r="AV113" s="207"/>
      <c r="AW113" s="207"/>
      <c r="AX113" s="207"/>
      <c r="AZ113" s="219"/>
      <c r="BE113" s="219"/>
      <c r="BJ113" s="443"/>
      <c r="BK113" s="418"/>
      <c r="BL113" s="418"/>
      <c r="BM113" s="418"/>
      <c r="BN113" s="418"/>
      <c r="BO113" s="443"/>
      <c r="BP113" s="418"/>
      <c r="BQ113" s="418"/>
      <c r="BR113" s="418"/>
      <c r="BS113" s="418"/>
      <c r="BT113" s="443"/>
      <c r="BU113" s="418"/>
      <c r="BV113" s="418"/>
      <c r="BW113" s="418"/>
      <c r="BX113" s="418"/>
      <c r="BY113" s="443"/>
      <c r="BZ113" s="418"/>
      <c r="CA113" s="418"/>
      <c r="CB113" s="418"/>
      <c r="CC113" s="673"/>
      <c r="CD113" s="443"/>
      <c r="CE113" s="418"/>
      <c r="CF113" s="418"/>
      <c r="CG113" s="418"/>
      <c r="CH113" s="418"/>
      <c r="CI113" s="443"/>
      <c r="CJ113" s="418"/>
      <c r="CK113" s="418"/>
      <c r="CL113" s="418"/>
      <c r="CM113" s="418"/>
      <c r="CN113" s="443"/>
      <c r="CO113" s="418"/>
      <c r="CP113" s="418"/>
      <c r="CQ113" s="418"/>
      <c r="CR113" s="418"/>
      <c r="CS113" s="443"/>
      <c r="CT113" s="418"/>
      <c r="CU113" s="418"/>
      <c r="CV113" s="418"/>
      <c r="CW113" s="418"/>
      <c r="CX113" s="443"/>
      <c r="CY113" s="418"/>
      <c r="CZ113" s="418"/>
      <c r="DA113" s="418"/>
      <c r="DB113" s="418"/>
      <c r="DC113" s="443"/>
      <c r="DD113" s="418"/>
      <c r="DE113" s="418"/>
      <c r="DF113" s="418"/>
      <c r="DG113" s="418"/>
      <c r="DH113" s="443"/>
      <c r="DI113" s="418"/>
      <c r="DJ113" s="418"/>
      <c r="DK113" s="418"/>
      <c r="DL113" s="418"/>
      <c r="DM113" s="443"/>
      <c r="DN113" s="207"/>
    </row>
    <row r="114" spans="1:118" ht="15" x14ac:dyDescent="0.2">
      <c r="A114" s="18" t="s">
        <v>57</v>
      </c>
      <c r="C114" s="325">
        <v>0</v>
      </c>
      <c r="D114" s="325">
        <v>0</v>
      </c>
      <c r="E114" s="325">
        <v>0</v>
      </c>
      <c r="F114" s="325">
        <v>0</v>
      </c>
      <c r="G114" s="326">
        <v>0</v>
      </c>
      <c r="H114" s="325">
        <v>0</v>
      </c>
      <c r="I114" s="325">
        <v>0</v>
      </c>
      <c r="J114" s="325">
        <v>0</v>
      </c>
      <c r="K114" s="325">
        <v>0</v>
      </c>
      <c r="L114" s="326">
        <f>K114</f>
        <v>0</v>
      </c>
      <c r="M114" s="325">
        <v>0</v>
      </c>
      <c r="N114" s="325">
        <v>0</v>
      </c>
      <c r="O114" s="325">
        <v>0</v>
      </c>
      <c r="P114" s="325">
        <v>0</v>
      </c>
      <c r="Q114" s="326">
        <f>P114</f>
        <v>0</v>
      </c>
      <c r="R114" s="325">
        <v>0</v>
      </c>
      <c r="S114" s="325">
        <v>0</v>
      </c>
      <c r="T114" s="325">
        <v>0</v>
      </c>
      <c r="U114" s="325">
        <v>0</v>
      </c>
      <c r="V114" s="326">
        <f>U114</f>
        <v>0</v>
      </c>
      <c r="W114" s="325">
        <v>0</v>
      </c>
      <c r="X114" s="325">
        <v>0</v>
      </c>
      <c r="Y114" s="325">
        <v>0</v>
      </c>
      <c r="Z114" s="325">
        <v>0</v>
      </c>
      <c r="AA114" s="326">
        <f>Z114</f>
        <v>0</v>
      </c>
      <c r="AB114" s="325">
        <v>0</v>
      </c>
      <c r="AC114" s="325">
        <v>0</v>
      </c>
      <c r="AD114" s="325">
        <v>0</v>
      </c>
      <c r="AE114" s="325">
        <v>0</v>
      </c>
      <c r="AF114" s="326">
        <f>AE114</f>
        <v>0</v>
      </c>
      <c r="AG114" s="325">
        <v>0</v>
      </c>
      <c r="AH114" s="325">
        <v>0</v>
      </c>
      <c r="AI114" s="325">
        <v>0</v>
      </c>
      <c r="AJ114" s="325">
        <v>0</v>
      </c>
      <c r="AK114" s="326">
        <f>AJ114</f>
        <v>0</v>
      </c>
      <c r="AL114" s="325">
        <v>0</v>
      </c>
      <c r="AM114" s="325">
        <v>0</v>
      </c>
      <c r="AN114" s="325">
        <v>0</v>
      </c>
      <c r="AO114" s="325">
        <v>0</v>
      </c>
      <c r="AP114" s="326">
        <f>AO114</f>
        <v>0</v>
      </c>
      <c r="AQ114" s="325">
        <v>0</v>
      </c>
      <c r="AR114" s="325">
        <v>0</v>
      </c>
      <c r="AS114" s="325">
        <v>0</v>
      </c>
      <c r="AT114" s="325">
        <v>0</v>
      </c>
      <c r="AU114" s="326">
        <f>AT114</f>
        <v>0</v>
      </c>
      <c r="AV114" s="325">
        <v>0</v>
      </c>
      <c r="AW114" s="325">
        <v>0</v>
      </c>
      <c r="AX114" s="325">
        <v>0</v>
      </c>
      <c r="AY114" s="325">
        <v>0</v>
      </c>
      <c r="AZ114" s="326">
        <f>AY114</f>
        <v>0</v>
      </c>
      <c r="BA114" s="325">
        <v>0</v>
      </c>
      <c r="BB114" s="325">
        <v>0</v>
      </c>
      <c r="BC114" s="325">
        <v>0</v>
      </c>
      <c r="BD114" s="325">
        <v>0</v>
      </c>
      <c r="BE114" s="326">
        <f t="shared" ref="BE114:BE120" si="154">BD114</f>
        <v>0</v>
      </c>
      <c r="BF114" s="325">
        <v>0</v>
      </c>
      <c r="BG114" s="325">
        <v>0</v>
      </c>
      <c r="BH114" s="325">
        <v>0</v>
      </c>
      <c r="BI114" s="325">
        <v>0</v>
      </c>
      <c r="BJ114" s="617">
        <f t="shared" ref="BJ114:BJ120" si="155">BI114</f>
        <v>0</v>
      </c>
      <c r="BK114" s="618">
        <v>0</v>
      </c>
      <c r="BL114" s="618">
        <v>0</v>
      </c>
      <c r="BM114" s="618">
        <v>0</v>
      </c>
      <c r="BN114" s="618">
        <v>0</v>
      </c>
      <c r="BO114" s="617">
        <f>BN114</f>
        <v>0</v>
      </c>
      <c r="BP114" s="618">
        <v>0</v>
      </c>
      <c r="BQ114" s="618">
        <v>0</v>
      </c>
      <c r="BR114" s="618">
        <v>0</v>
      </c>
      <c r="BS114" s="618">
        <v>0</v>
      </c>
      <c r="BT114" s="617">
        <f t="shared" ref="BT114:DC114" si="156">MAX(0,(-(BT115+BT116+BT117+BT118+BT119+BT120+BT123+BT124+BT125+BT126+BT127+BT128+BT129)+BT136+BT133+BT135+BT134+BT137+BT140+BT142+BT141+BT146+BT147+BT148+BT149+BT150+BT151))</f>
        <v>0</v>
      </c>
      <c r="BU114" s="619">
        <v>0</v>
      </c>
      <c r="BV114" s="619">
        <v>0</v>
      </c>
      <c r="BW114" s="619">
        <v>0</v>
      </c>
      <c r="BX114" s="619">
        <v>0</v>
      </c>
      <c r="BY114" s="617">
        <v>0</v>
      </c>
      <c r="BZ114" s="619">
        <v>0</v>
      </c>
      <c r="CA114" s="619">
        <v>0</v>
      </c>
      <c r="CB114" s="619">
        <v>0</v>
      </c>
      <c r="CC114" s="619">
        <v>0</v>
      </c>
      <c r="CD114" s="617">
        <v>0</v>
      </c>
      <c r="CE114" s="619">
        <v>0</v>
      </c>
      <c r="CF114" s="704">
        <v>0</v>
      </c>
      <c r="CG114" s="704">
        <v>0</v>
      </c>
      <c r="CH114" s="619">
        <v>0</v>
      </c>
      <c r="CI114" s="705">
        <v>0</v>
      </c>
      <c r="CJ114" s="619">
        <v>0</v>
      </c>
      <c r="CK114" s="619">
        <v>0</v>
      </c>
      <c r="CL114" s="619">
        <v>0</v>
      </c>
      <c r="CM114" s="619">
        <v>0</v>
      </c>
      <c r="CN114" s="705">
        <v>0</v>
      </c>
      <c r="CO114" s="619">
        <v>0</v>
      </c>
      <c r="CP114" s="704">
        <f t="shared" ca="1" si="156"/>
        <v>4662.6939242183107</v>
      </c>
      <c r="CQ114" s="704">
        <f t="shared" ca="1" si="156"/>
        <v>5110.9514906217173</v>
      </c>
      <c r="CR114" s="704">
        <f t="shared" ca="1" si="156"/>
        <v>3955.6148298714193</v>
      </c>
      <c r="CS114" s="705">
        <f t="shared" ca="1" si="156"/>
        <v>3955.6148298714193</v>
      </c>
      <c r="CT114" s="704">
        <f t="shared" ca="1" si="156"/>
        <v>0</v>
      </c>
      <c r="CU114" s="704">
        <f t="shared" ca="1" si="156"/>
        <v>3393.14422959386</v>
      </c>
      <c r="CV114" s="704">
        <f t="shared" ca="1" si="156"/>
        <v>4069.0482259930914</v>
      </c>
      <c r="CW114" s="704">
        <f t="shared" ca="1" si="156"/>
        <v>2971.5080120712464</v>
      </c>
      <c r="CX114" s="705">
        <f t="shared" ca="1" si="156"/>
        <v>2971.5080120712464</v>
      </c>
      <c r="CY114" s="704">
        <f t="shared" ca="1" si="156"/>
        <v>0</v>
      </c>
      <c r="CZ114" s="704">
        <f t="shared" ca="1" si="156"/>
        <v>3505.6367235077928</v>
      </c>
      <c r="DA114" s="704">
        <f t="shared" ca="1" si="156"/>
        <v>4241.1510265996167</v>
      </c>
      <c r="DB114" s="704">
        <f t="shared" ca="1" si="156"/>
        <v>3198.5352714967084</v>
      </c>
      <c r="DC114" s="705">
        <f t="shared" ca="1" si="156"/>
        <v>3198.5352714967084</v>
      </c>
      <c r="DD114" s="704">
        <f t="shared" ref="DD114:DM114" ca="1" si="157">MAX(0,(-(DD115+DD116+DD117+DD118+DD119+DD120+DD123+DD124+DD125+DD126+DD127+DD128+DD129)+DD136+DD133+DD135+DD134+DD137+DD140+DD142+DD141+DD146+DD147+DD148+DD149+DD150+DD151))</f>
        <v>1.0459189070388675E-11</v>
      </c>
      <c r="DE114" s="704">
        <f t="shared" ca="1" si="157"/>
        <v>3551.9004982232273</v>
      </c>
      <c r="DF114" s="704">
        <f t="shared" ca="1" si="157"/>
        <v>4386.773089358152</v>
      </c>
      <c r="DG114" s="704">
        <f t="shared" ca="1" si="157"/>
        <v>3444.0158931518595</v>
      </c>
      <c r="DH114" s="705">
        <f t="shared" ca="1" si="157"/>
        <v>3444.0158931518595</v>
      </c>
      <c r="DI114" s="704">
        <f ca="1">MAX(0,(-(DI115+DI116+DI117+DI118+DI119+DI120+DI123+DI124+DI125+DI126+DI127+DI128+DI129)+DI136+DI133+DI135+DI134+DI137+DI140+DI142+DI141+DI146+DI147+DI148+DI149+DI150+DI151))</f>
        <v>9.0949470177292824E-12</v>
      </c>
      <c r="DJ114" s="704">
        <f ca="1">MAX(0,(-(DJ115+DJ116+DJ117+DJ118+DJ119+DJ120+DJ123+DJ124+DJ125+DJ126+DJ127+DJ128+DJ129)+DJ136+DJ133+DJ135+DJ134+DJ137+DJ140+DJ142+DJ141+DJ146+DJ147+DJ148+DJ149+DJ150+DJ151))</f>
        <v>3624.4483931780851</v>
      </c>
      <c r="DK114" s="704">
        <f ca="1">MAX(0,(-(DK115+DK116+DK117+DK118+DK119+DK120+DK123+DK124+DK125+DK126+DK127+DK128+DK129)+DK136+DK133+DK135+DK134+DK137+DK140+DK142+DK141+DK146+DK147+DK148+DK149+DK150+DK151))</f>
        <v>4571.1358512010702</v>
      </c>
      <c r="DL114" s="704">
        <f ca="1">MAX(0,(-(DL115+DL116+DL117+DL118+DL119+DL120+DL123+DL124+DL125+DL126+DL127+DL128+DL129)+DL136+DL133+DL135+DL134+DL137+DL140+DL142+DL141+DL146+DL147+DL148+DL149+DL150+DL151))</f>
        <v>3743.1061136156877</v>
      </c>
      <c r="DM114" s="705">
        <f t="shared" ca="1" si="157"/>
        <v>3743.1061136156877</v>
      </c>
      <c r="DN114" s="208"/>
    </row>
    <row r="115" spans="1:118" ht="15" x14ac:dyDescent="0.2">
      <c r="A115" s="18" t="s">
        <v>3</v>
      </c>
      <c r="C115" s="328">
        <v>2684</v>
      </c>
      <c r="D115" s="328">
        <v>3069</v>
      </c>
      <c r="E115" s="328">
        <v>3106</v>
      </c>
      <c r="F115" s="328">
        <v>1892</v>
      </c>
      <c r="G115" s="326">
        <v>1892</v>
      </c>
      <c r="H115" s="328">
        <v>2616</v>
      </c>
      <c r="I115" s="328">
        <v>2599</v>
      </c>
      <c r="J115" s="328">
        <v>2495</v>
      </c>
      <c r="K115" s="328">
        <v>1866</v>
      </c>
      <c r="L115" s="326">
        <f t="shared" ref="L115:L120" si="158">K115</f>
        <v>1866</v>
      </c>
      <c r="M115" s="328">
        <v>2268</v>
      </c>
      <c r="N115" s="328">
        <v>2671</v>
      </c>
      <c r="O115" s="328">
        <v>2647</v>
      </c>
      <c r="P115" s="328">
        <v>2126</v>
      </c>
      <c r="Q115" s="326">
        <f t="shared" ref="Q115:Q120" si="159">P115</f>
        <v>2126</v>
      </c>
      <c r="R115" s="328">
        <v>3015</v>
      </c>
      <c r="S115" s="328">
        <v>3324</v>
      </c>
      <c r="T115" s="328">
        <v>3656</v>
      </c>
      <c r="U115" s="328">
        <v>3362</v>
      </c>
      <c r="V115" s="326">
        <f t="shared" ref="V115:V120" si="160">U115</f>
        <v>3362</v>
      </c>
      <c r="W115" s="328">
        <v>4294</v>
      </c>
      <c r="X115" s="328">
        <v>5042</v>
      </c>
      <c r="Y115" s="328">
        <v>5365</v>
      </c>
      <c r="Z115" s="328">
        <v>6707</v>
      </c>
      <c r="AA115" s="326">
        <f t="shared" ref="AA115:AA120" si="161">Z115</f>
        <v>6707</v>
      </c>
      <c r="AB115" s="328">
        <v>6965</v>
      </c>
      <c r="AC115" s="328">
        <v>4952</v>
      </c>
      <c r="AD115" s="328">
        <v>4951</v>
      </c>
      <c r="AE115" s="328">
        <v>4701</v>
      </c>
      <c r="AF115" s="326">
        <f t="shared" ref="AF115:AF120" si="162">AE115</f>
        <v>4701</v>
      </c>
      <c r="AG115" s="328">
        <v>4364</v>
      </c>
      <c r="AH115" s="328">
        <v>4004</v>
      </c>
      <c r="AI115" s="328">
        <v>3388</v>
      </c>
      <c r="AJ115" s="328">
        <v>2440</v>
      </c>
      <c r="AK115" s="326">
        <f t="shared" ref="AK115:AK120" si="163">AJ115</f>
        <v>2440</v>
      </c>
      <c r="AL115" s="328">
        <v>3632</v>
      </c>
      <c r="AM115" s="328">
        <v>4364</v>
      </c>
      <c r="AN115" s="328">
        <v>4616</v>
      </c>
      <c r="AO115" s="328">
        <v>4093</v>
      </c>
      <c r="AP115" s="326">
        <f t="shared" ref="AP115:AP120" si="164">AO115</f>
        <v>4093</v>
      </c>
      <c r="AQ115" s="328">
        <v>6199</v>
      </c>
      <c r="AR115" s="328">
        <v>6571</v>
      </c>
      <c r="AS115" s="328">
        <v>7797</v>
      </c>
      <c r="AT115" s="328">
        <v>4701</v>
      </c>
      <c r="AU115" s="326">
        <f t="shared" ref="AU115:AU120" si="165">AT115</f>
        <v>4701</v>
      </c>
      <c r="AV115" s="328">
        <v>6816</v>
      </c>
      <c r="AW115" s="328">
        <v>7647</v>
      </c>
      <c r="AX115" s="328">
        <v>8846</v>
      </c>
      <c r="AY115" s="328">
        <v>7021</v>
      </c>
      <c r="AZ115" s="326">
        <f t="shared" ref="AZ115:AZ120" si="166">AY115</f>
        <v>7021</v>
      </c>
      <c r="BA115" s="328">
        <v>5684</v>
      </c>
      <c r="BB115" s="328">
        <v>7735</v>
      </c>
      <c r="BC115" s="328">
        <v>10509</v>
      </c>
      <c r="BD115" s="328">
        <v>8517</v>
      </c>
      <c r="BE115" s="326">
        <f t="shared" si="154"/>
        <v>8517</v>
      </c>
      <c r="BF115" s="328">
        <v>9075</v>
      </c>
      <c r="BG115" s="328">
        <v>10166</v>
      </c>
      <c r="BH115" s="328">
        <v>12682</v>
      </c>
      <c r="BI115" s="328">
        <v>12803</v>
      </c>
      <c r="BJ115" s="617">
        <f t="shared" si="155"/>
        <v>12803</v>
      </c>
      <c r="BK115" s="620">
        <v>10664</v>
      </c>
      <c r="BL115" s="620">
        <v>9337</v>
      </c>
      <c r="BM115" s="620">
        <v>9615</v>
      </c>
      <c r="BN115" s="620">
        <v>8442</v>
      </c>
      <c r="BO115" s="617">
        <f t="shared" ref="BO115:CX115" si="167">BN115</f>
        <v>8442</v>
      </c>
      <c r="BP115" s="620">
        <v>9162</v>
      </c>
      <c r="BQ115" s="620">
        <v>9406</v>
      </c>
      <c r="BR115" s="620">
        <v>11118</v>
      </c>
      <c r="BS115" s="620">
        <v>10414</v>
      </c>
      <c r="BT115" s="617">
        <f t="shared" si="167"/>
        <v>10414</v>
      </c>
      <c r="BU115" s="620">
        <v>9131</v>
      </c>
      <c r="BV115" s="616">
        <v>11618</v>
      </c>
      <c r="BW115" s="616">
        <v>11084</v>
      </c>
      <c r="BX115" s="616">
        <v>8958</v>
      </c>
      <c r="BY115" s="617">
        <f t="shared" ref="BY115:BY120" si="168">BX115</f>
        <v>8958</v>
      </c>
      <c r="BZ115" s="616">
        <v>8211</v>
      </c>
      <c r="CA115" s="616">
        <v>8805</v>
      </c>
      <c r="CB115" s="616">
        <v>9983</v>
      </c>
      <c r="CC115" s="616">
        <v>7309</v>
      </c>
      <c r="CD115" s="617">
        <f t="shared" si="167"/>
        <v>7309</v>
      </c>
      <c r="CE115" s="616">
        <v>8748</v>
      </c>
      <c r="CF115" s="707">
        <v>9647</v>
      </c>
      <c r="CG115" s="802">
        <v>11147</v>
      </c>
      <c r="CH115" s="616">
        <v>8555</v>
      </c>
      <c r="CI115" s="705">
        <f t="shared" si="167"/>
        <v>8555</v>
      </c>
      <c r="CJ115" s="616">
        <v>12120</v>
      </c>
      <c r="CK115" s="616">
        <v>11718</v>
      </c>
      <c r="CL115" s="616">
        <v>12528</v>
      </c>
      <c r="CM115" s="616">
        <v>6006</v>
      </c>
      <c r="CN115" s="705">
        <f t="shared" si="167"/>
        <v>6006</v>
      </c>
      <c r="CO115" s="616">
        <v>8291</v>
      </c>
      <c r="CP115" s="706">
        <f t="shared" si="167"/>
        <v>8291</v>
      </c>
      <c r="CQ115" s="706">
        <f>CP115-1750</f>
        <v>6541</v>
      </c>
      <c r="CR115" s="706">
        <f>CQ115-1750</f>
        <v>4791</v>
      </c>
      <c r="CS115" s="705">
        <f t="shared" si="167"/>
        <v>4791</v>
      </c>
      <c r="CT115" s="706">
        <f t="shared" si="167"/>
        <v>4791</v>
      </c>
      <c r="CU115" s="706">
        <f t="shared" si="167"/>
        <v>4791</v>
      </c>
      <c r="CV115" s="706">
        <f t="shared" si="167"/>
        <v>4791</v>
      </c>
      <c r="CW115" s="706">
        <f t="shared" si="167"/>
        <v>4791</v>
      </c>
      <c r="CX115" s="705">
        <f t="shared" si="167"/>
        <v>4791</v>
      </c>
      <c r="CY115" s="706">
        <f t="shared" ref="CY115:DB117" si="169">CX115</f>
        <v>4791</v>
      </c>
      <c r="CZ115" s="706">
        <f t="shared" si="169"/>
        <v>4791</v>
      </c>
      <c r="DA115" s="706">
        <f t="shared" si="169"/>
        <v>4791</v>
      </c>
      <c r="DB115" s="706">
        <f t="shared" si="169"/>
        <v>4791</v>
      </c>
      <c r="DC115" s="705">
        <f t="shared" ref="DC115:DG120" si="170">DB115</f>
        <v>4791</v>
      </c>
      <c r="DD115" s="706">
        <f t="shared" si="170"/>
        <v>4791</v>
      </c>
      <c r="DE115" s="706">
        <f t="shared" si="170"/>
        <v>4791</v>
      </c>
      <c r="DF115" s="706">
        <f t="shared" si="170"/>
        <v>4791</v>
      </c>
      <c r="DG115" s="706">
        <f t="shared" si="170"/>
        <v>4791</v>
      </c>
      <c r="DH115" s="705">
        <f t="shared" ref="DH115:DL120" si="171">DG115</f>
        <v>4791</v>
      </c>
      <c r="DI115" s="706">
        <f t="shared" si="171"/>
        <v>4791</v>
      </c>
      <c r="DJ115" s="706">
        <f t="shared" si="171"/>
        <v>4791</v>
      </c>
      <c r="DK115" s="706">
        <f t="shared" si="171"/>
        <v>4791</v>
      </c>
      <c r="DL115" s="706">
        <f t="shared" si="171"/>
        <v>4791</v>
      </c>
      <c r="DM115" s="705">
        <f t="shared" ref="DM115:DM120" si="172">DL115</f>
        <v>4791</v>
      </c>
      <c r="DN115" s="208"/>
    </row>
    <row r="116" spans="1:118" ht="15" x14ac:dyDescent="0.2">
      <c r="A116" s="18" t="s">
        <v>2</v>
      </c>
      <c r="C116" s="325">
        <v>0</v>
      </c>
      <c r="D116" s="325">
        <v>0</v>
      </c>
      <c r="E116" s="325">
        <v>0</v>
      </c>
      <c r="F116" s="325">
        <v>0</v>
      </c>
      <c r="G116" s="326">
        <v>0</v>
      </c>
      <c r="H116" s="325">
        <v>0</v>
      </c>
      <c r="I116" s="325">
        <v>0</v>
      </c>
      <c r="J116" s="325">
        <v>0</v>
      </c>
      <c r="K116" s="325">
        <v>0</v>
      </c>
      <c r="L116" s="326">
        <f>K116</f>
        <v>0</v>
      </c>
      <c r="M116" s="325">
        <v>0</v>
      </c>
      <c r="N116" s="325">
        <v>0</v>
      </c>
      <c r="O116" s="325">
        <v>0</v>
      </c>
      <c r="P116" s="325">
        <v>0</v>
      </c>
      <c r="Q116" s="326">
        <f>P116</f>
        <v>0</v>
      </c>
      <c r="R116" s="325">
        <v>0</v>
      </c>
      <c r="S116" s="325">
        <v>0</v>
      </c>
      <c r="T116" s="325">
        <v>0</v>
      </c>
      <c r="U116" s="325">
        <v>0</v>
      </c>
      <c r="V116" s="326">
        <f>U116</f>
        <v>0</v>
      </c>
      <c r="W116" s="325">
        <v>0</v>
      </c>
      <c r="X116" s="325">
        <v>0</v>
      </c>
      <c r="Y116" s="325">
        <v>0</v>
      </c>
      <c r="Z116" s="325">
        <v>0</v>
      </c>
      <c r="AA116" s="326">
        <f>Z116</f>
        <v>0</v>
      </c>
      <c r="AB116" s="325">
        <v>0</v>
      </c>
      <c r="AC116" s="325">
        <v>0</v>
      </c>
      <c r="AD116" s="325">
        <v>0</v>
      </c>
      <c r="AE116" s="325">
        <v>0</v>
      </c>
      <c r="AF116" s="326">
        <f>AE116</f>
        <v>0</v>
      </c>
      <c r="AG116" s="325">
        <v>0</v>
      </c>
      <c r="AH116" s="325">
        <v>0</v>
      </c>
      <c r="AI116" s="325">
        <v>0</v>
      </c>
      <c r="AJ116" s="325">
        <v>0</v>
      </c>
      <c r="AK116" s="326">
        <f>AJ116</f>
        <v>0</v>
      </c>
      <c r="AL116" s="325">
        <v>0</v>
      </c>
      <c r="AM116" s="325">
        <v>0</v>
      </c>
      <c r="AN116" s="325">
        <v>0</v>
      </c>
      <c r="AO116" s="325">
        <v>0</v>
      </c>
      <c r="AP116" s="326">
        <f>AO116</f>
        <v>0</v>
      </c>
      <c r="AQ116" s="325">
        <v>0</v>
      </c>
      <c r="AR116" s="325">
        <v>0</v>
      </c>
      <c r="AS116" s="325">
        <v>0</v>
      </c>
      <c r="AT116" s="325">
        <v>0</v>
      </c>
      <c r="AU116" s="326">
        <f>AT116</f>
        <v>0</v>
      </c>
      <c r="AV116" s="325">
        <v>0</v>
      </c>
      <c r="AW116" s="325">
        <v>0</v>
      </c>
      <c r="AX116" s="325">
        <v>0</v>
      </c>
      <c r="AY116" s="325">
        <v>2130</v>
      </c>
      <c r="AZ116" s="326">
        <f>AY116</f>
        <v>2130</v>
      </c>
      <c r="BA116" s="325">
        <v>3038</v>
      </c>
      <c r="BB116" s="325">
        <v>2364</v>
      </c>
      <c r="BC116" s="325">
        <v>2644</v>
      </c>
      <c r="BD116" s="325">
        <v>2682</v>
      </c>
      <c r="BE116" s="326">
        <f t="shared" si="154"/>
        <v>2682</v>
      </c>
      <c r="BF116" s="325">
        <v>3049</v>
      </c>
      <c r="BG116" s="325">
        <v>3705</v>
      </c>
      <c r="BH116" s="325">
        <v>3684</v>
      </c>
      <c r="BI116" s="325">
        <v>1088</v>
      </c>
      <c r="BJ116" s="617">
        <f t="shared" si="155"/>
        <v>1088</v>
      </c>
      <c r="BK116" s="618">
        <v>2476</v>
      </c>
      <c r="BL116" s="618">
        <v>4807</v>
      </c>
      <c r="BM116" s="618">
        <v>5320</v>
      </c>
      <c r="BN116" s="618">
        <v>5017</v>
      </c>
      <c r="BO116" s="617">
        <f t="shared" ref="BO116:CX116" si="173">BN116</f>
        <v>5017</v>
      </c>
      <c r="BP116" s="618">
        <v>6176</v>
      </c>
      <c r="BQ116" s="618">
        <v>6634</v>
      </c>
      <c r="BR116" s="618">
        <v>6139</v>
      </c>
      <c r="BS116" s="618">
        <v>6707</v>
      </c>
      <c r="BT116" s="617">
        <f t="shared" si="173"/>
        <v>6707</v>
      </c>
      <c r="BU116" s="618">
        <v>6918</v>
      </c>
      <c r="BV116" s="616">
        <v>6524</v>
      </c>
      <c r="BW116" s="616">
        <v>9185</v>
      </c>
      <c r="BX116" s="616">
        <v>9052</v>
      </c>
      <c r="BY116" s="617">
        <f t="shared" si="168"/>
        <v>9052</v>
      </c>
      <c r="BZ116" s="616">
        <v>8366</v>
      </c>
      <c r="CA116" s="616">
        <v>8709</v>
      </c>
      <c r="CB116" s="616">
        <v>9177</v>
      </c>
      <c r="CC116" s="616">
        <v>8322</v>
      </c>
      <c r="CD116" s="617">
        <f t="shared" si="173"/>
        <v>8322</v>
      </c>
      <c r="CE116" s="616">
        <v>10003</v>
      </c>
      <c r="CF116" s="707">
        <v>11755</v>
      </c>
      <c r="CG116" s="802">
        <v>11265</v>
      </c>
      <c r="CH116" s="616">
        <v>9595</v>
      </c>
      <c r="CI116" s="705">
        <f t="shared" si="173"/>
        <v>9595</v>
      </c>
      <c r="CJ116" s="616">
        <v>9791</v>
      </c>
      <c r="CK116" s="616">
        <v>11016</v>
      </c>
      <c r="CL116" s="616">
        <v>9691</v>
      </c>
      <c r="CM116" s="616">
        <v>9352</v>
      </c>
      <c r="CN116" s="705">
        <f t="shared" si="173"/>
        <v>9352</v>
      </c>
      <c r="CO116" s="616">
        <v>7518</v>
      </c>
      <c r="CP116" s="706">
        <f t="shared" si="173"/>
        <v>7518</v>
      </c>
      <c r="CQ116" s="706">
        <f>CP116-1750</f>
        <v>5768</v>
      </c>
      <c r="CR116" s="706">
        <f>CQ116-1750</f>
        <v>4018</v>
      </c>
      <c r="CS116" s="705">
        <f t="shared" si="173"/>
        <v>4018</v>
      </c>
      <c r="CT116" s="706">
        <f t="shared" si="173"/>
        <v>4018</v>
      </c>
      <c r="CU116" s="706">
        <f t="shared" si="173"/>
        <v>4018</v>
      </c>
      <c r="CV116" s="706">
        <f t="shared" si="173"/>
        <v>4018</v>
      </c>
      <c r="CW116" s="706">
        <f t="shared" si="173"/>
        <v>4018</v>
      </c>
      <c r="CX116" s="705">
        <f t="shared" si="173"/>
        <v>4018</v>
      </c>
      <c r="CY116" s="706">
        <f t="shared" si="169"/>
        <v>4018</v>
      </c>
      <c r="CZ116" s="706">
        <f t="shared" si="169"/>
        <v>4018</v>
      </c>
      <c r="DA116" s="706">
        <f t="shared" si="169"/>
        <v>4018</v>
      </c>
      <c r="DB116" s="706">
        <f t="shared" si="169"/>
        <v>4018</v>
      </c>
      <c r="DC116" s="705">
        <f t="shared" si="170"/>
        <v>4018</v>
      </c>
      <c r="DD116" s="706">
        <f t="shared" si="170"/>
        <v>4018</v>
      </c>
      <c r="DE116" s="706">
        <f t="shared" si="170"/>
        <v>4018</v>
      </c>
      <c r="DF116" s="706">
        <f t="shared" si="170"/>
        <v>4018</v>
      </c>
      <c r="DG116" s="706">
        <f t="shared" si="170"/>
        <v>4018</v>
      </c>
      <c r="DH116" s="705">
        <f t="shared" si="171"/>
        <v>4018</v>
      </c>
      <c r="DI116" s="706">
        <f t="shared" si="171"/>
        <v>4018</v>
      </c>
      <c r="DJ116" s="706">
        <f t="shared" si="171"/>
        <v>4018</v>
      </c>
      <c r="DK116" s="706">
        <f t="shared" si="171"/>
        <v>4018</v>
      </c>
      <c r="DL116" s="706">
        <f t="shared" si="171"/>
        <v>4018</v>
      </c>
      <c r="DM116" s="705">
        <f t="shared" si="172"/>
        <v>4018</v>
      </c>
      <c r="DN116" s="208"/>
    </row>
    <row r="117" spans="1:118" ht="15" x14ac:dyDescent="0.2">
      <c r="A117" s="18" t="s">
        <v>319</v>
      </c>
      <c r="C117" s="328">
        <v>0</v>
      </c>
      <c r="D117" s="328">
        <v>0</v>
      </c>
      <c r="E117" s="328">
        <v>0</v>
      </c>
      <c r="F117" s="328">
        <v>0</v>
      </c>
      <c r="G117" s="326">
        <v>0</v>
      </c>
      <c r="H117" s="328">
        <v>62</v>
      </c>
      <c r="I117" s="328">
        <v>67</v>
      </c>
      <c r="J117" s="328">
        <v>72</v>
      </c>
      <c r="K117" s="328">
        <v>68</v>
      </c>
      <c r="L117" s="326">
        <f t="shared" si="158"/>
        <v>68</v>
      </c>
      <c r="M117" s="328">
        <v>129</v>
      </c>
      <c r="N117" s="328">
        <v>165</v>
      </c>
      <c r="O117" s="328">
        <v>146</v>
      </c>
      <c r="P117" s="328">
        <v>219</v>
      </c>
      <c r="Q117" s="326">
        <f t="shared" si="159"/>
        <v>219</v>
      </c>
      <c r="R117" s="328">
        <v>178</v>
      </c>
      <c r="S117" s="328">
        <v>236</v>
      </c>
      <c r="T117" s="328">
        <v>191</v>
      </c>
      <c r="U117" s="328">
        <v>120</v>
      </c>
      <c r="V117" s="326">
        <f t="shared" si="160"/>
        <v>120</v>
      </c>
      <c r="W117" s="328">
        <v>138</v>
      </c>
      <c r="X117" s="328">
        <v>139</v>
      </c>
      <c r="Y117" s="328">
        <v>155</v>
      </c>
      <c r="Z117" s="328">
        <v>61</v>
      </c>
      <c r="AA117" s="326">
        <f t="shared" si="161"/>
        <v>61</v>
      </c>
      <c r="AB117" s="328">
        <v>61</v>
      </c>
      <c r="AC117" s="328">
        <v>59</v>
      </c>
      <c r="AD117" s="328">
        <v>111</v>
      </c>
      <c r="AE117" s="328">
        <v>66</v>
      </c>
      <c r="AF117" s="326">
        <f t="shared" si="162"/>
        <v>66</v>
      </c>
      <c r="AG117" s="328">
        <v>128</v>
      </c>
      <c r="AH117" s="328">
        <v>126</v>
      </c>
      <c r="AI117" s="328">
        <v>135</v>
      </c>
      <c r="AJ117" s="328">
        <v>150</v>
      </c>
      <c r="AK117" s="326">
        <f t="shared" si="163"/>
        <v>150</v>
      </c>
      <c r="AL117" s="328">
        <v>151</v>
      </c>
      <c r="AM117" s="328">
        <v>177</v>
      </c>
      <c r="AN117" s="328">
        <v>195</v>
      </c>
      <c r="AO117" s="328">
        <v>215</v>
      </c>
      <c r="AP117" s="326">
        <f t="shared" si="164"/>
        <v>215</v>
      </c>
      <c r="AQ117" s="328">
        <v>221</v>
      </c>
      <c r="AR117" s="328">
        <v>286</v>
      </c>
      <c r="AS117" s="328">
        <v>287</v>
      </c>
      <c r="AT117" s="328">
        <v>278</v>
      </c>
      <c r="AU117" s="326">
        <f t="shared" si="165"/>
        <v>278</v>
      </c>
      <c r="AV117" s="328">
        <v>263</v>
      </c>
      <c r="AW117" s="328">
        <v>298</v>
      </c>
      <c r="AX117" s="328">
        <v>279</v>
      </c>
      <c r="AY117" s="328">
        <f>62</f>
        <v>62</v>
      </c>
      <c r="AZ117" s="326">
        <f t="shared" si="166"/>
        <v>62</v>
      </c>
      <c r="BA117" s="328">
        <v>72</v>
      </c>
      <c r="BB117" s="328">
        <v>67</v>
      </c>
      <c r="BC117" s="328">
        <v>112</v>
      </c>
      <c r="BD117" s="328">
        <v>138</v>
      </c>
      <c r="BE117" s="326">
        <f t="shared" si="154"/>
        <v>138</v>
      </c>
      <c r="BF117" s="328">
        <v>153</v>
      </c>
      <c r="BG117" s="328">
        <v>146</v>
      </c>
      <c r="BH117" s="328">
        <v>131</v>
      </c>
      <c r="BI117" s="328">
        <v>144</v>
      </c>
      <c r="BJ117" s="617">
        <f t="shared" si="155"/>
        <v>144</v>
      </c>
      <c r="BK117" s="620">
        <v>2639</v>
      </c>
      <c r="BL117" s="620">
        <v>2822</v>
      </c>
      <c r="BM117" s="620">
        <v>3148</v>
      </c>
      <c r="BN117" s="620">
        <v>3092</v>
      </c>
      <c r="BO117" s="617">
        <f t="shared" ref="BO117:CX117" si="174">BN117</f>
        <v>3092</v>
      </c>
      <c r="BP117" s="620">
        <v>3090</v>
      </c>
      <c r="BQ117" s="620">
        <v>3173</v>
      </c>
      <c r="BR117" s="620">
        <v>3202</v>
      </c>
      <c r="BS117" s="620">
        <v>3147</v>
      </c>
      <c r="BT117" s="617">
        <f t="shared" si="174"/>
        <v>3147</v>
      </c>
      <c r="BU117" s="620">
        <v>3384</v>
      </c>
      <c r="BV117" s="616">
        <v>3467</v>
      </c>
      <c r="BW117" s="616">
        <v>3445</v>
      </c>
      <c r="BX117" s="616">
        <v>3665</v>
      </c>
      <c r="BY117" s="617">
        <f t="shared" si="168"/>
        <v>3665</v>
      </c>
      <c r="BZ117" s="616">
        <v>3472</v>
      </c>
      <c r="CA117" s="616">
        <v>3433</v>
      </c>
      <c r="CB117" s="616">
        <v>3614</v>
      </c>
      <c r="CC117" s="616">
        <v>4269</v>
      </c>
      <c r="CD117" s="617">
        <f t="shared" si="174"/>
        <v>4269</v>
      </c>
      <c r="CE117" s="616">
        <v>3460</v>
      </c>
      <c r="CF117" s="707">
        <v>2673</v>
      </c>
      <c r="CG117" s="802">
        <v>3157</v>
      </c>
      <c r="CH117" s="616">
        <v>4051</v>
      </c>
      <c r="CI117" s="705">
        <f t="shared" si="174"/>
        <v>4051</v>
      </c>
      <c r="CJ117" s="616">
        <v>3294</v>
      </c>
      <c r="CK117" s="616">
        <v>4490</v>
      </c>
      <c r="CL117" s="616">
        <v>5138</v>
      </c>
      <c r="CM117" s="616">
        <v>5317</v>
      </c>
      <c r="CN117" s="705">
        <f t="shared" si="174"/>
        <v>5317</v>
      </c>
      <c r="CO117" s="616">
        <v>5564</v>
      </c>
      <c r="CP117" s="706">
        <f t="shared" si="174"/>
        <v>5564</v>
      </c>
      <c r="CQ117" s="706">
        <f t="shared" si="174"/>
        <v>5564</v>
      </c>
      <c r="CR117" s="706">
        <f t="shared" si="174"/>
        <v>5564</v>
      </c>
      <c r="CS117" s="705">
        <f t="shared" si="174"/>
        <v>5564</v>
      </c>
      <c r="CT117" s="706">
        <f t="shared" si="174"/>
        <v>5564</v>
      </c>
      <c r="CU117" s="706">
        <f t="shared" si="174"/>
        <v>5564</v>
      </c>
      <c r="CV117" s="706">
        <f t="shared" si="174"/>
        <v>5564</v>
      </c>
      <c r="CW117" s="706">
        <f t="shared" si="174"/>
        <v>5564</v>
      </c>
      <c r="CX117" s="705">
        <f t="shared" si="174"/>
        <v>5564</v>
      </c>
      <c r="CY117" s="706">
        <f t="shared" si="169"/>
        <v>5564</v>
      </c>
      <c r="CZ117" s="706">
        <f t="shared" si="169"/>
        <v>5564</v>
      </c>
      <c r="DA117" s="706">
        <f t="shared" si="169"/>
        <v>5564</v>
      </c>
      <c r="DB117" s="706">
        <f t="shared" si="169"/>
        <v>5564</v>
      </c>
      <c r="DC117" s="705">
        <f t="shared" si="170"/>
        <v>5564</v>
      </c>
      <c r="DD117" s="706">
        <f t="shared" si="170"/>
        <v>5564</v>
      </c>
      <c r="DE117" s="706">
        <f t="shared" si="170"/>
        <v>5564</v>
      </c>
      <c r="DF117" s="706">
        <f t="shared" si="170"/>
        <v>5564</v>
      </c>
      <c r="DG117" s="706">
        <f t="shared" si="170"/>
        <v>5564</v>
      </c>
      <c r="DH117" s="705">
        <f t="shared" si="171"/>
        <v>5564</v>
      </c>
      <c r="DI117" s="706">
        <f t="shared" si="171"/>
        <v>5564</v>
      </c>
      <c r="DJ117" s="706">
        <f t="shared" si="171"/>
        <v>5564</v>
      </c>
      <c r="DK117" s="706">
        <f t="shared" si="171"/>
        <v>5564</v>
      </c>
      <c r="DL117" s="706">
        <f t="shared" si="171"/>
        <v>5564</v>
      </c>
      <c r="DM117" s="705">
        <f t="shared" si="172"/>
        <v>5564</v>
      </c>
      <c r="DN117" s="208"/>
    </row>
    <row r="118" spans="1:118" ht="15" x14ac:dyDescent="0.2">
      <c r="A118" s="18" t="s">
        <v>58</v>
      </c>
      <c r="C118" s="328">
        <v>1495</v>
      </c>
      <c r="D118" s="328">
        <v>1752</v>
      </c>
      <c r="E118" s="328">
        <v>1802</v>
      </c>
      <c r="F118" s="328">
        <v>1757</v>
      </c>
      <c r="G118" s="326">
        <v>1802</v>
      </c>
      <c r="H118" s="328">
        <v>1749</v>
      </c>
      <c r="I118" s="328">
        <v>1857</v>
      </c>
      <c r="J118" s="328">
        <v>1807</v>
      </c>
      <c r="K118" s="328">
        <v>1882</v>
      </c>
      <c r="L118" s="326">
        <f t="shared" si="158"/>
        <v>1882</v>
      </c>
      <c r="M118" s="328">
        <v>1981</v>
      </c>
      <c r="N118" s="328">
        <v>2334</v>
      </c>
      <c r="O118" s="328">
        <v>2183</v>
      </c>
      <c r="P118" s="328">
        <v>2097</v>
      </c>
      <c r="Q118" s="326">
        <f t="shared" si="159"/>
        <v>2097</v>
      </c>
      <c r="R118" s="328">
        <v>2088</v>
      </c>
      <c r="S118" s="328">
        <v>2341</v>
      </c>
      <c r="T118" s="328">
        <v>2142</v>
      </c>
      <c r="U118" s="328">
        <v>2091</v>
      </c>
      <c r="V118" s="326">
        <f t="shared" si="160"/>
        <v>2091</v>
      </c>
      <c r="W118" s="328">
        <v>2019</v>
      </c>
      <c r="X118" s="328">
        <v>2140</v>
      </c>
      <c r="Y118" s="328">
        <v>1985</v>
      </c>
      <c r="Z118" s="328">
        <v>2171</v>
      </c>
      <c r="AA118" s="326">
        <f t="shared" si="161"/>
        <v>2171</v>
      </c>
      <c r="AB118" s="328">
        <v>2115</v>
      </c>
      <c r="AC118" s="328">
        <v>2349</v>
      </c>
      <c r="AD118" s="328">
        <v>2217</v>
      </c>
      <c r="AE118" s="328">
        <v>2281</v>
      </c>
      <c r="AF118" s="326">
        <f t="shared" si="162"/>
        <v>2281</v>
      </c>
      <c r="AG118" s="328">
        <v>2237</v>
      </c>
      <c r="AH118" s="328">
        <v>2593</v>
      </c>
      <c r="AI118" s="328">
        <v>2489</v>
      </c>
      <c r="AJ118" s="328">
        <v>2587</v>
      </c>
      <c r="AK118" s="326">
        <f t="shared" si="163"/>
        <v>2587</v>
      </c>
      <c r="AL118" s="328">
        <v>2781</v>
      </c>
      <c r="AM118" s="328">
        <v>3315</v>
      </c>
      <c r="AN118" s="328">
        <v>3116</v>
      </c>
      <c r="AO118" s="328">
        <v>3317</v>
      </c>
      <c r="AP118" s="326">
        <f t="shared" si="164"/>
        <v>3317</v>
      </c>
      <c r="AQ118" s="328">
        <v>3500</v>
      </c>
      <c r="AR118" s="328">
        <v>4073</v>
      </c>
      <c r="AS118" s="328">
        <v>3674</v>
      </c>
      <c r="AT118" s="328">
        <v>3090</v>
      </c>
      <c r="AU118" s="326">
        <f t="shared" si="165"/>
        <v>3090</v>
      </c>
      <c r="AV118" s="328">
        <v>3139</v>
      </c>
      <c r="AW118" s="328">
        <v>3746</v>
      </c>
      <c r="AX118" s="328">
        <v>3465</v>
      </c>
      <c r="AY118" s="328">
        <v>3758</v>
      </c>
      <c r="AZ118" s="326">
        <f t="shared" si="166"/>
        <v>3758</v>
      </c>
      <c r="BA118" s="328">
        <v>3705</v>
      </c>
      <c r="BB118" s="328">
        <v>4001</v>
      </c>
      <c r="BC118" s="328">
        <v>3720</v>
      </c>
      <c r="BD118" s="328">
        <v>4430</v>
      </c>
      <c r="BE118" s="326">
        <f t="shared" si="154"/>
        <v>4430</v>
      </c>
      <c r="BF118" s="328">
        <v>4533</v>
      </c>
      <c r="BG118" s="328">
        <v>5630</v>
      </c>
      <c r="BH118" s="328">
        <v>5131</v>
      </c>
      <c r="BI118" s="328">
        <v>4920</v>
      </c>
      <c r="BJ118" s="617">
        <f t="shared" si="155"/>
        <v>4920</v>
      </c>
      <c r="BK118" s="620">
        <v>4814</v>
      </c>
      <c r="BL118" s="620">
        <v>5397</v>
      </c>
      <c r="BM118" s="620">
        <v>5083</v>
      </c>
      <c r="BN118" s="620">
        <v>4759</v>
      </c>
      <c r="BO118" s="617">
        <f>BN118</f>
        <v>4759</v>
      </c>
      <c r="BP118" s="620">
        <v>5007</v>
      </c>
      <c r="BQ118" s="620">
        <v>5516</v>
      </c>
      <c r="BR118" s="620">
        <v>5116</v>
      </c>
      <c r="BS118" s="620">
        <v>4873</v>
      </c>
      <c r="BT118" s="617">
        <f>BS118</f>
        <v>4873</v>
      </c>
      <c r="BU118" s="620">
        <v>5233</v>
      </c>
      <c r="BV118" s="616">
        <v>5870</v>
      </c>
      <c r="BW118" s="616">
        <v>5081</v>
      </c>
      <c r="BX118" s="616">
        <v>4466</v>
      </c>
      <c r="BY118" s="617">
        <f t="shared" si="168"/>
        <v>4466</v>
      </c>
      <c r="BZ118" s="616">
        <v>4461</v>
      </c>
      <c r="CA118" s="616">
        <v>4976</v>
      </c>
      <c r="CB118" s="616">
        <v>4028</v>
      </c>
      <c r="CC118" s="616">
        <v>3941</v>
      </c>
      <c r="CD118" s="617">
        <f>CC118</f>
        <v>3941</v>
      </c>
      <c r="CE118" s="616">
        <v>4147</v>
      </c>
      <c r="CF118" s="707">
        <v>4768</v>
      </c>
      <c r="CG118" s="802">
        <v>4082</v>
      </c>
      <c r="CH118" s="616">
        <v>3856</v>
      </c>
      <c r="CI118" s="705">
        <f>CH118</f>
        <v>3856</v>
      </c>
      <c r="CJ118" s="616">
        <v>3702</v>
      </c>
      <c r="CK118" s="616">
        <v>4024</v>
      </c>
      <c r="CL118" s="616">
        <v>3664</v>
      </c>
      <c r="CM118" s="616">
        <v>3667</v>
      </c>
      <c r="CN118" s="705">
        <f>CM118</f>
        <v>3667</v>
      </c>
      <c r="CO118" s="616">
        <v>3904</v>
      </c>
      <c r="CP118" s="707">
        <f>CP209*4*CP5</f>
        <v>2854.5961327421687</v>
      </c>
      <c r="CQ118" s="707">
        <f>CQ209*4*CQ5</f>
        <v>2619.365714052045</v>
      </c>
      <c r="CR118" s="707">
        <f>CR209*4*CR5</f>
        <v>2950.834186931409</v>
      </c>
      <c r="CS118" s="705">
        <f>CR118</f>
        <v>2950.834186931409</v>
      </c>
      <c r="CT118" s="707">
        <f>CT209*4*CT5</f>
        <v>4681.0522756090168</v>
      </c>
      <c r="CU118" s="707">
        <f>CU209*4*CU5</f>
        <v>3697.031403178411</v>
      </c>
      <c r="CV118" s="707">
        <f>CV209*4*CV5</f>
        <v>3419.3153793675006</v>
      </c>
      <c r="CW118" s="707">
        <f>CW209*4*CW5</f>
        <v>3690.9416792179854</v>
      </c>
      <c r="CX118" s="705">
        <f>CW118</f>
        <v>3690.9416792179854</v>
      </c>
      <c r="CY118" s="707">
        <f>CY209*4*CY5</f>
        <v>5528.9965776946865</v>
      </c>
      <c r="CZ118" s="707">
        <f>CZ209*4*CZ5</f>
        <v>4601.9247945204415</v>
      </c>
      <c r="DA118" s="707">
        <f>DA209*4*DA5</f>
        <v>4280.0057238315057</v>
      </c>
      <c r="DB118" s="707">
        <f>DB209*4*DB5</f>
        <v>4488.4802571430464</v>
      </c>
      <c r="DC118" s="705">
        <f t="shared" si="170"/>
        <v>4488.4802571430464</v>
      </c>
      <c r="DD118" s="707">
        <f>DD209*4*DD5</f>
        <v>6408.7282071206919</v>
      </c>
      <c r="DE118" s="707">
        <f>DE209*4*DE5</f>
        <v>5549.7362023242267</v>
      </c>
      <c r="DF118" s="707">
        <f>DF209*4*DF5</f>
        <v>5184.0259639942369</v>
      </c>
      <c r="DG118" s="707">
        <f>DG209*4*DG5</f>
        <v>5326.5281664000031</v>
      </c>
      <c r="DH118" s="705">
        <f t="shared" si="171"/>
        <v>5326.5281664000031</v>
      </c>
      <c r="DI118" s="707">
        <f>DI209*4*DI5</f>
        <v>7331.6477863906148</v>
      </c>
      <c r="DJ118" s="707">
        <f>DJ209*4*DJ5</f>
        <v>6548.8742144053822</v>
      </c>
      <c r="DK118" s="707">
        <f>DK209*4*DK5</f>
        <v>6137.6921488859352</v>
      </c>
      <c r="DL118" s="707">
        <f>DL209*4*DL5</f>
        <v>6208.9581876786724</v>
      </c>
      <c r="DM118" s="705">
        <f t="shared" si="172"/>
        <v>6208.9581876786724</v>
      </c>
      <c r="DN118" s="208"/>
    </row>
    <row r="119" spans="1:118" ht="15" x14ac:dyDescent="0.2">
      <c r="A119" s="18" t="s">
        <v>59</v>
      </c>
      <c r="C119" s="328">
        <v>1223</v>
      </c>
      <c r="D119" s="328">
        <v>1194</v>
      </c>
      <c r="E119" s="328">
        <v>1101</v>
      </c>
      <c r="F119" s="328">
        <v>1066</v>
      </c>
      <c r="G119" s="326">
        <v>1101</v>
      </c>
      <c r="H119" s="328">
        <v>1120</v>
      </c>
      <c r="I119" s="328">
        <v>1196</v>
      </c>
      <c r="J119" s="328">
        <v>1140</v>
      </c>
      <c r="K119" s="328">
        <v>1055</v>
      </c>
      <c r="L119" s="326">
        <f t="shared" si="158"/>
        <v>1055</v>
      </c>
      <c r="M119" s="328">
        <v>1254</v>
      </c>
      <c r="N119" s="328">
        <v>1385</v>
      </c>
      <c r="O119" s="328">
        <v>1287</v>
      </c>
      <c r="P119" s="328">
        <v>1294</v>
      </c>
      <c r="Q119" s="326">
        <f t="shared" si="159"/>
        <v>1294</v>
      </c>
      <c r="R119" s="328">
        <v>1363</v>
      </c>
      <c r="S119" s="328">
        <v>1458</v>
      </c>
      <c r="T119" s="328">
        <v>1293</v>
      </c>
      <c r="U119" s="328">
        <v>1252</v>
      </c>
      <c r="V119" s="326">
        <f t="shared" si="160"/>
        <v>1252</v>
      </c>
      <c r="W119" s="328">
        <v>1391</v>
      </c>
      <c r="X119" s="328">
        <v>1491</v>
      </c>
      <c r="Y119" s="328">
        <v>1414</v>
      </c>
      <c r="Z119" s="328">
        <v>1420</v>
      </c>
      <c r="AA119" s="326">
        <f t="shared" si="161"/>
        <v>1420</v>
      </c>
      <c r="AB119" s="328">
        <v>1511</v>
      </c>
      <c r="AC119" s="328">
        <v>1476</v>
      </c>
      <c r="AD119" s="328">
        <v>1431</v>
      </c>
      <c r="AE119" s="328">
        <v>1424</v>
      </c>
      <c r="AF119" s="326">
        <f t="shared" si="162"/>
        <v>1424</v>
      </c>
      <c r="AG119" s="328">
        <v>1549</v>
      </c>
      <c r="AH119" s="328">
        <v>1624</v>
      </c>
      <c r="AI119" s="328">
        <v>1592</v>
      </c>
      <c r="AJ119" s="328">
        <v>1641</v>
      </c>
      <c r="AK119" s="326">
        <f t="shared" si="163"/>
        <v>1641</v>
      </c>
      <c r="AL119" s="328">
        <v>1909</v>
      </c>
      <c r="AM119" s="328">
        <v>2086</v>
      </c>
      <c r="AN119" s="328">
        <v>2048</v>
      </c>
      <c r="AO119" s="328">
        <v>2220</v>
      </c>
      <c r="AP119" s="326">
        <f t="shared" si="164"/>
        <v>2220</v>
      </c>
      <c r="AQ119" s="328">
        <v>2447</v>
      </c>
      <c r="AR119" s="328">
        <v>2531</v>
      </c>
      <c r="AS119" s="328">
        <v>2321</v>
      </c>
      <c r="AT119" s="328">
        <v>2187</v>
      </c>
      <c r="AU119" s="326">
        <f t="shared" si="165"/>
        <v>2187</v>
      </c>
      <c r="AV119" s="328">
        <v>2298</v>
      </c>
      <c r="AW119" s="328">
        <v>2483</v>
      </c>
      <c r="AX119" s="328">
        <v>2341</v>
      </c>
      <c r="AY119" s="328">
        <v>2354</v>
      </c>
      <c r="AZ119" s="326">
        <f t="shared" si="166"/>
        <v>2354</v>
      </c>
      <c r="BA119" s="328">
        <v>2327</v>
      </c>
      <c r="BB119" s="328">
        <v>2363</v>
      </c>
      <c r="BC119" s="328">
        <v>2259</v>
      </c>
      <c r="BD119" s="328">
        <v>2650</v>
      </c>
      <c r="BE119" s="326">
        <f t="shared" si="154"/>
        <v>2650</v>
      </c>
      <c r="BF119" s="328">
        <v>3033</v>
      </c>
      <c r="BG119" s="328">
        <v>3237</v>
      </c>
      <c r="BH119" s="328">
        <v>3172</v>
      </c>
      <c r="BI119" s="328">
        <v>3092</v>
      </c>
      <c r="BJ119" s="617">
        <f t="shared" si="155"/>
        <v>3092</v>
      </c>
      <c r="BK119" s="620">
        <v>3442</v>
      </c>
      <c r="BL119" s="620">
        <v>3587</v>
      </c>
      <c r="BM119" s="620">
        <v>3447</v>
      </c>
      <c r="BN119" s="620">
        <v>3264</v>
      </c>
      <c r="BO119" s="617">
        <f>BN119</f>
        <v>3264</v>
      </c>
      <c r="BP119" s="620">
        <v>3607</v>
      </c>
      <c r="BQ119" s="620">
        <v>3643</v>
      </c>
      <c r="BR119" s="620">
        <v>3321</v>
      </c>
      <c r="BS119" s="620">
        <v>3277</v>
      </c>
      <c r="BT119" s="617">
        <f>BS119</f>
        <v>3277</v>
      </c>
      <c r="BU119" s="620">
        <v>3357</v>
      </c>
      <c r="BV119" s="616">
        <v>3536</v>
      </c>
      <c r="BW119" s="616">
        <v>3277</v>
      </c>
      <c r="BX119" s="616">
        <v>3100</v>
      </c>
      <c r="BY119" s="617">
        <f t="shared" si="168"/>
        <v>3100</v>
      </c>
      <c r="BZ119" s="616">
        <v>3219</v>
      </c>
      <c r="CA119" s="616">
        <v>3224</v>
      </c>
      <c r="CB119" s="616">
        <v>2910</v>
      </c>
      <c r="CC119" s="616">
        <v>2902</v>
      </c>
      <c r="CD119" s="617">
        <f>CC119</f>
        <v>2902</v>
      </c>
      <c r="CE119" s="616">
        <v>3052</v>
      </c>
      <c r="CF119" s="707">
        <v>3005</v>
      </c>
      <c r="CG119" s="802">
        <v>2751</v>
      </c>
      <c r="CH119" s="616">
        <v>2675</v>
      </c>
      <c r="CI119" s="705">
        <f>CH119</f>
        <v>2675</v>
      </c>
      <c r="CJ119" s="616">
        <v>2885</v>
      </c>
      <c r="CK119" s="616">
        <v>2790</v>
      </c>
      <c r="CL119" s="616">
        <v>2608</v>
      </c>
      <c r="CM119" s="616">
        <v>2655</v>
      </c>
      <c r="CN119" s="705">
        <f>CM119</f>
        <v>2655</v>
      </c>
      <c r="CO119" s="616">
        <v>2937</v>
      </c>
      <c r="CP119" s="707">
        <f>-CP211*4*CP9</f>
        <v>1945.3462547896579</v>
      </c>
      <c r="CQ119" s="707">
        <f>-CQ211*4*CQ9</f>
        <v>1830.3918569464761</v>
      </c>
      <c r="CR119" s="707">
        <f>-CR211*4*CR9</f>
        <v>2121.7894991838252</v>
      </c>
      <c r="CS119" s="705">
        <f>CR119</f>
        <v>2121.7894991838252</v>
      </c>
      <c r="CT119" s="707">
        <f>-CT211*4*CT9</f>
        <v>3340.5810743183379</v>
      </c>
      <c r="CU119" s="707">
        <f>-CU211*4*CU9</f>
        <v>2358.6649573276636</v>
      </c>
      <c r="CV119" s="707">
        <f>-CV211*4*CV9</f>
        <v>2218.4090911864851</v>
      </c>
      <c r="CW119" s="707">
        <f>-CW211*4*CW9</f>
        <v>2480.7282442226656</v>
      </c>
      <c r="CX119" s="705">
        <f>CW119</f>
        <v>2480.7282442226656</v>
      </c>
      <c r="CY119" s="707">
        <f>-CY211*4*CY9</f>
        <v>3789.1003762690261</v>
      </c>
      <c r="CZ119" s="707">
        <f>-CZ211*4*CZ9</f>
        <v>2802.9929298671595</v>
      </c>
      <c r="DA119" s="707">
        <f>-DA211*4*DA9</f>
        <v>2636.1585239496403</v>
      </c>
      <c r="DB119" s="707">
        <f>-DB211*4*DB9</f>
        <v>2869.2861426621394</v>
      </c>
      <c r="DC119" s="705">
        <f t="shared" si="170"/>
        <v>2869.2861426621394</v>
      </c>
      <c r="DD119" s="707">
        <f>-DD211*4*DD9</f>
        <v>4254.1076410276401</v>
      </c>
      <c r="DE119" s="707">
        <f>-DE211*4*DE9</f>
        <v>3266.9250103382151</v>
      </c>
      <c r="DF119" s="707">
        <f>-DF211*4*DF9</f>
        <v>3073.3520731719404</v>
      </c>
      <c r="DG119" s="707">
        <f>-DG211*4*DG9</f>
        <v>3276.9742571045285</v>
      </c>
      <c r="DH119" s="705">
        <f t="shared" si="171"/>
        <v>3276.9742571045285</v>
      </c>
      <c r="DI119" s="707">
        <f>-DI211*4*DI9</f>
        <v>4740.8694468578724</v>
      </c>
      <c r="DJ119" s="707">
        <f>-DJ211*4*DJ9</f>
        <v>3754.0722429529446</v>
      </c>
      <c r="DK119" s="707">
        <f>-DK211*4*DK9</f>
        <v>3532.4798388476247</v>
      </c>
      <c r="DL119" s="707">
        <f>-DL211*4*DL9</f>
        <v>3704.3204809263812</v>
      </c>
      <c r="DM119" s="705">
        <f t="shared" si="172"/>
        <v>3704.3204809263812</v>
      </c>
      <c r="DN119" s="208"/>
    </row>
    <row r="120" spans="1:118" ht="15" x14ac:dyDescent="0.2">
      <c r="A120" s="18" t="s">
        <v>320</v>
      </c>
      <c r="C120" s="330">
        <v>2023</v>
      </c>
      <c r="D120" s="330">
        <v>2095</v>
      </c>
      <c r="E120" s="330">
        <v>1990</v>
      </c>
      <c r="F120" s="330">
        <v>1905</v>
      </c>
      <c r="G120" s="331">
        <v>1990</v>
      </c>
      <c r="H120" s="330">
        <v>2216</v>
      </c>
      <c r="I120" s="330">
        <v>2325</v>
      </c>
      <c r="J120" s="330">
        <v>2151</v>
      </c>
      <c r="K120" s="330">
        <v>2300</v>
      </c>
      <c r="L120" s="331">
        <f t="shared" si="158"/>
        <v>2300</v>
      </c>
      <c r="M120" s="330">
        <v>2117</v>
      </c>
      <c r="N120" s="330">
        <v>1995</v>
      </c>
      <c r="O120" s="330">
        <v>1985</v>
      </c>
      <c r="P120" s="330">
        <v>1616</v>
      </c>
      <c r="Q120" s="331">
        <f t="shared" si="159"/>
        <v>1616</v>
      </c>
      <c r="R120" s="330">
        <v>1759</v>
      </c>
      <c r="S120" s="330">
        <v>1866</v>
      </c>
      <c r="T120" s="330">
        <v>1762</v>
      </c>
      <c r="U120" s="330">
        <v>1571</v>
      </c>
      <c r="V120" s="331">
        <f t="shared" si="160"/>
        <v>1571</v>
      </c>
      <c r="W120" s="330">
        <v>1785</v>
      </c>
      <c r="X120" s="330">
        <v>1700</v>
      </c>
      <c r="Y120" s="330">
        <v>1501</v>
      </c>
      <c r="Z120" s="330">
        <v>1735</v>
      </c>
      <c r="AA120" s="331">
        <f t="shared" si="161"/>
        <v>1735</v>
      </c>
      <c r="AB120" s="330">
        <v>1634</v>
      </c>
      <c r="AC120" s="330">
        <v>1757</v>
      </c>
      <c r="AD120" s="330">
        <v>1810</v>
      </c>
      <c r="AE120" s="330">
        <v>1778</v>
      </c>
      <c r="AF120" s="331">
        <f t="shared" si="162"/>
        <v>1778</v>
      </c>
      <c r="AG120" s="330">
        <v>1832</v>
      </c>
      <c r="AH120" s="330">
        <v>1706</v>
      </c>
      <c r="AI120" s="330">
        <v>1756</v>
      </c>
      <c r="AJ120" s="330">
        <v>1623</v>
      </c>
      <c r="AK120" s="331">
        <f t="shared" si="163"/>
        <v>1623</v>
      </c>
      <c r="AL120" s="330">
        <v>2014</v>
      </c>
      <c r="AM120" s="330">
        <v>1970</v>
      </c>
      <c r="AN120" s="330">
        <v>2120</v>
      </c>
      <c r="AO120" s="330">
        <v>2260</v>
      </c>
      <c r="AP120" s="331">
        <f t="shared" si="164"/>
        <v>2260</v>
      </c>
      <c r="AQ120" s="330">
        <v>2521</v>
      </c>
      <c r="AR120" s="330">
        <v>2628</v>
      </c>
      <c r="AS120" s="330">
        <v>2741</v>
      </c>
      <c r="AT120" s="330">
        <v>1920</v>
      </c>
      <c r="AU120" s="331">
        <f t="shared" si="165"/>
        <v>1920</v>
      </c>
      <c r="AV120" s="330">
        <v>2198</v>
      </c>
      <c r="AW120" s="330">
        <v>2198</v>
      </c>
      <c r="AX120" s="330">
        <v>2061</v>
      </c>
      <c r="AY120" s="330">
        <v>2226</v>
      </c>
      <c r="AZ120" s="331">
        <f t="shared" si="166"/>
        <v>2226</v>
      </c>
      <c r="BA120" s="330">
        <v>2382</v>
      </c>
      <c r="BB120" s="330">
        <v>2044</v>
      </c>
      <c r="BC120" s="330">
        <f>3248+613</f>
        <v>3861</v>
      </c>
      <c r="BD120" s="330">
        <v>3162</v>
      </c>
      <c r="BE120" s="331">
        <f t="shared" si="154"/>
        <v>3162</v>
      </c>
      <c r="BF120" s="330">
        <v>3699</v>
      </c>
      <c r="BG120" s="330">
        <v>3655</v>
      </c>
      <c r="BH120" s="330">
        <v>3391</v>
      </c>
      <c r="BI120" s="330">
        <v>3450</v>
      </c>
      <c r="BJ120" s="622">
        <f t="shared" si="155"/>
        <v>3450</v>
      </c>
      <c r="BK120" s="621">
        <v>3988</v>
      </c>
      <c r="BL120" s="621">
        <v>3375</v>
      </c>
      <c r="BM120" s="621">
        <v>3099</v>
      </c>
      <c r="BN120" s="621">
        <f>2781+2973</f>
        <v>5754</v>
      </c>
      <c r="BO120" s="622">
        <f>BN120</f>
        <v>5754</v>
      </c>
      <c r="BP120" s="630">
        <f>3294+1183</f>
        <v>4477</v>
      </c>
      <c r="BQ120" s="630">
        <f>3055+1145</f>
        <v>4200</v>
      </c>
      <c r="BR120" s="630">
        <v>2680</v>
      </c>
      <c r="BS120" s="630">
        <v>2886</v>
      </c>
      <c r="BT120" s="622">
        <f>BS120</f>
        <v>2886</v>
      </c>
      <c r="BU120" s="630">
        <v>3029</v>
      </c>
      <c r="BV120" s="623">
        <v>2856</v>
      </c>
      <c r="BW120" s="623">
        <f>3277+103</f>
        <v>3380</v>
      </c>
      <c r="BX120" s="623">
        <f>679+3066</f>
        <v>3745</v>
      </c>
      <c r="BY120" s="622">
        <f t="shared" si="168"/>
        <v>3745</v>
      </c>
      <c r="BZ120" s="623">
        <f>3605+785</f>
        <v>4390</v>
      </c>
      <c r="CA120" s="623">
        <f>3159+497</f>
        <v>3656</v>
      </c>
      <c r="CB120" s="623">
        <f>3029+3853</f>
        <v>6882</v>
      </c>
      <c r="CC120" s="623">
        <f>2752+3900</f>
        <v>6652</v>
      </c>
      <c r="CD120" s="622">
        <f>CC120</f>
        <v>6652</v>
      </c>
      <c r="CE120" s="623">
        <f>3314+3786</f>
        <v>7100</v>
      </c>
      <c r="CF120" s="708">
        <v>4025</v>
      </c>
      <c r="CG120" s="803">
        <f>3091+2463</f>
        <v>5554</v>
      </c>
      <c r="CH120" s="623">
        <f>2481+2797</f>
        <v>5278</v>
      </c>
      <c r="CI120" s="709">
        <f>CH120</f>
        <v>5278</v>
      </c>
      <c r="CJ120" s="623">
        <f>2670+5789</f>
        <v>8459</v>
      </c>
      <c r="CK120" s="623">
        <f>2866+2057</f>
        <v>4923</v>
      </c>
      <c r="CL120" s="623">
        <f>2993+1782</f>
        <v>4775</v>
      </c>
      <c r="CM120" s="623">
        <f>2000+219+7329</f>
        <v>9548</v>
      </c>
      <c r="CN120" s="709">
        <f>CM120</f>
        <v>9548</v>
      </c>
      <c r="CO120" s="623">
        <f>2449+213+7166</f>
        <v>9828</v>
      </c>
      <c r="CP120" s="708">
        <f>CP213*4*CP5</f>
        <v>4432.8655519262029</v>
      </c>
      <c r="CQ120" s="708">
        <f>CQ213*4*CQ5</f>
        <v>4365.4023001346231</v>
      </c>
      <c r="CR120" s="708">
        <f>CR213*4*CR5</f>
        <v>9361.4401778355859</v>
      </c>
      <c r="CS120" s="709">
        <f>CR120</f>
        <v>9361.4401778355859</v>
      </c>
      <c r="CT120" s="708">
        <f>CT213*4*CT5</f>
        <v>10191.89125298752</v>
      </c>
      <c r="CU120" s="708">
        <f>CU213*4*CU5</f>
        <v>4611.9398410918238</v>
      </c>
      <c r="CV120" s="708">
        <f>CV213*4*CV5</f>
        <v>4546.2326797527785</v>
      </c>
      <c r="CW120" s="708">
        <f>CW213*4*CW5</f>
        <v>9769.5498922093684</v>
      </c>
      <c r="CX120" s="709">
        <f>CW120</f>
        <v>9769.5498922093684</v>
      </c>
      <c r="CY120" s="708">
        <f>CY213*4*CY5</f>
        <v>10605.12786612841</v>
      </c>
      <c r="CZ120" s="708">
        <f>CZ213*4*CZ5</f>
        <v>4797.2609177223394</v>
      </c>
      <c r="DA120" s="708">
        <f>DA213*4*DA5</f>
        <v>4733.4055023178162</v>
      </c>
      <c r="DB120" s="708">
        <f>DB213*4*DB5</f>
        <v>10192.066641109248</v>
      </c>
      <c r="DC120" s="709">
        <f t="shared" si="170"/>
        <v>10192.066641109248</v>
      </c>
      <c r="DD120" s="708">
        <f>DD213*4*DD5</f>
        <v>10984.934984998008</v>
      </c>
      <c r="DE120" s="708">
        <f>DE213*4*DE5</f>
        <v>4968.6892264144726</v>
      </c>
      <c r="DF120" s="708">
        <f>DF213*4*DF5</f>
        <v>4907.6983914831198</v>
      </c>
      <c r="DG120" s="708">
        <f>DG213*4*DG5</f>
        <v>10589.969043400279</v>
      </c>
      <c r="DH120" s="709">
        <f t="shared" si="171"/>
        <v>10589.969043400279</v>
      </c>
      <c r="DI120" s="708">
        <f>DI213*4*DI5</f>
        <v>11358.617465674022</v>
      </c>
      <c r="DJ120" s="708">
        <f>DJ213*4*DJ5</f>
        <v>5137.9771350451092</v>
      </c>
      <c r="DK120" s="708">
        <f>DK213*4*DK5</f>
        <v>5079.2014571213967</v>
      </c>
      <c r="DL120" s="708">
        <f>DL213*4*DL5</f>
        <v>10978.276600905912</v>
      </c>
      <c r="DM120" s="709">
        <f t="shared" si="172"/>
        <v>10978.276600905912</v>
      </c>
      <c r="DN120" s="208"/>
    </row>
    <row r="121" spans="1:118" ht="15.75" x14ac:dyDescent="0.25">
      <c r="B121" s="20" t="s">
        <v>60</v>
      </c>
      <c r="C121" s="333"/>
      <c r="D121" s="333"/>
      <c r="E121" s="333"/>
      <c r="F121" s="333"/>
      <c r="G121" s="334"/>
      <c r="H121" s="333">
        <f>SUM(H115:H120)+H114</f>
        <v>7763</v>
      </c>
      <c r="I121" s="333">
        <f>SUM(I115:I120)+I114</f>
        <v>8044</v>
      </c>
      <c r="J121" s="333">
        <f>SUM(J115:J120)+J114</f>
        <v>7665</v>
      </c>
      <c r="K121" s="333">
        <f t="shared" ref="K121:AT121" si="175">SUM(K115:K120)+K114</f>
        <v>7171</v>
      </c>
      <c r="L121" s="334">
        <f>SUM(L115:L120)+L114</f>
        <v>7171</v>
      </c>
      <c r="M121" s="333">
        <f t="shared" si="175"/>
        <v>7749</v>
      </c>
      <c r="N121" s="333">
        <f t="shared" si="175"/>
        <v>8550</v>
      </c>
      <c r="O121" s="333">
        <f t="shared" si="175"/>
        <v>8248</v>
      </c>
      <c r="P121" s="333">
        <f t="shared" si="175"/>
        <v>7352</v>
      </c>
      <c r="Q121" s="334">
        <f>SUM(Q115:Q120)+Q114</f>
        <v>7352</v>
      </c>
      <c r="R121" s="333">
        <f t="shared" si="175"/>
        <v>8403</v>
      </c>
      <c r="S121" s="333">
        <f t="shared" si="175"/>
        <v>9225</v>
      </c>
      <c r="T121" s="333">
        <f t="shared" si="175"/>
        <v>9044</v>
      </c>
      <c r="U121" s="333">
        <f t="shared" si="175"/>
        <v>8396</v>
      </c>
      <c r="V121" s="334">
        <f>SUM(V115:V120)+V114</f>
        <v>8396</v>
      </c>
      <c r="W121" s="333">
        <f t="shared" si="175"/>
        <v>9627</v>
      </c>
      <c r="X121" s="333">
        <f t="shared" si="175"/>
        <v>10512</v>
      </c>
      <c r="Y121" s="333">
        <f t="shared" si="175"/>
        <v>10420</v>
      </c>
      <c r="Z121" s="333">
        <f t="shared" si="175"/>
        <v>12094</v>
      </c>
      <c r="AA121" s="334">
        <f>SUM(AA115:AA120)+AA114</f>
        <v>12094</v>
      </c>
      <c r="AB121" s="333">
        <f t="shared" si="175"/>
        <v>12286</v>
      </c>
      <c r="AC121" s="333">
        <f t="shared" si="175"/>
        <v>10593</v>
      </c>
      <c r="AD121" s="333">
        <f t="shared" si="175"/>
        <v>10520</v>
      </c>
      <c r="AE121" s="333">
        <f t="shared" si="175"/>
        <v>10250</v>
      </c>
      <c r="AF121" s="334">
        <f>SUM(AF115:AF120)+AF114</f>
        <v>10250</v>
      </c>
      <c r="AG121" s="333">
        <f t="shared" si="175"/>
        <v>10110</v>
      </c>
      <c r="AH121" s="333">
        <f t="shared" si="175"/>
        <v>10053</v>
      </c>
      <c r="AI121" s="333">
        <f t="shared" si="175"/>
        <v>9360</v>
      </c>
      <c r="AJ121" s="333">
        <f t="shared" si="175"/>
        <v>8441</v>
      </c>
      <c r="AK121" s="334">
        <f>SUM(AK115:AK120)+AK114</f>
        <v>8441</v>
      </c>
      <c r="AL121" s="333">
        <f t="shared" si="175"/>
        <v>10487</v>
      </c>
      <c r="AM121" s="333">
        <f t="shared" si="175"/>
        <v>11912</v>
      </c>
      <c r="AN121" s="333">
        <f t="shared" si="175"/>
        <v>12095</v>
      </c>
      <c r="AO121" s="333">
        <f t="shared" si="175"/>
        <v>12105</v>
      </c>
      <c r="AP121" s="334">
        <f>SUM(AP115:AP120)+AP114</f>
        <v>12105</v>
      </c>
      <c r="AQ121" s="333">
        <f t="shared" si="175"/>
        <v>14888</v>
      </c>
      <c r="AR121" s="333">
        <f t="shared" si="175"/>
        <v>16089</v>
      </c>
      <c r="AS121" s="333">
        <f t="shared" si="175"/>
        <v>16820</v>
      </c>
      <c r="AT121" s="333">
        <f t="shared" si="175"/>
        <v>12176</v>
      </c>
      <c r="AU121" s="334">
        <f>SUM(AU115:AU120)+AU114</f>
        <v>12176</v>
      </c>
      <c r="AV121" s="333">
        <f>SUM(AV114:AV120)</f>
        <v>14714</v>
      </c>
      <c r="AW121" s="333">
        <f>SUM(AW114:AW120)</f>
        <v>16372</v>
      </c>
      <c r="AX121" s="333">
        <f>SUM(AX114:AX120)</f>
        <v>16992</v>
      </c>
      <c r="AY121" s="333">
        <f>SUM(AY114:AY120)</f>
        <v>17551</v>
      </c>
      <c r="AZ121" s="334">
        <f>SUM(AZ115:AZ120)+AZ114</f>
        <v>17551</v>
      </c>
      <c r="BA121" s="333">
        <f>SUM(BA114:BA120)</f>
        <v>17208</v>
      </c>
      <c r="BB121" s="333">
        <f>SUM(BB114:BB120)</f>
        <v>18574</v>
      </c>
      <c r="BC121" s="333">
        <f>SUM(BC114:BC120)</f>
        <v>23105</v>
      </c>
      <c r="BD121" s="333">
        <f>SUM(BD114:BD120)</f>
        <v>21579</v>
      </c>
      <c r="BE121" s="334">
        <f>SUM(BE115:BE120)+BE114</f>
        <v>21579</v>
      </c>
      <c r="BF121" s="333">
        <f>SUM(BF114:BF120)</f>
        <v>23542</v>
      </c>
      <c r="BG121" s="333">
        <f>SUM(BG114:BG120)</f>
        <v>26539</v>
      </c>
      <c r="BH121" s="333">
        <f>SUM(BH114:BH120)</f>
        <v>28191</v>
      </c>
      <c r="BI121" s="333">
        <f>SUM(BI114:BI120)</f>
        <v>25497</v>
      </c>
      <c r="BJ121" s="610">
        <f>SUM(BJ115:BJ120)+BJ114</f>
        <v>25497</v>
      </c>
      <c r="BK121" s="611">
        <f>SUM(BK114:BK120)</f>
        <v>28023</v>
      </c>
      <c r="BL121" s="611">
        <f>SUM(BL114:BL120)</f>
        <v>29325</v>
      </c>
      <c r="BM121" s="611">
        <f>SUM(BM114:BM120)</f>
        <v>29712</v>
      </c>
      <c r="BN121" s="611">
        <f>SUM(BN114:BN120)</f>
        <v>30328</v>
      </c>
      <c r="BO121" s="610">
        <f>SUM(BO115:BO120)+BO114</f>
        <v>30328</v>
      </c>
      <c r="BP121" s="611">
        <f>SUM(BP114:BP120)</f>
        <v>31519</v>
      </c>
      <c r="BQ121" s="611">
        <f>SUM(BQ114:BQ120)</f>
        <v>32572</v>
      </c>
      <c r="BR121" s="612">
        <f>SUM(BR114:BR120)</f>
        <v>31576</v>
      </c>
      <c r="BS121" s="612">
        <f>SUM(BS114:BS120)</f>
        <v>31304</v>
      </c>
      <c r="BT121" s="613">
        <f>SUM(BT115:BT120)+BT114</f>
        <v>31304</v>
      </c>
      <c r="BU121" s="614">
        <f>SUM(BU114:BU120)</f>
        <v>31052</v>
      </c>
      <c r="BV121" s="614">
        <f>SUM(BV114:BV120)</f>
        <v>33871</v>
      </c>
      <c r="BW121" s="614">
        <f>SUM(BW114:BW120)</f>
        <v>35452</v>
      </c>
      <c r="BX121" s="614">
        <f>SUM(BX114:BX120)</f>
        <v>32986</v>
      </c>
      <c r="BY121" s="613">
        <f>SUM(BY115:BY120)+BY114</f>
        <v>32986</v>
      </c>
      <c r="BZ121" s="614">
        <f>SUM(BZ114:BZ120)</f>
        <v>32119</v>
      </c>
      <c r="CA121" s="614">
        <f>SUM(CA114:CA120)</f>
        <v>32803</v>
      </c>
      <c r="CB121" s="614">
        <f>SUM(CB114:CB120)</f>
        <v>36594</v>
      </c>
      <c r="CC121" s="614">
        <f>SUM(CC114:CC120)</f>
        <v>33395</v>
      </c>
      <c r="CD121" s="613">
        <f>SUM(CD115:CD120)+CD114</f>
        <v>33395</v>
      </c>
      <c r="CE121" s="614">
        <f>SUM(CE114:CE120)</f>
        <v>36510</v>
      </c>
      <c r="CF121" s="710">
        <f>SUM(CF114:CF120)</f>
        <v>35873</v>
      </c>
      <c r="CG121" s="804">
        <f>SUM(CG114:CG120)</f>
        <v>37956</v>
      </c>
      <c r="CH121" s="614">
        <f>SUM(CH114:CH120)</f>
        <v>34010</v>
      </c>
      <c r="CI121" s="711">
        <f>SUM(CI115:CI120)+CI114</f>
        <v>34010</v>
      </c>
      <c r="CJ121" s="614">
        <f>SUM(CJ114:CJ120)</f>
        <v>40251</v>
      </c>
      <c r="CK121" s="614">
        <f>SUM(CK114:CK120)</f>
        <v>38961</v>
      </c>
      <c r="CL121" s="614">
        <f>SUM(CL114:CL120)</f>
        <v>38404</v>
      </c>
      <c r="CM121" s="614">
        <f>SUM(CM114:CM120)</f>
        <v>36545</v>
      </c>
      <c r="CN121" s="711">
        <f>SUM(CN115:CN120)+CN114</f>
        <v>36545</v>
      </c>
      <c r="CO121" s="614">
        <f>SUM(CO114:CO120)</f>
        <v>38042</v>
      </c>
      <c r="CP121" s="710">
        <f ca="1">SUM(CP114:CP120)</f>
        <v>35268.501863676342</v>
      </c>
      <c r="CQ121" s="710">
        <f ca="1">SUM(CQ114:CQ120)</f>
        <v>31799.111361754862</v>
      </c>
      <c r="CR121" s="710">
        <f ca="1">SUM(CR114:CR120)</f>
        <v>32762.678693822239</v>
      </c>
      <c r="CS121" s="711">
        <f ca="1">SUM(CS115:CS120)+CS114</f>
        <v>32762.678693822239</v>
      </c>
      <c r="CT121" s="710">
        <f ca="1">SUM(CT114:CT120)</f>
        <v>32586.524602914877</v>
      </c>
      <c r="CU121" s="710">
        <f ca="1">SUM(CU114:CU120)</f>
        <v>28433.780431191757</v>
      </c>
      <c r="CV121" s="710">
        <f ca="1">SUM(CV114:CV120)</f>
        <v>28626.005376299854</v>
      </c>
      <c r="CW121" s="710">
        <f ca="1">SUM(CW114:CW120)</f>
        <v>33285.727827721261</v>
      </c>
      <c r="CX121" s="711">
        <f ca="1">SUM(CX115:CX120)+CX114</f>
        <v>33285.727827721261</v>
      </c>
      <c r="CY121" s="710">
        <f ca="1">SUM(CY114:CY120)</f>
        <v>34296.224820092124</v>
      </c>
      <c r="CZ121" s="710">
        <f ca="1">SUM(CZ114:CZ120)</f>
        <v>30080.815365617731</v>
      </c>
      <c r="DA121" s="710">
        <f ca="1">SUM(DA114:DA120)</f>
        <v>30263.720776698581</v>
      </c>
      <c r="DB121" s="710">
        <f ca="1">SUM(DB114:DB120)</f>
        <v>35121.368312411141</v>
      </c>
      <c r="DC121" s="711">
        <f ca="1">SUM(DC115:DC120)+DC114</f>
        <v>35121.368312411141</v>
      </c>
      <c r="DD121" s="710">
        <f ca="1">SUM(DD114:DD120)</f>
        <v>36020.770833146351</v>
      </c>
      <c r="DE121" s="710">
        <f ca="1">SUM(DE114:DE120)</f>
        <v>31710.250937300145</v>
      </c>
      <c r="DF121" s="710">
        <f ca="1">SUM(DF114:DF120)</f>
        <v>31924.849518007453</v>
      </c>
      <c r="DG121" s="710">
        <f ca="1">SUM(DG114:DG120)</f>
        <v>37010.487360056672</v>
      </c>
      <c r="DH121" s="711">
        <f ca="1">SUM(DH115:DH120)+DH114</f>
        <v>37010.487360056672</v>
      </c>
      <c r="DI121" s="710">
        <f ca="1">SUM(DI114:DI120)</f>
        <v>37804.13469892252</v>
      </c>
      <c r="DJ121" s="710">
        <f ca="1">SUM(DJ114:DJ120)</f>
        <v>33438.371985581522</v>
      </c>
      <c r="DK121" s="710">
        <f ca="1">SUM(DK114:DK120)</f>
        <v>33693.509296056029</v>
      </c>
      <c r="DL121" s="710">
        <f ca="1">SUM(DL114:DL120)</f>
        <v>39007.661383126651</v>
      </c>
      <c r="DM121" s="711">
        <f ca="1">SUM(DM115:DM120)+DM114</f>
        <v>39007.661383126651</v>
      </c>
      <c r="DN121" s="233"/>
    </row>
    <row r="122" spans="1:118" ht="15" x14ac:dyDescent="0.2">
      <c r="C122" s="328"/>
      <c r="D122" s="328"/>
      <c r="E122" s="328"/>
      <c r="F122" s="328"/>
      <c r="G122" s="326"/>
      <c r="H122" s="328"/>
      <c r="I122" s="328"/>
      <c r="J122" s="328"/>
      <c r="K122" s="328"/>
      <c r="L122" s="326"/>
      <c r="M122" s="328"/>
      <c r="N122" s="328"/>
      <c r="O122" s="328"/>
      <c r="P122" s="328"/>
      <c r="Q122" s="326"/>
      <c r="R122" s="328"/>
      <c r="S122" s="328"/>
      <c r="T122" s="328"/>
      <c r="U122" s="328"/>
      <c r="V122" s="326"/>
      <c r="W122" s="328"/>
      <c r="X122" s="328"/>
      <c r="Y122" s="328"/>
      <c r="Z122" s="328"/>
      <c r="AA122" s="326"/>
      <c r="AB122" s="328"/>
      <c r="AC122" s="328"/>
      <c r="AD122" s="328"/>
      <c r="AE122" s="328"/>
      <c r="AF122" s="326"/>
      <c r="AG122" s="328"/>
      <c r="AH122" s="328"/>
      <c r="AI122" s="328"/>
      <c r="AJ122" s="328"/>
      <c r="AK122" s="326"/>
      <c r="AL122" s="328"/>
      <c r="AM122" s="328"/>
      <c r="AN122" s="328"/>
      <c r="AO122" s="328"/>
      <c r="AP122" s="326"/>
      <c r="AQ122" s="328"/>
      <c r="AR122" s="328"/>
      <c r="AS122" s="328"/>
      <c r="AT122" s="328"/>
      <c r="AU122" s="326"/>
      <c r="AV122" s="328"/>
      <c r="AW122" s="328"/>
      <c r="AX122" s="328"/>
      <c r="AY122" s="328"/>
      <c r="AZ122" s="326"/>
      <c r="BA122" s="328"/>
      <c r="BB122" s="328"/>
      <c r="BC122" s="328"/>
      <c r="BD122" s="328"/>
      <c r="BE122" s="326"/>
      <c r="BF122" s="329"/>
      <c r="BG122" s="329"/>
      <c r="BH122" s="329"/>
      <c r="BI122" s="329"/>
      <c r="BJ122" s="592"/>
      <c r="BK122" s="609"/>
      <c r="BL122" s="609"/>
      <c r="BM122" s="609"/>
      <c r="BN122" s="609"/>
      <c r="BO122" s="592"/>
      <c r="BP122" s="609"/>
      <c r="BQ122" s="609"/>
      <c r="BR122" s="616"/>
      <c r="BS122" s="616"/>
      <c r="BT122" s="617"/>
      <c r="BU122" s="616"/>
      <c r="BV122" s="616"/>
      <c r="BW122" s="616"/>
      <c r="BX122" s="616"/>
      <c r="BY122" s="617"/>
      <c r="BZ122" s="616"/>
      <c r="CA122" s="616"/>
      <c r="CB122" s="616"/>
      <c r="CC122" s="616"/>
      <c r="CD122" s="617"/>
      <c r="CE122" s="616"/>
      <c r="CF122" s="707"/>
      <c r="CG122" s="802"/>
      <c r="CH122" s="707"/>
      <c r="CI122" s="705"/>
      <c r="CJ122" s="707"/>
      <c r="CK122" s="707"/>
      <c r="CL122" s="707"/>
      <c r="CM122" s="707"/>
      <c r="CN122" s="705"/>
      <c r="CO122" s="707"/>
      <c r="CP122" s="707"/>
      <c r="CQ122" s="707"/>
      <c r="CR122" s="707"/>
      <c r="CS122" s="705"/>
      <c r="CT122" s="707"/>
      <c r="CU122" s="707"/>
      <c r="CV122" s="707"/>
      <c r="CW122" s="707"/>
      <c r="CX122" s="705"/>
      <c r="CY122" s="707"/>
      <c r="CZ122" s="707"/>
      <c r="DA122" s="707"/>
      <c r="DB122" s="707"/>
      <c r="DC122" s="705"/>
      <c r="DD122" s="707"/>
      <c r="DE122" s="707"/>
      <c r="DF122" s="707"/>
      <c r="DG122" s="707"/>
      <c r="DH122" s="705"/>
      <c r="DI122" s="707"/>
      <c r="DJ122" s="707"/>
      <c r="DK122" s="707"/>
      <c r="DL122" s="707"/>
      <c r="DM122" s="705"/>
      <c r="DN122" s="233"/>
    </row>
    <row r="123" spans="1:118" ht="15" x14ac:dyDescent="0.2">
      <c r="A123" s="18" t="s">
        <v>321</v>
      </c>
      <c r="C123" s="325">
        <v>6020</v>
      </c>
      <c r="D123" s="325">
        <v>5961</v>
      </c>
      <c r="E123" s="325">
        <v>6036</v>
      </c>
      <c r="F123" s="325">
        <v>5246</v>
      </c>
      <c r="G123" s="326">
        <v>5246</v>
      </c>
      <c r="H123" s="325">
        <v>5314</v>
      </c>
      <c r="I123" s="325">
        <v>5258</v>
      </c>
      <c r="J123" s="325">
        <v>5401</v>
      </c>
      <c r="K123" s="325">
        <v>5128</v>
      </c>
      <c r="L123" s="326">
        <f t="shared" ref="L123:L129" si="176">K123</f>
        <v>5128</v>
      </c>
      <c r="M123" s="325">
        <v>4292</v>
      </c>
      <c r="N123" s="325">
        <v>4529</v>
      </c>
      <c r="O123" s="325">
        <v>4532</v>
      </c>
      <c r="P123" s="325">
        <v>4737</v>
      </c>
      <c r="Q123" s="326">
        <f t="shared" ref="Q123:Q129" si="177">P123</f>
        <v>4737</v>
      </c>
      <c r="R123" s="325">
        <v>4710</v>
      </c>
      <c r="S123" s="325">
        <v>5161</v>
      </c>
      <c r="T123" s="325">
        <v>5108</v>
      </c>
      <c r="U123" s="325">
        <v>5224</v>
      </c>
      <c r="V123" s="326">
        <f t="shared" ref="V123:V129" si="178">U123</f>
        <v>5224</v>
      </c>
      <c r="W123" s="325">
        <v>5349</v>
      </c>
      <c r="X123" s="325">
        <v>5423</v>
      </c>
      <c r="Y123" s="325">
        <v>5567</v>
      </c>
      <c r="Z123" s="325">
        <v>5897</v>
      </c>
      <c r="AA123" s="326">
        <f t="shared" ref="AA123:AA129" si="179">Z123</f>
        <v>5897</v>
      </c>
      <c r="AB123" s="325">
        <v>6089</v>
      </c>
      <c r="AC123" s="325">
        <v>6354</v>
      </c>
      <c r="AD123" s="325">
        <v>6466</v>
      </c>
      <c r="AE123" s="325">
        <v>6562</v>
      </c>
      <c r="AF123" s="326">
        <f t="shared" ref="AF123:AF129" si="180">AE123</f>
        <v>6562</v>
      </c>
      <c r="AG123" s="325">
        <v>6599</v>
      </c>
      <c r="AH123" s="325">
        <v>6774</v>
      </c>
      <c r="AI123" s="325">
        <v>6974</v>
      </c>
      <c r="AJ123" s="325">
        <v>6310</v>
      </c>
      <c r="AK123" s="326">
        <f t="shared" ref="AK123:AK129" si="181">AJ123</f>
        <v>6310</v>
      </c>
      <c r="AL123" s="325">
        <v>6006</v>
      </c>
      <c r="AM123" s="325">
        <v>6292</v>
      </c>
      <c r="AN123" s="325">
        <v>6602</v>
      </c>
      <c r="AO123" s="325">
        <v>7289</v>
      </c>
      <c r="AP123" s="326">
        <f t="shared" ref="AP123:AP129" si="182">AO123</f>
        <v>7289</v>
      </c>
      <c r="AQ123" s="325">
        <v>7573</v>
      </c>
      <c r="AR123" s="325">
        <v>6815</v>
      </c>
      <c r="AS123" s="325">
        <v>6891</v>
      </c>
      <c r="AT123" s="325">
        <v>5316</v>
      </c>
      <c r="AU123" s="326">
        <f t="shared" ref="AU123:AU129" si="183">AT123</f>
        <v>5316</v>
      </c>
      <c r="AV123" s="325">
        <v>5316</v>
      </c>
      <c r="AW123" s="325">
        <v>5804</v>
      </c>
      <c r="AX123" s="325">
        <v>5985</v>
      </c>
      <c r="AY123" s="325">
        <v>6217</v>
      </c>
      <c r="AZ123" s="326">
        <f t="shared" ref="AZ123:AZ129" si="184">AY123</f>
        <v>6217</v>
      </c>
      <c r="BA123" s="325">
        <v>6230</v>
      </c>
      <c r="BB123" s="325">
        <v>6199</v>
      </c>
      <c r="BC123" s="325">
        <v>6870</v>
      </c>
      <c r="BD123" s="325">
        <v>6954</v>
      </c>
      <c r="BE123" s="326">
        <f t="shared" ref="BE123:BE129" si="185">BD123</f>
        <v>6954</v>
      </c>
      <c r="BF123" s="325">
        <v>6940</v>
      </c>
      <c r="BG123" s="325">
        <v>7069</v>
      </c>
      <c r="BH123" s="325">
        <v>7073</v>
      </c>
      <c r="BI123" s="325">
        <v>7233</v>
      </c>
      <c r="BJ123" s="592">
        <f t="shared" ref="BJ123:BJ129" si="186">BI123</f>
        <v>7233</v>
      </c>
      <c r="BK123" s="608">
        <v>7594</v>
      </c>
      <c r="BL123" s="608">
        <v>7838</v>
      </c>
      <c r="BM123" s="608">
        <v>8538</v>
      </c>
      <c r="BN123" s="608">
        <v>9216</v>
      </c>
      <c r="BO123" s="592">
        <f>BN123</f>
        <v>9216</v>
      </c>
      <c r="BP123" s="608">
        <v>9850</v>
      </c>
      <c r="BQ123" s="608">
        <v>9511</v>
      </c>
      <c r="BR123" s="618">
        <v>10385</v>
      </c>
      <c r="BS123" s="618">
        <v>10393</v>
      </c>
      <c r="BT123" s="617">
        <f>BS123</f>
        <v>10393</v>
      </c>
      <c r="BU123" s="619">
        <v>10283</v>
      </c>
      <c r="BV123" s="619">
        <v>10857</v>
      </c>
      <c r="BW123" s="619">
        <v>10582</v>
      </c>
      <c r="BX123" s="619">
        <v>9947</v>
      </c>
      <c r="BY123" s="617">
        <f>BX123</f>
        <v>9947</v>
      </c>
      <c r="BZ123" s="619">
        <v>9851</v>
      </c>
      <c r="CA123" s="619">
        <v>12771</v>
      </c>
      <c r="CB123" s="619">
        <v>12504</v>
      </c>
      <c r="CC123" s="619">
        <v>12318</v>
      </c>
      <c r="CD123" s="617">
        <f>CC123</f>
        <v>12318</v>
      </c>
      <c r="CE123" s="619">
        <v>12610</v>
      </c>
      <c r="CF123" s="704">
        <v>16215</v>
      </c>
      <c r="CG123" s="805">
        <v>16917</v>
      </c>
      <c r="CH123" s="619">
        <v>16260</v>
      </c>
      <c r="CI123" s="705">
        <f>CH123</f>
        <v>16260</v>
      </c>
      <c r="CJ123" s="619">
        <v>16753</v>
      </c>
      <c r="CK123" s="619">
        <v>20845</v>
      </c>
      <c r="CL123" s="619">
        <v>21644</v>
      </c>
      <c r="CM123" s="619">
        <v>20856</v>
      </c>
      <c r="CN123" s="705">
        <f>CM123</f>
        <v>20856</v>
      </c>
      <c r="CO123" s="619">
        <v>21478</v>
      </c>
      <c r="CP123" s="704">
        <f t="shared" ref="CP123:DB123" si="187">CO123+CP66-CP66</f>
        <v>21478</v>
      </c>
      <c r="CQ123" s="704">
        <f t="shared" si="187"/>
        <v>21478</v>
      </c>
      <c r="CR123" s="704">
        <f t="shared" si="187"/>
        <v>21478</v>
      </c>
      <c r="CS123" s="705">
        <f>CR123</f>
        <v>21478</v>
      </c>
      <c r="CT123" s="704">
        <f>CS123+CT66-CT66</f>
        <v>21478</v>
      </c>
      <c r="CU123" s="704">
        <f t="shared" si="187"/>
        <v>21478</v>
      </c>
      <c r="CV123" s="704">
        <f t="shared" si="187"/>
        <v>21478</v>
      </c>
      <c r="CW123" s="704">
        <f t="shared" si="187"/>
        <v>21478</v>
      </c>
      <c r="CX123" s="705">
        <f>CW123</f>
        <v>21478</v>
      </c>
      <c r="CY123" s="704">
        <f>CX123+CY66-CY66</f>
        <v>21478</v>
      </c>
      <c r="CZ123" s="704">
        <f t="shared" si="187"/>
        <v>21478</v>
      </c>
      <c r="DA123" s="704">
        <f t="shared" si="187"/>
        <v>21478</v>
      </c>
      <c r="DB123" s="704">
        <f t="shared" si="187"/>
        <v>21478</v>
      </c>
      <c r="DC123" s="705">
        <f>DB123</f>
        <v>21478</v>
      </c>
      <c r="DD123" s="704">
        <f>DC123+DD66-DD66</f>
        <v>21478</v>
      </c>
      <c r="DE123" s="704">
        <f>DD123+DE66-DE66</f>
        <v>21478</v>
      </c>
      <c r="DF123" s="704">
        <f>DE123+DF66-DF66</f>
        <v>21478</v>
      </c>
      <c r="DG123" s="704">
        <f>DF123+DG66-DG66</f>
        <v>21478</v>
      </c>
      <c r="DH123" s="705">
        <f>DG123</f>
        <v>21478</v>
      </c>
      <c r="DI123" s="704">
        <f>DH123+DI66-DI66</f>
        <v>21478</v>
      </c>
      <c r="DJ123" s="704">
        <f>DI123+DJ66-DJ66</f>
        <v>21478</v>
      </c>
      <c r="DK123" s="704">
        <f>DJ123+DK66-DK66</f>
        <v>21478</v>
      </c>
      <c r="DL123" s="704">
        <f>DK123+DL66-DL66</f>
        <v>21478</v>
      </c>
      <c r="DM123" s="705">
        <f>DL123</f>
        <v>21478</v>
      </c>
      <c r="DN123" s="208"/>
    </row>
    <row r="124" spans="1:118" ht="15" x14ac:dyDescent="0.2">
      <c r="A124" s="18" t="s">
        <v>322</v>
      </c>
      <c r="C124" s="328">
        <v>340</v>
      </c>
      <c r="D124" s="328">
        <v>474</v>
      </c>
      <c r="E124" s="328">
        <v>490</v>
      </c>
      <c r="F124" s="328">
        <v>519</v>
      </c>
      <c r="G124" s="326">
        <v>395</v>
      </c>
      <c r="H124" s="328">
        <v>697</v>
      </c>
      <c r="I124" s="328">
        <v>450</v>
      </c>
      <c r="J124" s="328">
        <v>446</v>
      </c>
      <c r="K124" s="328">
        <v>294</v>
      </c>
      <c r="L124" s="326">
        <f t="shared" si="176"/>
        <v>294</v>
      </c>
      <c r="M124" s="328">
        <v>285</v>
      </c>
      <c r="N124" s="328">
        <v>275</v>
      </c>
      <c r="O124" s="328">
        <v>250</v>
      </c>
      <c r="P124" s="328">
        <v>254</v>
      </c>
      <c r="Q124" s="326">
        <f t="shared" si="177"/>
        <v>254</v>
      </c>
      <c r="R124" s="328">
        <v>238</v>
      </c>
      <c r="S124" s="328">
        <v>252</v>
      </c>
      <c r="T124" s="328">
        <v>283</v>
      </c>
      <c r="U124" s="328">
        <v>314</v>
      </c>
      <c r="V124" s="326">
        <f t="shared" si="178"/>
        <v>314</v>
      </c>
      <c r="W124" s="328">
        <v>326</v>
      </c>
      <c r="X124" s="328">
        <v>334</v>
      </c>
      <c r="Y124" s="328">
        <v>323</v>
      </c>
      <c r="Z124" s="328">
        <v>355</v>
      </c>
      <c r="AA124" s="326">
        <f t="shared" si="179"/>
        <v>355</v>
      </c>
      <c r="AB124" s="328">
        <v>355</v>
      </c>
      <c r="AC124" s="328">
        <v>356</v>
      </c>
      <c r="AD124" s="328">
        <v>393</v>
      </c>
      <c r="AE124" s="328">
        <v>360</v>
      </c>
      <c r="AF124" s="326">
        <f t="shared" si="180"/>
        <v>360</v>
      </c>
      <c r="AG124" s="328">
        <v>367</v>
      </c>
      <c r="AH124" s="328">
        <v>362</v>
      </c>
      <c r="AI124" s="328">
        <v>421</v>
      </c>
      <c r="AJ124" s="328">
        <v>473</v>
      </c>
      <c r="AK124" s="326">
        <f t="shared" si="181"/>
        <v>473</v>
      </c>
      <c r="AL124" s="328">
        <v>501</v>
      </c>
      <c r="AM124" s="328">
        <v>540</v>
      </c>
      <c r="AN124" s="328">
        <v>504</v>
      </c>
      <c r="AO124" s="328">
        <v>488</v>
      </c>
      <c r="AP124" s="326">
        <f t="shared" si="182"/>
        <v>488</v>
      </c>
      <c r="AQ124" s="328">
        <v>549</v>
      </c>
      <c r="AR124" s="328">
        <v>552</v>
      </c>
      <c r="AS124" s="328">
        <v>530</v>
      </c>
      <c r="AT124" s="328">
        <v>463</v>
      </c>
      <c r="AU124" s="326">
        <f t="shared" si="183"/>
        <v>463</v>
      </c>
      <c r="AV124" s="328">
        <v>441</v>
      </c>
      <c r="AW124" s="328">
        <v>488</v>
      </c>
      <c r="AX124" s="328">
        <v>496</v>
      </c>
      <c r="AY124" s="328">
        <v>538</v>
      </c>
      <c r="AZ124" s="326">
        <f t="shared" si="184"/>
        <v>538</v>
      </c>
      <c r="BA124" s="328">
        <v>519</v>
      </c>
      <c r="BB124" s="328">
        <v>539</v>
      </c>
      <c r="BC124" s="328">
        <v>610</v>
      </c>
      <c r="BD124" s="328">
        <v>631</v>
      </c>
      <c r="BE124" s="326">
        <f t="shared" si="185"/>
        <v>631</v>
      </c>
      <c r="BF124" s="328">
        <v>648</v>
      </c>
      <c r="BG124" s="328">
        <v>1387</v>
      </c>
      <c r="BH124" s="328">
        <v>1264</v>
      </c>
      <c r="BI124" s="328">
        <v>1141</v>
      </c>
      <c r="BJ124" s="592">
        <f t="shared" si="186"/>
        <v>1141</v>
      </c>
      <c r="BK124" s="591">
        <v>1317</v>
      </c>
      <c r="BL124" s="591">
        <v>1398</v>
      </c>
      <c r="BM124" s="591">
        <v>1612</v>
      </c>
      <c r="BN124" s="591">
        <v>1232</v>
      </c>
      <c r="BO124" s="592">
        <f t="shared" ref="BO124:CX124" si="188">BN124</f>
        <v>1232</v>
      </c>
      <c r="BP124" s="591">
        <v>1227</v>
      </c>
      <c r="BQ124" s="591">
        <v>1318</v>
      </c>
      <c r="BR124" s="620">
        <v>1150</v>
      </c>
      <c r="BS124" s="620">
        <v>1119</v>
      </c>
      <c r="BT124" s="617">
        <f t="shared" si="188"/>
        <v>1119</v>
      </c>
      <c r="BU124" s="616">
        <v>2844</v>
      </c>
      <c r="BV124" s="616">
        <v>3601</v>
      </c>
      <c r="BW124" s="616">
        <v>3737</v>
      </c>
      <c r="BX124" s="616">
        <v>3678</v>
      </c>
      <c r="BY124" s="617">
        <f t="shared" si="188"/>
        <v>3678</v>
      </c>
      <c r="BZ124" s="616">
        <v>4044</v>
      </c>
      <c r="CA124" s="616">
        <v>3002</v>
      </c>
      <c r="CB124" s="616">
        <v>2430</v>
      </c>
      <c r="CC124" s="616">
        <v>3470</v>
      </c>
      <c r="CD124" s="617">
        <f t="shared" si="188"/>
        <v>3470</v>
      </c>
      <c r="CE124" s="616">
        <v>1186</v>
      </c>
      <c r="CF124" s="707">
        <v>1284</v>
      </c>
      <c r="CG124" s="802">
        <v>1110</v>
      </c>
      <c r="CH124" s="616">
        <v>989</v>
      </c>
      <c r="CI124" s="705">
        <f t="shared" si="188"/>
        <v>989</v>
      </c>
      <c r="CJ124" s="616">
        <v>1230</v>
      </c>
      <c r="CK124" s="616">
        <v>1158</v>
      </c>
      <c r="CL124" s="616">
        <v>1117</v>
      </c>
      <c r="CM124" s="616">
        <v>1096</v>
      </c>
      <c r="CN124" s="705">
        <f t="shared" si="188"/>
        <v>1096</v>
      </c>
      <c r="CO124" s="616">
        <v>1039</v>
      </c>
      <c r="CP124" s="706">
        <f t="shared" si="188"/>
        <v>1039</v>
      </c>
      <c r="CQ124" s="706">
        <f t="shared" si="188"/>
        <v>1039</v>
      </c>
      <c r="CR124" s="706">
        <f t="shared" si="188"/>
        <v>1039</v>
      </c>
      <c r="CS124" s="705">
        <f t="shared" si="188"/>
        <v>1039</v>
      </c>
      <c r="CT124" s="706">
        <f t="shared" si="188"/>
        <v>1039</v>
      </c>
      <c r="CU124" s="706">
        <f t="shared" si="188"/>
        <v>1039</v>
      </c>
      <c r="CV124" s="706">
        <f t="shared" si="188"/>
        <v>1039</v>
      </c>
      <c r="CW124" s="706">
        <f t="shared" si="188"/>
        <v>1039</v>
      </c>
      <c r="CX124" s="705">
        <f t="shared" si="188"/>
        <v>1039</v>
      </c>
      <c r="CY124" s="706">
        <f>CX124</f>
        <v>1039</v>
      </c>
      <c r="CZ124" s="706">
        <f>CY124</f>
        <v>1039</v>
      </c>
      <c r="DA124" s="706">
        <f>CZ124</f>
        <v>1039</v>
      </c>
      <c r="DB124" s="706">
        <f>DA124</f>
        <v>1039</v>
      </c>
      <c r="DC124" s="705">
        <f t="shared" ref="DC124:DG129" si="189">DB124</f>
        <v>1039</v>
      </c>
      <c r="DD124" s="706">
        <f>DC124</f>
        <v>1039</v>
      </c>
      <c r="DE124" s="706">
        <f>DD124</f>
        <v>1039</v>
      </c>
      <c r="DF124" s="706">
        <f>DE124</f>
        <v>1039</v>
      </c>
      <c r="DG124" s="706">
        <f>DF124</f>
        <v>1039</v>
      </c>
      <c r="DH124" s="705">
        <f t="shared" ref="DH124:DL129" si="190">DG124</f>
        <v>1039</v>
      </c>
      <c r="DI124" s="706">
        <f>DH124</f>
        <v>1039</v>
      </c>
      <c r="DJ124" s="706">
        <f>DI124</f>
        <v>1039</v>
      </c>
      <c r="DK124" s="706">
        <f>DJ124</f>
        <v>1039</v>
      </c>
      <c r="DL124" s="706">
        <f>DK124</f>
        <v>1039</v>
      </c>
      <c r="DM124" s="705">
        <f t="shared" ref="DM124:DM129" si="191">DL124</f>
        <v>1039</v>
      </c>
      <c r="DN124" s="208"/>
    </row>
    <row r="125" spans="1:118" ht="15" x14ac:dyDescent="0.2">
      <c r="A125" s="18" t="s">
        <v>62</v>
      </c>
      <c r="C125" s="328">
        <v>2217</v>
      </c>
      <c r="D125" s="328">
        <v>2478</v>
      </c>
      <c r="E125" s="328">
        <v>2383</v>
      </c>
      <c r="F125" s="328">
        <v>2364</v>
      </c>
      <c r="G125" s="326">
        <v>1863</v>
      </c>
      <c r="H125" s="328">
        <v>2370</v>
      </c>
      <c r="I125" s="328">
        <v>2420</v>
      </c>
      <c r="J125" s="328">
        <v>2440</v>
      </c>
      <c r="K125" s="328">
        <v>2792</v>
      </c>
      <c r="L125" s="326">
        <f t="shared" si="176"/>
        <v>2792</v>
      </c>
      <c r="M125" s="328">
        <v>2847</v>
      </c>
      <c r="N125" s="328">
        <v>3038</v>
      </c>
      <c r="O125" s="328">
        <v>3059</v>
      </c>
      <c r="P125" s="328">
        <v>2694</v>
      </c>
      <c r="Q125" s="326">
        <f t="shared" si="177"/>
        <v>2694</v>
      </c>
      <c r="R125" s="328">
        <v>2993</v>
      </c>
      <c r="S125" s="328">
        <v>2978</v>
      </c>
      <c r="T125" s="328">
        <v>2953</v>
      </c>
      <c r="U125" s="328">
        <v>3322</v>
      </c>
      <c r="V125" s="326">
        <f t="shared" si="178"/>
        <v>3322</v>
      </c>
      <c r="W125" s="328">
        <v>3281</v>
      </c>
      <c r="X125" s="328">
        <v>3186</v>
      </c>
      <c r="Y125" s="328">
        <v>3101</v>
      </c>
      <c r="Z125" s="328">
        <v>3054</v>
      </c>
      <c r="AA125" s="326">
        <f t="shared" si="179"/>
        <v>3054</v>
      </c>
      <c r="AB125" s="328">
        <v>2979</v>
      </c>
      <c r="AC125" s="328">
        <v>2774</v>
      </c>
      <c r="AD125" s="328">
        <v>2740</v>
      </c>
      <c r="AE125" s="328">
        <v>2648</v>
      </c>
      <c r="AF125" s="326">
        <f t="shared" si="180"/>
        <v>2648</v>
      </c>
      <c r="AG125" s="328">
        <v>2686</v>
      </c>
      <c r="AH125" s="328">
        <v>2704</v>
      </c>
      <c r="AI125" s="328">
        <v>2719</v>
      </c>
      <c r="AJ125" s="328">
        <v>2701</v>
      </c>
      <c r="AK125" s="326">
        <f t="shared" si="181"/>
        <v>2701</v>
      </c>
      <c r="AL125" s="328">
        <v>2796</v>
      </c>
      <c r="AM125" s="328">
        <v>2656</v>
      </c>
      <c r="AN125" s="328">
        <v>2634</v>
      </c>
      <c r="AO125" s="328">
        <v>2675</v>
      </c>
      <c r="AP125" s="326">
        <f t="shared" si="182"/>
        <v>2675</v>
      </c>
      <c r="AQ125" s="328">
        <v>2702</v>
      </c>
      <c r="AR125" s="328">
        <v>2634</v>
      </c>
      <c r="AS125" s="328">
        <v>2625</v>
      </c>
      <c r="AT125" s="328">
        <v>1733</v>
      </c>
      <c r="AU125" s="326">
        <f t="shared" si="183"/>
        <v>1733</v>
      </c>
      <c r="AV125" s="328">
        <v>1793</v>
      </c>
      <c r="AW125" s="328">
        <v>1859</v>
      </c>
      <c r="AX125" s="328">
        <v>1910</v>
      </c>
      <c r="AY125" s="328">
        <v>1976</v>
      </c>
      <c r="AZ125" s="326">
        <f t="shared" si="184"/>
        <v>1976</v>
      </c>
      <c r="BA125" s="328">
        <v>2095</v>
      </c>
      <c r="BB125" s="328">
        <v>2092</v>
      </c>
      <c r="BC125" s="328">
        <v>2100</v>
      </c>
      <c r="BD125" s="328">
        <v>2121</v>
      </c>
      <c r="BE125" s="326">
        <f t="shared" si="185"/>
        <v>2121</v>
      </c>
      <c r="BF125" s="328">
        <v>2740</v>
      </c>
      <c r="BG125" s="328">
        <v>2701</v>
      </c>
      <c r="BH125" s="328">
        <v>3219</v>
      </c>
      <c r="BI125" s="328">
        <v>3495</v>
      </c>
      <c r="BJ125" s="592">
        <f t="shared" si="186"/>
        <v>3495</v>
      </c>
      <c r="BK125" s="591">
        <v>3770</v>
      </c>
      <c r="BL125" s="591">
        <v>3663</v>
      </c>
      <c r="BM125" s="591">
        <v>3629</v>
      </c>
      <c r="BN125" s="591">
        <v>3585</v>
      </c>
      <c r="BO125" s="592">
        <f>BN125</f>
        <v>3585</v>
      </c>
      <c r="BP125" s="591">
        <v>3922</v>
      </c>
      <c r="BQ125" s="591">
        <v>3855</v>
      </c>
      <c r="BR125" s="620">
        <v>4270</v>
      </c>
      <c r="BS125" s="620">
        <v>4661</v>
      </c>
      <c r="BT125" s="617">
        <f>BS125</f>
        <v>4661</v>
      </c>
      <c r="BU125" s="619">
        <v>4655</v>
      </c>
      <c r="BV125" s="619">
        <v>4805</v>
      </c>
      <c r="BW125" s="619">
        <v>4850</v>
      </c>
      <c r="BX125" s="619">
        <v>4407</v>
      </c>
      <c r="BY125" s="617">
        <f>BX125</f>
        <v>4407</v>
      </c>
      <c r="BZ125" s="619">
        <v>4602</v>
      </c>
      <c r="CA125" s="619">
        <v>4517</v>
      </c>
      <c r="CB125" s="619">
        <v>4446</v>
      </c>
      <c r="CC125" s="619">
        <v>4207</v>
      </c>
      <c r="CD125" s="617">
        <f>CC125</f>
        <v>4207</v>
      </c>
      <c r="CE125" s="619">
        <v>4314</v>
      </c>
      <c r="CF125" s="704">
        <v>4370</v>
      </c>
      <c r="CG125" s="805">
        <v>4526</v>
      </c>
      <c r="CH125" s="619">
        <v>4248</v>
      </c>
      <c r="CI125" s="705">
        <f>CH125</f>
        <v>4248</v>
      </c>
      <c r="CJ125" s="619">
        <v>4454</v>
      </c>
      <c r="CK125" s="619">
        <v>4318</v>
      </c>
      <c r="CL125" s="619">
        <v>4480</v>
      </c>
      <c r="CM125" s="619">
        <v>4560</v>
      </c>
      <c r="CN125" s="705">
        <f>CM125</f>
        <v>4560</v>
      </c>
      <c r="CO125" s="619">
        <f>4428+3298</f>
        <v>7726</v>
      </c>
      <c r="CP125" s="704">
        <f>CP214*4*CP5</f>
        <v>3888.0994217382377</v>
      </c>
      <c r="CQ125" s="704">
        <f>CQ214*4*CQ5</f>
        <v>4095.7072889221172</v>
      </c>
      <c r="CR125" s="704">
        <f>CR214*4*CR5</f>
        <v>4470.9014674204309</v>
      </c>
      <c r="CS125" s="705">
        <f>CR125</f>
        <v>4470.9014674204309</v>
      </c>
      <c r="CT125" s="704">
        <f>CT214*4*CT5</f>
        <v>8012.0626598068347</v>
      </c>
      <c r="CU125" s="704">
        <f>CU214*4*CU5</f>
        <v>4045.1668157291274</v>
      </c>
      <c r="CV125" s="704">
        <f>CV214*4*CV5</f>
        <v>4265.3659487523446</v>
      </c>
      <c r="CW125" s="704">
        <f>CW214*4*CW5</f>
        <v>4665.8093326848266</v>
      </c>
      <c r="CX125" s="705">
        <f>CW125</f>
        <v>4665.8093326848266</v>
      </c>
      <c r="CY125" s="704">
        <f>CY214*4*CY5</f>
        <v>8336.9167576015552</v>
      </c>
      <c r="CZ125" s="704">
        <f>CZ214*4*CZ5</f>
        <v>4207.7133135740523</v>
      </c>
      <c r="DA125" s="704">
        <f>DA214*4*DA5</f>
        <v>4440.9752147400659</v>
      </c>
      <c r="DB125" s="704">
        <f>DB214*4*DB5</f>
        <v>4867.5978093274161</v>
      </c>
      <c r="DC125" s="705">
        <f t="shared" si="189"/>
        <v>4867.5978093274161</v>
      </c>
      <c r="DD125" s="704">
        <f>DD214*4*DD5</f>
        <v>8635.491218365345</v>
      </c>
      <c r="DE125" s="704">
        <f>DE214*4*DE5</f>
        <v>4358.074361092361</v>
      </c>
      <c r="DF125" s="704">
        <f>DF214*4*DF5</f>
        <v>4604.5002709621731</v>
      </c>
      <c r="DG125" s="704">
        <f>DG214*4*DG5</f>
        <v>5057.630795758826</v>
      </c>
      <c r="DH125" s="705">
        <f t="shared" si="190"/>
        <v>5057.630795758826</v>
      </c>
      <c r="DI125" s="704">
        <f>DI214*4*DI5</f>
        <v>8929.2509706753663</v>
      </c>
      <c r="DJ125" s="704">
        <f>DJ214*4*DJ5</f>
        <v>4506.5580477604672</v>
      </c>
      <c r="DK125" s="704">
        <f>DK214*4*DK5</f>
        <v>4765.4078592468813</v>
      </c>
      <c r="DL125" s="704">
        <f>DL214*4*DL5</f>
        <v>5243.0814097330294</v>
      </c>
      <c r="DM125" s="705">
        <f t="shared" si="191"/>
        <v>5243.0814097330294</v>
      </c>
      <c r="DN125" s="208"/>
    </row>
    <row r="126" spans="1:118" ht="15" x14ac:dyDescent="0.2">
      <c r="A126" s="18" t="s">
        <v>61</v>
      </c>
      <c r="C126" s="328">
        <v>4262</v>
      </c>
      <c r="D126" s="328">
        <v>4282</v>
      </c>
      <c r="E126" s="328">
        <v>4280</v>
      </c>
      <c r="F126" s="328">
        <v>4168</v>
      </c>
      <c r="G126" s="326">
        <v>5053.6666666666661</v>
      </c>
      <c r="H126" s="328">
        <v>4190</v>
      </c>
      <c r="I126" s="328">
        <v>4141</v>
      </c>
      <c r="J126" s="328">
        <v>4490</v>
      </c>
      <c r="K126" s="328">
        <v>4453</v>
      </c>
      <c r="L126" s="326">
        <f t="shared" si="176"/>
        <v>4453</v>
      </c>
      <c r="M126" s="328">
        <v>5258</v>
      </c>
      <c r="N126" s="328">
        <v>5466</v>
      </c>
      <c r="O126" s="328">
        <v>5687</v>
      </c>
      <c r="P126" s="328">
        <v>5911</v>
      </c>
      <c r="Q126" s="326">
        <f t="shared" si="177"/>
        <v>5911</v>
      </c>
      <c r="R126" s="328">
        <v>6127</v>
      </c>
      <c r="S126" s="328">
        <v>6259</v>
      </c>
      <c r="T126" s="328">
        <v>6064</v>
      </c>
      <c r="U126" s="328">
        <v>6097</v>
      </c>
      <c r="V126" s="326">
        <f t="shared" si="178"/>
        <v>6097</v>
      </c>
      <c r="W126" s="328">
        <v>6444</v>
      </c>
      <c r="X126" s="328">
        <v>6306</v>
      </c>
      <c r="Y126" s="328">
        <v>6171</v>
      </c>
      <c r="Z126" s="328">
        <v>6091</v>
      </c>
      <c r="AA126" s="326">
        <f t="shared" si="179"/>
        <v>6091</v>
      </c>
      <c r="AB126" s="328">
        <v>6063</v>
      </c>
      <c r="AC126" s="328">
        <v>5830</v>
      </c>
      <c r="AD126" s="328">
        <v>5877</v>
      </c>
      <c r="AE126" s="328">
        <v>5786</v>
      </c>
      <c r="AF126" s="326">
        <f t="shared" si="180"/>
        <v>5786</v>
      </c>
      <c r="AG126" s="328">
        <v>5936</v>
      </c>
      <c r="AH126" s="328">
        <v>6254</v>
      </c>
      <c r="AI126" s="328">
        <v>6728</v>
      </c>
      <c r="AJ126" s="328">
        <v>6903</v>
      </c>
      <c r="AK126" s="326">
        <f t="shared" si="181"/>
        <v>6903</v>
      </c>
      <c r="AL126" s="328">
        <v>7333</v>
      </c>
      <c r="AM126" s="328">
        <v>7579</v>
      </c>
      <c r="AN126" s="328">
        <v>8003</v>
      </c>
      <c r="AO126" s="328">
        <v>8493</v>
      </c>
      <c r="AP126" s="326">
        <f t="shared" si="182"/>
        <v>8493</v>
      </c>
      <c r="AQ126" s="328">
        <v>8675</v>
      </c>
      <c r="AR126" s="328">
        <v>8712</v>
      </c>
      <c r="AS126" s="328">
        <v>8527</v>
      </c>
      <c r="AT126" s="328">
        <v>8326</v>
      </c>
      <c r="AU126" s="326">
        <f t="shared" si="183"/>
        <v>8326</v>
      </c>
      <c r="AV126" s="328">
        <v>8425</v>
      </c>
      <c r="AW126" s="328">
        <v>8904</v>
      </c>
      <c r="AX126" s="328">
        <v>9099</v>
      </c>
      <c r="AY126" s="328">
        <v>9561</v>
      </c>
      <c r="AZ126" s="326">
        <f t="shared" si="184"/>
        <v>9561</v>
      </c>
      <c r="BA126" s="328">
        <v>9036</v>
      </c>
      <c r="BB126" s="328">
        <v>8931</v>
      </c>
      <c r="BC126" s="328">
        <v>9145</v>
      </c>
      <c r="BD126" s="328">
        <v>14727</v>
      </c>
      <c r="BE126" s="326">
        <f t="shared" si="185"/>
        <v>14727</v>
      </c>
      <c r="BF126" s="328">
        <v>14834</v>
      </c>
      <c r="BG126" s="328">
        <v>14933</v>
      </c>
      <c r="BH126" s="328">
        <v>14522</v>
      </c>
      <c r="BI126" s="328">
        <v>14939</v>
      </c>
      <c r="BJ126" s="592">
        <f t="shared" si="186"/>
        <v>14939</v>
      </c>
      <c r="BK126" s="591">
        <v>15300</v>
      </c>
      <c r="BL126" s="591">
        <v>15174</v>
      </c>
      <c r="BM126" s="591">
        <v>15388</v>
      </c>
      <c r="BN126" s="591">
        <v>14476</v>
      </c>
      <c r="BO126" s="592">
        <f>BN126</f>
        <v>14476</v>
      </c>
      <c r="BP126" s="591">
        <v>14543</v>
      </c>
      <c r="BQ126" s="591">
        <v>14549</v>
      </c>
      <c r="BR126" s="620">
        <v>14548</v>
      </c>
      <c r="BS126" s="620">
        <v>14967</v>
      </c>
      <c r="BT126" s="617">
        <f>BS126</f>
        <v>14967</v>
      </c>
      <c r="BU126" s="616">
        <v>14860</v>
      </c>
      <c r="BV126" s="616">
        <v>14918</v>
      </c>
      <c r="BW126" s="616">
        <v>14738</v>
      </c>
      <c r="BX126" s="616">
        <v>14633</v>
      </c>
      <c r="BY126" s="617">
        <f>BX126</f>
        <v>14633</v>
      </c>
      <c r="BZ126" s="616">
        <v>14346</v>
      </c>
      <c r="CA126" s="616">
        <v>14365</v>
      </c>
      <c r="CB126" s="616">
        <v>12615</v>
      </c>
      <c r="CC126" s="616">
        <v>12571</v>
      </c>
      <c r="CD126" s="617">
        <f>CC126</f>
        <v>12571</v>
      </c>
      <c r="CE126" s="616">
        <v>12613</v>
      </c>
      <c r="CF126" s="707">
        <v>12663</v>
      </c>
      <c r="CG126" s="802">
        <v>11172</v>
      </c>
      <c r="CH126" s="616">
        <v>10635</v>
      </c>
      <c r="CI126" s="705">
        <f>CH126</f>
        <v>10635</v>
      </c>
      <c r="CJ126" s="616">
        <v>9746</v>
      </c>
      <c r="CK126" s="616">
        <v>8672</v>
      </c>
      <c r="CL126" s="616">
        <v>8306</v>
      </c>
      <c r="CM126" s="616">
        <v>8203</v>
      </c>
      <c r="CN126" s="705">
        <f>CM126</f>
        <v>8203</v>
      </c>
      <c r="CO126" s="616">
        <v>7977</v>
      </c>
      <c r="CP126" s="707">
        <f>CO126-CP162-CP178</f>
        <v>8252.1594956573499</v>
      </c>
      <c r="CQ126" s="707">
        <f>CP126-CQ162-CQ178</f>
        <v>8462.3222401439671</v>
      </c>
      <c r="CR126" s="707">
        <f>CQ126-CR162-CR178</f>
        <v>8736.4567240208762</v>
      </c>
      <c r="CS126" s="705">
        <f>CR126</f>
        <v>8736.4567240208762</v>
      </c>
      <c r="CT126" s="707">
        <f>CS126-CT162-CT178</f>
        <v>8831.5720490616131</v>
      </c>
      <c r="CU126" s="707">
        <f>CT126-CU162-CU178</f>
        <v>8923.9080696208639</v>
      </c>
      <c r="CV126" s="707">
        <f>CU126-CV162-CV178</f>
        <v>8963.5079200791952</v>
      </c>
      <c r="CW126" s="707">
        <f>CV126-CW162-CW178</f>
        <v>9092.4776098791954</v>
      </c>
      <c r="CX126" s="705">
        <f>CW126</f>
        <v>9092.4776098791954</v>
      </c>
      <c r="CY126" s="707">
        <f>CX126-CY162-CY178</f>
        <v>9191.3903377146853</v>
      </c>
      <c r="CZ126" s="707">
        <f>CY126-CZ162-CZ178</f>
        <v>9287.2841114005514</v>
      </c>
      <c r="DA126" s="707">
        <f>CZ126-DA162-DA178</f>
        <v>9328.6523440934325</v>
      </c>
      <c r="DB126" s="707">
        <f>DA126-DB162-DB178</f>
        <v>9464.1050223895691</v>
      </c>
      <c r="DC126" s="705">
        <f t="shared" si="189"/>
        <v>9464.1050223895691</v>
      </c>
      <c r="DD126" s="707">
        <f>DC126-DD162-DD178</f>
        <v>9565.0462935776777</v>
      </c>
      <c r="DE126" s="707">
        <f>DD126-DE162-DE178</f>
        <v>9662.9706600292302</v>
      </c>
      <c r="DF126" s="707">
        <f>DE126-DF162-DF178</f>
        <v>9704.7075994037568</v>
      </c>
      <c r="DG126" s="707">
        <f>DF126-DG162-DG178</f>
        <v>9844.9714559088661</v>
      </c>
      <c r="DH126" s="705">
        <f t="shared" si="190"/>
        <v>9844.9714559088661</v>
      </c>
      <c r="DI126" s="707">
        <f>DH126-DI162-DI178</f>
        <v>9947.4072088499015</v>
      </c>
      <c r="DJ126" s="707">
        <f>DI126-DJ162-DJ178</f>
        <v>10046.923879833721</v>
      </c>
      <c r="DK126" s="707">
        <f>DJ126-DK162-DK178</f>
        <v>10088.53455684594</v>
      </c>
      <c r="DL126" s="707">
        <f>DK126-DL162-DL178</f>
        <v>10232.81641927953</v>
      </c>
      <c r="DM126" s="705">
        <f t="shared" si="191"/>
        <v>10232.81641927953</v>
      </c>
      <c r="DN126" s="208"/>
    </row>
    <row r="127" spans="1:118" ht="15" x14ac:dyDescent="0.2">
      <c r="A127" s="18" t="s">
        <v>323</v>
      </c>
      <c r="C127" s="328"/>
      <c r="D127" s="328"/>
      <c r="E127" s="328"/>
      <c r="F127" s="328"/>
      <c r="G127" s="326"/>
      <c r="H127" s="328"/>
      <c r="I127" s="328"/>
      <c r="J127" s="328"/>
      <c r="K127" s="328"/>
      <c r="L127" s="326">
        <f t="shared" si="176"/>
        <v>0</v>
      </c>
      <c r="M127" s="328"/>
      <c r="N127" s="328"/>
      <c r="O127" s="328"/>
      <c r="P127" s="328">
        <v>1724</v>
      </c>
      <c r="Q127" s="326">
        <f t="shared" si="177"/>
        <v>1724</v>
      </c>
      <c r="R127" s="328"/>
      <c r="S127" s="328"/>
      <c r="T127" s="328"/>
      <c r="U127" s="328">
        <v>1979</v>
      </c>
      <c r="V127" s="326">
        <f t="shared" si="178"/>
        <v>1979</v>
      </c>
      <c r="W127" s="328"/>
      <c r="X127" s="328"/>
      <c r="Y127" s="328">
        <v>2004</v>
      </c>
      <c r="Z127" s="328">
        <v>2037</v>
      </c>
      <c r="AA127" s="326">
        <f t="shared" si="179"/>
        <v>2037</v>
      </c>
      <c r="AB127" s="328">
        <v>2043</v>
      </c>
      <c r="AC127" s="328">
        <v>2039</v>
      </c>
      <c r="AD127" s="328">
        <v>1957</v>
      </c>
      <c r="AE127" s="328">
        <v>1946</v>
      </c>
      <c r="AF127" s="326">
        <f t="shared" si="180"/>
        <v>1946</v>
      </c>
      <c r="AG127" s="328">
        <v>1969</v>
      </c>
      <c r="AH127" s="328">
        <v>2002</v>
      </c>
      <c r="AI127" s="328">
        <v>2063</v>
      </c>
      <c r="AJ127" s="328">
        <v>2045</v>
      </c>
      <c r="AK127" s="326">
        <f t="shared" si="181"/>
        <v>2045</v>
      </c>
      <c r="AL127" s="328">
        <v>2212</v>
      </c>
      <c r="AM127" s="328">
        <v>5217</v>
      </c>
      <c r="AN127" s="328">
        <v>5218</v>
      </c>
      <c r="AO127" s="328">
        <v>5153</v>
      </c>
      <c r="AP127" s="326">
        <f t="shared" si="182"/>
        <v>5153</v>
      </c>
      <c r="AQ127" s="328">
        <v>5323</v>
      </c>
      <c r="AR127" s="328">
        <v>6025</v>
      </c>
      <c r="AS127" s="328">
        <v>6138</v>
      </c>
      <c r="AT127" s="328">
        <v>6059</v>
      </c>
      <c r="AU127" s="326">
        <f t="shared" si="183"/>
        <v>6059</v>
      </c>
      <c r="AV127" s="328">
        <v>6042</v>
      </c>
      <c r="AW127" s="328">
        <v>6143</v>
      </c>
      <c r="AX127" s="328">
        <v>6147</v>
      </c>
      <c r="AY127" s="328">
        <v>6183</v>
      </c>
      <c r="AZ127" s="326">
        <f t="shared" si="184"/>
        <v>6183</v>
      </c>
      <c r="BA127" s="328">
        <v>6261</v>
      </c>
      <c r="BB127" s="328">
        <v>6218</v>
      </c>
      <c r="BC127" s="328">
        <v>6403</v>
      </c>
      <c r="BD127" s="328">
        <v>6356</v>
      </c>
      <c r="BE127" s="326">
        <f t="shared" si="185"/>
        <v>6356</v>
      </c>
      <c r="BF127" s="328">
        <v>6528</v>
      </c>
      <c r="BG127" s="328">
        <v>6569</v>
      </c>
      <c r="BH127" s="328">
        <v>6501</v>
      </c>
      <c r="BI127" s="328">
        <v>6430</v>
      </c>
      <c r="BJ127" s="592">
        <f t="shared" si="186"/>
        <v>6430</v>
      </c>
      <c r="BK127" s="591">
        <v>6531</v>
      </c>
      <c r="BL127" s="591">
        <v>6473</v>
      </c>
      <c r="BM127" s="591">
        <v>6510</v>
      </c>
      <c r="BN127" s="591">
        <v>6527</v>
      </c>
      <c r="BO127" s="592">
        <f t="shared" ref="BO127:CW127" si="192">BN127</f>
        <v>6527</v>
      </c>
      <c r="BP127" s="591">
        <v>6570</v>
      </c>
      <c r="BQ127" s="591">
        <v>6541</v>
      </c>
      <c r="BR127" s="620">
        <v>6608</v>
      </c>
      <c r="BS127" s="620">
        <v>6744</v>
      </c>
      <c r="BT127" s="617">
        <f t="shared" si="192"/>
        <v>6744</v>
      </c>
      <c r="BU127" s="616">
        <v>6745</v>
      </c>
      <c r="BV127" s="616">
        <v>6798</v>
      </c>
      <c r="BW127" s="616">
        <v>6619</v>
      </c>
      <c r="BX127" s="616">
        <v>6533</v>
      </c>
      <c r="BY127" s="617">
        <f t="shared" si="192"/>
        <v>6533</v>
      </c>
      <c r="BZ127" s="616">
        <v>6424</v>
      </c>
      <c r="CA127" s="616">
        <v>6085</v>
      </c>
      <c r="CB127" s="616">
        <v>6032</v>
      </c>
      <c r="CC127" s="616">
        <v>5989</v>
      </c>
      <c r="CD127" s="617">
        <f t="shared" si="192"/>
        <v>5989</v>
      </c>
      <c r="CE127" s="616">
        <v>6014</v>
      </c>
      <c r="CF127" s="707">
        <v>6038</v>
      </c>
      <c r="CG127" s="802">
        <f>6183+4438</f>
        <v>10621</v>
      </c>
      <c r="CH127" s="616">
        <f>6097+3676</f>
        <v>9773</v>
      </c>
      <c r="CI127" s="705">
        <f t="shared" si="192"/>
        <v>9773</v>
      </c>
      <c r="CJ127" s="616">
        <f>6478+1769</f>
        <v>8247</v>
      </c>
      <c r="CK127" s="616">
        <f>6527+772</f>
        <v>7299</v>
      </c>
      <c r="CL127" s="616">
        <f>6575+138</f>
        <v>6713</v>
      </c>
      <c r="CM127" s="616">
        <f>6729+138</f>
        <v>6867</v>
      </c>
      <c r="CN127" s="705">
        <f t="shared" si="192"/>
        <v>6867</v>
      </c>
      <c r="CO127" s="616">
        <f>6753+53</f>
        <v>6806</v>
      </c>
      <c r="CP127" s="706">
        <f t="shared" si="192"/>
        <v>6806</v>
      </c>
      <c r="CQ127" s="706">
        <f t="shared" si="192"/>
        <v>6806</v>
      </c>
      <c r="CR127" s="706">
        <f t="shared" si="192"/>
        <v>6806</v>
      </c>
      <c r="CS127" s="705">
        <f t="shared" si="192"/>
        <v>6806</v>
      </c>
      <c r="CT127" s="706">
        <f t="shared" si="192"/>
        <v>6806</v>
      </c>
      <c r="CU127" s="706">
        <f t="shared" si="192"/>
        <v>6806</v>
      </c>
      <c r="CV127" s="706">
        <f t="shared" si="192"/>
        <v>6806</v>
      </c>
      <c r="CW127" s="706">
        <f t="shared" si="192"/>
        <v>6806</v>
      </c>
      <c r="CX127" s="705">
        <f>CW127</f>
        <v>6806</v>
      </c>
      <c r="CY127" s="706">
        <f t="shared" ref="CY127:DB129" si="193">CX127</f>
        <v>6806</v>
      </c>
      <c r="CZ127" s="706">
        <f t="shared" si="193"/>
        <v>6806</v>
      </c>
      <c r="DA127" s="706">
        <f t="shared" si="193"/>
        <v>6806</v>
      </c>
      <c r="DB127" s="706">
        <f t="shared" si="193"/>
        <v>6806</v>
      </c>
      <c r="DC127" s="705">
        <f t="shared" si="189"/>
        <v>6806</v>
      </c>
      <c r="DD127" s="706">
        <f t="shared" si="189"/>
        <v>6806</v>
      </c>
      <c r="DE127" s="706">
        <f t="shared" si="189"/>
        <v>6806</v>
      </c>
      <c r="DF127" s="706">
        <f t="shared" si="189"/>
        <v>6806</v>
      </c>
      <c r="DG127" s="706">
        <f t="shared" si="189"/>
        <v>6806</v>
      </c>
      <c r="DH127" s="705">
        <f t="shared" si="190"/>
        <v>6806</v>
      </c>
      <c r="DI127" s="706">
        <f t="shared" si="190"/>
        <v>6806</v>
      </c>
      <c r="DJ127" s="706">
        <f t="shared" si="190"/>
        <v>6806</v>
      </c>
      <c r="DK127" s="706">
        <f t="shared" si="190"/>
        <v>6806</v>
      </c>
      <c r="DL127" s="706">
        <f t="shared" si="190"/>
        <v>6806</v>
      </c>
      <c r="DM127" s="705">
        <f t="shared" si="191"/>
        <v>6806</v>
      </c>
      <c r="DN127" s="208"/>
    </row>
    <row r="128" spans="1:118" ht="15" x14ac:dyDescent="0.2">
      <c r="A128" s="18" t="s">
        <v>204</v>
      </c>
      <c r="C128" s="328"/>
      <c r="D128" s="328"/>
      <c r="E128" s="328"/>
      <c r="F128" s="328"/>
      <c r="G128" s="326"/>
      <c r="H128" s="328"/>
      <c r="I128" s="328"/>
      <c r="J128" s="328"/>
      <c r="K128" s="328"/>
      <c r="L128" s="326">
        <f t="shared" si="176"/>
        <v>0</v>
      </c>
      <c r="M128" s="328"/>
      <c r="N128" s="328"/>
      <c r="O128" s="328"/>
      <c r="P128" s="328">
        <v>876</v>
      </c>
      <c r="Q128" s="326">
        <f t="shared" si="177"/>
        <v>876</v>
      </c>
      <c r="R128" s="328"/>
      <c r="S128" s="328"/>
      <c r="T128" s="328"/>
      <c r="U128" s="328">
        <v>1029</v>
      </c>
      <c r="V128" s="326">
        <f t="shared" si="178"/>
        <v>1029</v>
      </c>
      <c r="W128" s="328"/>
      <c r="X128" s="328"/>
      <c r="Y128" s="328">
        <v>1039</v>
      </c>
      <c r="Z128" s="328">
        <v>1097</v>
      </c>
      <c r="AA128" s="326">
        <f t="shared" si="179"/>
        <v>1097</v>
      </c>
      <c r="AB128" s="328">
        <v>1098</v>
      </c>
      <c r="AC128" s="328">
        <v>1043</v>
      </c>
      <c r="AD128" s="328">
        <v>1083</v>
      </c>
      <c r="AE128" s="328">
        <v>1047</v>
      </c>
      <c r="AF128" s="326">
        <f t="shared" si="180"/>
        <v>1047</v>
      </c>
      <c r="AG128" s="328">
        <v>1133</v>
      </c>
      <c r="AH128" s="328">
        <v>1210</v>
      </c>
      <c r="AI128" s="328">
        <v>1306</v>
      </c>
      <c r="AJ128" s="328">
        <v>1403</v>
      </c>
      <c r="AK128" s="326">
        <f t="shared" si="181"/>
        <v>1403</v>
      </c>
      <c r="AL128" s="328">
        <v>1764</v>
      </c>
      <c r="AM128" s="328">
        <v>3727</v>
      </c>
      <c r="AN128" s="328">
        <v>4170</v>
      </c>
      <c r="AO128" s="328">
        <v>4256</v>
      </c>
      <c r="AP128" s="326">
        <f t="shared" si="182"/>
        <v>4256</v>
      </c>
      <c r="AQ128" s="328">
        <v>4334</v>
      </c>
      <c r="AR128" s="328">
        <v>4062</v>
      </c>
      <c r="AS128" s="328">
        <v>4011</v>
      </c>
      <c r="AT128" s="328">
        <v>4029</v>
      </c>
      <c r="AU128" s="326">
        <f t="shared" si="183"/>
        <v>4029</v>
      </c>
      <c r="AV128" s="328">
        <v>3988</v>
      </c>
      <c r="AW128" s="328">
        <v>4092</v>
      </c>
      <c r="AX128" s="328">
        <v>4100</v>
      </c>
      <c r="AY128" s="328">
        <v>4224</v>
      </c>
      <c r="AZ128" s="326">
        <f t="shared" si="184"/>
        <v>4224</v>
      </c>
      <c r="BA128" s="328">
        <v>3905</v>
      </c>
      <c r="BB128" s="328">
        <v>3810</v>
      </c>
      <c r="BC128" s="328">
        <v>3882</v>
      </c>
      <c r="BD128" s="328">
        <v>11665</v>
      </c>
      <c r="BE128" s="326">
        <f t="shared" si="185"/>
        <v>11665</v>
      </c>
      <c r="BF128" s="328">
        <v>11949</v>
      </c>
      <c r="BG128" s="328">
        <v>12004</v>
      </c>
      <c r="BH128" s="328">
        <v>12073</v>
      </c>
      <c r="BI128" s="328">
        <v>12219</v>
      </c>
      <c r="BJ128" s="592">
        <f t="shared" si="186"/>
        <v>12219</v>
      </c>
      <c r="BK128" s="591">
        <v>12344</v>
      </c>
      <c r="BL128" s="591">
        <v>12357</v>
      </c>
      <c r="BM128" s="591">
        <v>12381</v>
      </c>
      <c r="BN128" s="591">
        <v>12255</v>
      </c>
      <c r="BO128" s="592">
        <f t="shared" ref="BO128:CW128" si="194">BN128</f>
        <v>12255</v>
      </c>
      <c r="BP128" s="591">
        <v>12291</v>
      </c>
      <c r="BQ128" s="591">
        <v>12657</v>
      </c>
      <c r="BR128" s="620">
        <v>12412</v>
      </c>
      <c r="BS128" s="620">
        <v>12312</v>
      </c>
      <c r="BT128" s="617">
        <f t="shared" si="194"/>
        <v>12312</v>
      </c>
      <c r="BU128" s="616">
        <v>12343</v>
      </c>
      <c r="BV128" s="616">
        <v>7284</v>
      </c>
      <c r="BW128" s="616">
        <v>7025</v>
      </c>
      <c r="BX128" s="616">
        <v>12100</v>
      </c>
      <c r="BY128" s="617">
        <f t="shared" si="194"/>
        <v>12100</v>
      </c>
      <c r="BZ128" s="616">
        <v>11993</v>
      </c>
      <c r="CA128" s="616">
        <v>11357</v>
      </c>
      <c r="CB128" s="616">
        <f t="shared" si="194"/>
        <v>11357</v>
      </c>
      <c r="CC128" s="616">
        <v>11289</v>
      </c>
      <c r="CD128" s="617">
        <f t="shared" si="194"/>
        <v>11289</v>
      </c>
      <c r="CE128" s="616">
        <v>11396</v>
      </c>
      <c r="CF128" s="707">
        <v>11204</v>
      </c>
      <c r="CG128" s="802">
        <v>10865</v>
      </c>
      <c r="CH128" s="616">
        <v>10629</v>
      </c>
      <c r="CI128" s="705">
        <f t="shared" si="194"/>
        <v>10629</v>
      </c>
      <c r="CJ128" s="616">
        <v>10008</v>
      </c>
      <c r="CK128" s="616">
        <v>9449</v>
      </c>
      <c r="CL128" s="616">
        <v>9473</v>
      </c>
      <c r="CM128" s="616">
        <v>9401</v>
      </c>
      <c r="CN128" s="705">
        <f t="shared" si="194"/>
        <v>9401</v>
      </c>
      <c r="CO128" s="616">
        <v>9908</v>
      </c>
      <c r="CP128" s="706">
        <f t="shared" si="194"/>
        <v>9908</v>
      </c>
      <c r="CQ128" s="706">
        <f t="shared" si="194"/>
        <v>9908</v>
      </c>
      <c r="CR128" s="706">
        <f t="shared" si="194"/>
        <v>9908</v>
      </c>
      <c r="CS128" s="705">
        <f t="shared" si="194"/>
        <v>9908</v>
      </c>
      <c r="CT128" s="706">
        <f t="shared" si="194"/>
        <v>9908</v>
      </c>
      <c r="CU128" s="706">
        <f t="shared" si="194"/>
        <v>9908</v>
      </c>
      <c r="CV128" s="706">
        <f t="shared" si="194"/>
        <v>9908</v>
      </c>
      <c r="CW128" s="706">
        <f t="shared" si="194"/>
        <v>9908</v>
      </c>
      <c r="CX128" s="705">
        <f>CW128</f>
        <v>9908</v>
      </c>
      <c r="CY128" s="706">
        <f t="shared" si="193"/>
        <v>9908</v>
      </c>
      <c r="CZ128" s="706">
        <f t="shared" si="193"/>
        <v>9908</v>
      </c>
      <c r="DA128" s="706">
        <f t="shared" si="193"/>
        <v>9908</v>
      </c>
      <c r="DB128" s="706">
        <f t="shared" si="193"/>
        <v>9908</v>
      </c>
      <c r="DC128" s="705">
        <f t="shared" si="189"/>
        <v>9908</v>
      </c>
      <c r="DD128" s="706">
        <f t="shared" si="189"/>
        <v>9908</v>
      </c>
      <c r="DE128" s="706">
        <f t="shared" si="189"/>
        <v>9908</v>
      </c>
      <c r="DF128" s="706">
        <f t="shared" si="189"/>
        <v>9908</v>
      </c>
      <c r="DG128" s="706">
        <f t="shared" si="189"/>
        <v>9908</v>
      </c>
      <c r="DH128" s="705">
        <f t="shared" si="190"/>
        <v>9908</v>
      </c>
      <c r="DI128" s="706">
        <f t="shared" si="190"/>
        <v>9908</v>
      </c>
      <c r="DJ128" s="706">
        <f t="shared" si="190"/>
        <v>9908</v>
      </c>
      <c r="DK128" s="706">
        <f t="shared" si="190"/>
        <v>9908</v>
      </c>
      <c r="DL128" s="706">
        <f t="shared" si="190"/>
        <v>9908</v>
      </c>
      <c r="DM128" s="705">
        <f t="shared" si="191"/>
        <v>9908</v>
      </c>
      <c r="DN128" s="208"/>
    </row>
    <row r="129" spans="1:118" ht="15" x14ac:dyDescent="0.2">
      <c r="A129" s="18" t="s">
        <v>357</v>
      </c>
      <c r="C129" s="330">
        <v>1959</v>
      </c>
      <c r="D129" s="330">
        <v>1953</v>
      </c>
      <c r="E129" s="330">
        <v>1953</v>
      </c>
      <c r="F129" s="330">
        <v>1917</v>
      </c>
      <c r="G129" s="331">
        <v>921</v>
      </c>
      <c r="H129" s="330">
        <v>1914</v>
      </c>
      <c r="I129" s="330">
        <v>2074</v>
      </c>
      <c r="J129" s="330">
        <v>2223</v>
      </c>
      <c r="K129" s="330">
        <v>2579</v>
      </c>
      <c r="L129" s="331">
        <f t="shared" si="176"/>
        <v>2579</v>
      </c>
      <c r="M129" s="330">
        <v>3258</v>
      </c>
      <c r="N129" s="330">
        <v>3429</v>
      </c>
      <c r="O129" s="330">
        <v>3524</v>
      </c>
      <c r="P129" s="330">
        <v>858</v>
      </c>
      <c r="Q129" s="331">
        <f t="shared" si="177"/>
        <v>858</v>
      </c>
      <c r="R129" s="330">
        <v>3851</v>
      </c>
      <c r="S129" s="330">
        <v>4074</v>
      </c>
      <c r="T129" s="330">
        <v>3955</v>
      </c>
      <c r="U129" s="330">
        <v>981</v>
      </c>
      <c r="V129" s="331">
        <f t="shared" si="178"/>
        <v>981</v>
      </c>
      <c r="W129" s="330">
        <v>4140</v>
      </c>
      <c r="X129" s="330">
        <v>4084</v>
      </c>
      <c r="Y129" s="330">
        <v>675</v>
      </c>
      <c r="Z129" s="330">
        <v>702</v>
      </c>
      <c r="AA129" s="331">
        <f t="shared" si="179"/>
        <v>702</v>
      </c>
      <c r="AB129" s="330">
        <v>701</v>
      </c>
      <c r="AC129" s="330">
        <v>689</v>
      </c>
      <c r="AD129" s="330">
        <v>847</v>
      </c>
      <c r="AE129" s="330">
        <v>828</v>
      </c>
      <c r="AF129" s="331">
        <f t="shared" si="180"/>
        <v>828</v>
      </c>
      <c r="AG129" s="330">
        <v>1011</v>
      </c>
      <c r="AH129" s="330">
        <v>991</v>
      </c>
      <c r="AI129" s="330">
        <v>1732</v>
      </c>
      <c r="AJ129" s="330">
        <v>1687</v>
      </c>
      <c r="AK129" s="331">
        <f t="shared" si="181"/>
        <v>1687</v>
      </c>
      <c r="AL129" s="330">
        <v>2021</v>
      </c>
      <c r="AM129" s="330">
        <v>2066</v>
      </c>
      <c r="AN129" s="330">
        <v>2444</v>
      </c>
      <c r="AO129" s="330">
        <v>2810</v>
      </c>
      <c r="AP129" s="331">
        <f t="shared" si="182"/>
        <v>2810</v>
      </c>
      <c r="AQ129" s="330">
        <v>2960</v>
      </c>
      <c r="AR129" s="330">
        <v>2842</v>
      </c>
      <c r="AS129" s="330">
        <v>2638</v>
      </c>
      <c r="AT129" s="330">
        <v>2417</v>
      </c>
      <c r="AU129" s="331">
        <f t="shared" si="183"/>
        <v>2417</v>
      </c>
      <c r="AV129" s="330">
        <v>2384</v>
      </c>
      <c r="AW129" s="330">
        <v>2392</v>
      </c>
      <c r="AX129" s="330">
        <v>2378</v>
      </c>
      <c r="AY129" s="330">
        <v>2421</v>
      </c>
      <c r="AZ129" s="331">
        <f t="shared" si="184"/>
        <v>2421</v>
      </c>
      <c r="BA129" s="330">
        <v>2149</v>
      </c>
      <c r="BB129" s="330">
        <v>2081</v>
      </c>
      <c r="BC129" s="330">
        <v>1974</v>
      </c>
      <c r="BD129" s="330">
        <f>7511+1377</f>
        <v>8888</v>
      </c>
      <c r="BE129" s="331">
        <f t="shared" si="185"/>
        <v>8888</v>
      </c>
      <c r="BF129" s="330">
        <f>1318+7559</f>
        <v>8877</v>
      </c>
      <c r="BG129" s="330">
        <f>7600+1288</f>
        <v>8888</v>
      </c>
      <c r="BH129" s="330">
        <f>7716+1194</f>
        <v>8910</v>
      </c>
      <c r="BI129" s="330">
        <f>7770+1250</f>
        <v>9020</v>
      </c>
      <c r="BJ129" s="595">
        <f t="shared" si="186"/>
        <v>9020</v>
      </c>
      <c r="BK129" s="597">
        <f>7796+1222</f>
        <v>9018</v>
      </c>
      <c r="BL129" s="597">
        <f>7738+1183</f>
        <v>8921</v>
      </c>
      <c r="BM129" s="597">
        <f>7746+1138</f>
        <v>8884</v>
      </c>
      <c r="BN129" s="597">
        <f>7405+1150</f>
        <v>8555</v>
      </c>
      <c r="BO129" s="595">
        <f t="shared" ref="BO129:CW129" si="195">BN129</f>
        <v>8555</v>
      </c>
      <c r="BP129" s="597">
        <f>7414+1114</f>
        <v>8528</v>
      </c>
      <c r="BQ129" s="597">
        <f>7410+1098</f>
        <v>8508</v>
      </c>
      <c r="BR129" s="621">
        <f>7426+1057</f>
        <v>8483</v>
      </c>
      <c r="BS129" s="621">
        <f>7415+1140</f>
        <v>8555</v>
      </c>
      <c r="BT129" s="622">
        <f t="shared" si="195"/>
        <v>8555</v>
      </c>
      <c r="BU129" s="623">
        <f>7403+1104</f>
        <v>8507</v>
      </c>
      <c r="BV129" s="623">
        <f>12296+1059</f>
        <v>13355</v>
      </c>
      <c r="BW129" s="623">
        <f>12188+1123</f>
        <v>13311</v>
      </c>
      <c r="BX129" s="623">
        <f>1050+6689</f>
        <v>7739</v>
      </c>
      <c r="BY129" s="622">
        <f t="shared" si="195"/>
        <v>7739</v>
      </c>
      <c r="BZ129" s="623">
        <f>1017+6620</f>
        <v>7637</v>
      </c>
      <c r="CA129" s="623">
        <f>976+7313</f>
        <v>8289</v>
      </c>
      <c r="CB129" s="623">
        <f>897+6133</f>
        <v>7030</v>
      </c>
      <c r="CC129" s="623">
        <f>854+6000</f>
        <v>6854</v>
      </c>
      <c r="CD129" s="622">
        <f t="shared" si="195"/>
        <v>6854</v>
      </c>
      <c r="CE129" s="623">
        <f>906+5714</f>
        <v>6620</v>
      </c>
      <c r="CF129" s="708">
        <v>6447</v>
      </c>
      <c r="CG129" s="803">
        <v>760</v>
      </c>
      <c r="CH129" s="623">
        <v>726</v>
      </c>
      <c r="CI129" s="709">
        <f t="shared" si="195"/>
        <v>726</v>
      </c>
      <c r="CJ129" s="623">
        <v>512</v>
      </c>
      <c r="CK129" s="623">
        <v>444</v>
      </c>
      <c r="CL129" s="623">
        <v>378</v>
      </c>
      <c r="CM129" s="623">
        <v>368</v>
      </c>
      <c r="CN129" s="709">
        <f t="shared" si="195"/>
        <v>368</v>
      </c>
      <c r="CO129" s="623">
        <v>306</v>
      </c>
      <c r="CP129" s="712">
        <f t="shared" si="195"/>
        <v>306</v>
      </c>
      <c r="CQ129" s="712">
        <f t="shared" si="195"/>
        <v>306</v>
      </c>
      <c r="CR129" s="712">
        <f t="shared" si="195"/>
        <v>306</v>
      </c>
      <c r="CS129" s="709">
        <f t="shared" si="195"/>
        <v>306</v>
      </c>
      <c r="CT129" s="712">
        <f t="shared" si="195"/>
        <v>306</v>
      </c>
      <c r="CU129" s="712">
        <f t="shared" si="195"/>
        <v>306</v>
      </c>
      <c r="CV129" s="712">
        <f t="shared" si="195"/>
        <v>306</v>
      </c>
      <c r="CW129" s="712">
        <f t="shared" si="195"/>
        <v>306</v>
      </c>
      <c r="CX129" s="709">
        <f>CW129</f>
        <v>306</v>
      </c>
      <c r="CY129" s="712">
        <f t="shared" si="193"/>
        <v>306</v>
      </c>
      <c r="CZ129" s="712">
        <f t="shared" si="193"/>
        <v>306</v>
      </c>
      <c r="DA129" s="712">
        <f t="shared" si="193"/>
        <v>306</v>
      </c>
      <c r="DB129" s="712">
        <f t="shared" si="193"/>
        <v>306</v>
      </c>
      <c r="DC129" s="709">
        <f t="shared" si="189"/>
        <v>306</v>
      </c>
      <c r="DD129" s="712">
        <f t="shared" si="189"/>
        <v>306</v>
      </c>
      <c r="DE129" s="712">
        <f t="shared" si="189"/>
        <v>306</v>
      </c>
      <c r="DF129" s="712">
        <f t="shared" si="189"/>
        <v>306</v>
      </c>
      <c r="DG129" s="712">
        <f t="shared" si="189"/>
        <v>306</v>
      </c>
      <c r="DH129" s="709">
        <f t="shared" si="190"/>
        <v>306</v>
      </c>
      <c r="DI129" s="712">
        <f t="shared" si="190"/>
        <v>306</v>
      </c>
      <c r="DJ129" s="712">
        <f t="shared" si="190"/>
        <v>306</v>
      </c>
      <c r="DK129" s="712">
        <f t="shared" si="190"/>
        <v>306</v>
      </c>
      <c r="DL129" s="712">
        <f t="shared" si="190"/>
        <v>306</v>
      </c>
      <c r="DM129" s="709">
        <f t="shared" si="191"/>
        <v>306</v>
      </c>
      <c r="DN129" s="208"/>
    </row>
    <row r="130" spans="1:118" ht="15.75" x14ac:dyDescent="0.25">
      <c r="B130" s="20" t="s">
        <v>63</v>
      </c>
      <c r="C130" s="333"/>
      <c r="D130" s="333"/>
      <c r="E130" s="333"/>
      <c r="F130" s="333"/>
      <c r="G130" s="334"/>
      <c r="H130" s="333">
        <f t="shared" ref="H130:AM130" si="196">SUM(H123:H129)+H121</f>
        <v>22248</v>
      </c>
      <c r="I130" s="333">
        <f t="shared" si="196"/>
        <v>22387</v>
      </c>
      <c r="J130" s="333">
        <f t="shared" si="196"/>
        <v>22665</v>
      </c>
      <c r="K130" s="333">
        <f t="shared" si="196"/>
        <v>22417</v>
      </c>
      <c r="L130" s="334">
        <f t="shared" si="196"/>
        <v>22417</v>
      </c>
      <c r="M130" s="333">
        <f t="shared" si="196"/>
        <v>23689</v>
      </c>
      <c r="N130" s="333">
        <f t="shared" si="196"/>
        <v>25287</v>
      </c>
      <c r="O130" s="333">
        <f t="shared" si="196"/>
        <v>25300</v>
      </c>
      <c r="P130" s="333">
        <f t="shared" si="196"/>
        <v>24406</v>
      </c>
      <c r="Q130" s="334">
        <f t="shared" si="196"/>
        <v>24406</v>
      </c>
      <c r="R130" s="333">
        <f t="shared" si="196"/>
        <v>26322</v>
      </c>
      <c r="S130" s="333">
        <f t="shared" si="196"/>
        <v>27949</v>
      </c>
      <c r="T130" s="333">
        <f t="shared" si="196"/>
        <v>27407</v>
      </c>
      <c r="U130" s="333">
        <f t="shared" si="196"/>
        <v>27342</v>
      </c>
      <c r="V130" s="334">
        <f t="shared" si="196"/>
        <v>27342</v>
      </c>
      <c r="W130" s="333">
        <f t="shared" si="196"/>
        <v>29167</v>
      </c>
      <c r="X130" s="333">
        <f t="shared" si="196"/>
        <v>29845</v>
      </c>
      <c r="Y130" s="333">
        <f t="shared" si="196"/>
        <v>29300</v>
      </c>
      <c r="Z130" s="333">
        <f t="shared" si="196"/>
        <v>31327</v>
      </c>
      <c r="AA130" s="334">
        <f t="shared" si="196"/>
        <v>31327</v>
      </c>
      <c r="AB130" s="333">
        <f t="shared" si="196"/>
        <v>31614</v>
      </c>
      <c r="AC130" s="333">
        <f t="shared" si="196"/>
        <v>29678</v>
      </c>
      <c r="AD130" s="333">
        <f t="shared" si="196"/>
        <v>29883</v>
      </c>
      <c r="AE130" s="333">
        <f t="shared" si="196"/>
        <v>29427</v>
      </c>
      <c r="AF130" s="334">
        <f t="shared" si="196"/>
        <v>29427</v>
      </c>
      <c r="AG130" s="333">
        <f t="shared" si="196"/>
        <v>29811</v>
      </c>
      <c r="AH130" s="333">
        <f t="shared" si="196"/>
        <v>30350</v>
      </c>
      <c r="AI130" s="333">
        <f t="shared" si="196"/>
        <v>31303</v>
      </c>
      <c r="AJ130" s="333">
        <f t="shared" si="196"/>
        <v>29963</v>
      </c>
      <c r="AK130" s="334">
        <f t="shared" si="196"/>
        <v>29963</v>
      </c>
      <c r="AL130" s="333">
        <f t="shared" si="196"/>
        <v>33120</v>
      </c>
      <c r="AM130" s="333">
        <f t="shared" si="196"/>
        <v>39989</v>
      </c>
      <c r="AN130" s="333">
        <f t="shared" ref="AN130:BE130" si="197">SUM(AN123:AN129)+AN121</f>
        <v>41670</v>
      </c>
      <c r="AO130" s="333">
        <f t="shared" si="197"/>
        <v>43269</v>
      </c>
      <c r="AP130" s="334">
        <f t="shared" si="197"/>
        <v>43269</v>
      </c>
      <c r="AQ130" s="333">
        <f t="shared" si="197"/>
        <v>47004</v>
      </c>
      <c r="AR130" s="333">
        <f t="shared" si="197"/>
        <v>47731</v>
      </c>
      <c r="AS130" s="333">
        <f t="shared" si="197"/>
        <v>48180</v>
      </c>
      <c r="AT130" s="333">
        <f t="shared" si="197"/>
        <v>40519</v>
      </c>
      <c r="AU130" s="334">
        <f t="shared" si="197"/>
        <v>40519</v>
      </c>
      <c r="AV130" s="333">
        <f t="shared" si="197"/>
        <v>43103</v>
      </c>
      <c r="AW130" s="333">
        <f t="shared" si="197"/>
        <v>46054</v>
      </c>
      <c r="AX130" s="333">
        <f t="shared" si="197"/>
        <v>47107</v>
      </c>
      <c r="AY130" s="333">
        <f t="shared" si="197"/>
        <v>48671</v>
      </c>
      <c r="AZ130" s="334">
        <f t="shared" si="197"/>
        <v>48671</v>
      </c>
      <c r="BA130" s="333">
        <f t="shared" si="197"/>
        <v>47403</v>
      </c>
      <c r="BB130" s="333">
        <f t="shared" si="197"/>
        <v>48444</v>
      </c>
      <c r="BC130" s="333">
        <f t="shared" si="197"/>
        <v>54089</v>
      </c>
      <c r="BD130" s="333">
        <f t="shared" si="197"/>
        <v>72921</v>
      </c>
      <c r="BE130" s="334">
        <f t="shared" si="197"/>
        <v>72921</v>
      </c>
      <c r="BF130" s="335">
        <f t="shared" ref="BF130:CX130" si="198">SUM(BF123:BF129)+BF121</f>
        <v>76058</v>
      </c>
      <c r="BG130" s="335">
        <f t="shared" si="198"/>
        <v>80090</v>
      </c>
      <c r="BH130" s="335">
        <f t="shared" si="198"/>
        <v>81753</v>
      </c>
      <c r="BI130" s="335">
        <f t="shared" si="198"/>
        <v>79974</v>
      </c>
      <c r="BJ130" s="610">
        <f t="shared" si="198"/>
        <v>79974</v>
      </c>
      <c r="BK130" s="615">
        <f t="shared" si="198"/>
        <v>83897</v>
      </c>
      <c r="BL130" s="615">
        <f t="shared" si="198"/>
        <v>85149</v>
      </c>
      <c r="BM130" s="615">
        <f t="shared" si="198"/>
        <v>86654</v>
      </c>
      <c r="BN130" s="615">
        <f t="shared" si="198"/>
        <v>86174</v>
      </c>
      <c r="BO130" s="610">
        <f t="shared" si="198"/>
        <v>86174</v>
      </c>
      <c r="BP130" s="615">
        <f t="shared" si="198"/>
        <v>88450</v>
      </c>
      <c r="BQ130" s="615">
        <f t="shared" si="198"/>
        <v>89511</v>
      </c>
      <c r="BR130" s="614">
        <f t="shared" si="198"/>
        <v>89432</v>
      </c>
      <c r="BS130" s="614">
        <f t="shared" si="198"/>
        <v>90055</v>
      </c>
      <c r="BT130" s="613">
        <f t="shared" si="198"/>
        <v>90055</v>
      </c>
      <c r="BU130" s="614">
        <f t="shared" si="198"/>
        <v>91289</v>
      </c>
      <c r="BV130" s="614">
        <f t="shared" si="198"/>
        <v>95489</v>
      </c>
      <c r="BW130" s="614">
        <f t="shared" si="198"/>
        <v>96314</v>
      </c>
      <c r="BX130" s="614">
        <f t="shared" si="198"/>
        <v>92023</v>
      </c>
      <c r="BY130" s="613">
        <f t="shared" si="198"/>
        <v>92023</v>
      </c>
      <c r="BZ130" s="614">
        <f t="shared" si="198"/>
        <v>91016</v>
      </c>
      <c r="CA130" s="614">
        <f>SUM(CA123:CA129)+CA121</f>
        <v>93189</v>
      </c>
      <c r="CB130" s="614">
        <f t="shared" si="198"/>
        <v>93008</v>
      </c>
      <c r="CC130" s="614">
        <f t="shared" si="198"/>
        <v>90093</v>
      </c>
      <c r="CD130" s="613">
        <f t="shared" si="198"/>
        <v>90093</v>
      </c>
      <c r="CE130" s="614">
        <f t="shared" si="198"/>
        <v>91263</v>
      </c>
      <c r="CF130" s="710">
        <f t="shared" si="198"/>
        <v>94094</v>
      </c>
      <c r="CG130" s="804">
        <f t="shared" si="198"/>
        <v>93927</v>
      </c>
      <c r="CH130" s="614">
        <f t="shared" si="198"/>
        <v>87270</v>
      </c>
      <c r="CI130" s="711">
        <f t="shared" si="198"/>
        <v>87270</v>
      </c>
      <c r="CJ130" s="614">
        <f t="shared" si="198"/>
        <v>91201</v>
      </c>
      <c r="CK130" s="614">
        <f t="shared" si="198"/>
        <v>91146</v>
      </c>
      <c r="CL130" s="614">
        <f t="shared" si="198"/>
        <v>90515</v>
      </c>
      <c r="CM130" s="614">
        <f t="shared" si="198"/>
        <v>87896</v>
      </c>
      <c r="CN130" s="711">
        <f t="shared" si="198"/>
        <v>87896</v>
      </c>
      <c r="CO130" s="614">
        <f t="shared" si="198"/>
        <v>93282</v>
      </c>
      <c r="CP130" s="710">
        <f t="shared" ca="1" si="198"/>
        <v>86945.760781071935</v>
      </c>
      <c r="CQ130" s="710">
        <f t="shared" ca="1" si="198"/>
        <v>83894.140890820941</v>
      </c>
      <c r="CR130" s="710">
        <f t="shared" ca="1" si="198"/>
        <v>85507.036885263544</v>
      </c>
      <c r="CS130" s="711">
        <f t="shared" ca="1" si="198"/>
        <v>85507.036885263544</v>
      </c>
      <c r="CT130" s="710">
        <f t="shared" ca="1" si="198"/>
        <v>88967.159311783325</v>
      </c>
      <c r="CU130" s="710">
        <f t="shared" ca="1" si="198"/>
        <v>80939.85531654174</v>
      </c>
      <c r="CV130" s="710">
        <f t="shared" ca="1" si="198"/>
        <v>81391.879245131393</v>
      </c>
      <c r="CW130" s="710">
        <f t="shared" ca="1" si="198"/>
        <v>86581.014770285285</v>
      </c>
      <c r="CX130" s="711">
        <f t="shared" ca="1" si="198"/>
        <v>86581.014770285285</v>
      </c>
      <c r="CY130" s="710">
        <f t="shared" ref="CY130:DH130" ca="1" si="199">SUM(CY123:CY129)+CY121</f>
        <v>91361.531915408355</v>
      </c>
      <c r="CZ130" s="710">
        <f t="shared" ca="1" si="199"/>
        <v>83112.812790592332</v>
      </c>
      <c r="DA130" s="710">
        <f t="shared" ca="1" si="199"/>
        <v>83570.348335532079</v>
      </c>
      <c r="DB130" s="710">
        <f t="shared" ca="1" si="199"/>
        <v>88990.071144128131</v>
      </c>
      <c r="DC130" s="711">
        <f t="shared" ca="1" si="199"/>
        <v>88990.071144128131</v>
      </c>
      <c r="DD130" s="710">
        <f t="shared" ca="1" si="199"/>
        <v>93758.308345089376</v>
      </c>
      <c r="DE130" s="710">
        <f t="shared" ca="1" si="199"/>
        <v>85268.295958421746</v>
      </c>
      <c r="DF130" s="710">
        <f t="shared" ca="1" si="199"/>
        <v>85771.057388373389</v>
      </c>
      <c r="DG130" s="710">
        <f t="shared" ca="1" si="199"/>
        <v>91450.089611724368</v>
      </c>
      <c r="DH130" s="711">
        <f t="shared" ca="1" si="199"/>
        <v>91450.089611724368</v>
      </c>
      <c r="DI130" s="710">
        <f ca="1">SUM(DI123:DI129)+DI121</f>
        <v>96217.792878447799</v>
      </c>
      <c r="DJ130" s="710">
        <f ca="1">SUM(DJ123:DJ129)+DJ121</f>
        <v>87528.853913175699</v>
      </c>
      <c r="DK130" s="710">
        <f ca="1">SUM(DK123:DK129)+DK121</f>
        <v>88084.451712148846</v>
      </c>
      <c r="DL130" s="710">
        <f ca="1">SUM(DL123:DL129)+DL121</f>
        <v>94020.559212139211</v>
      </c>
      <c r="DM130" s="711">
        <f ca="1">SUM(DM123:DM129)+DM121</f>
        <v>94020.559212139211</v>
      </c>
      <c r="DN130" s="233"/>
    </row>
    <row r="131" spans="1:118" ht="15" x14ac:dyDescent="0.2">
      <c r="G131" s="219"/>
      <c r="L131" s="219"/>
      <c r="Q131" s="219"/>
      <c r="V131" s="219"/>
      <c r="AA131" s="219"/>
      <c r="AF131" s="219"/>
      <c r="AK131" s="219"/>
      <c r="AP131" s="219"/>
      <c r="AU131" s="219"/>
      <c r="AZ131" s="219"/>
      <c r="BB131" s="337"/>
      <c r="BE131" s="219"/>
      <c r="BF131" s="338"/>
      <c r="BG131" s="338"/>
      <c r="BH131" s="338"/>
      <c r="BI131" s="338"/>
      <c r="BJ131" s="443"/>
      <c r="BK131" s="624"/>
      <c r="BL131" s="624"/>
      <c r="BM131" s="624"/>
      <c r="BN131" s="624"/>
      <c r="BO131" s="443"/>
      <c r="BP131" s="624"/>
      <c r="BQ131" s="624"/>
      <c r="BR131" s="616"/>
      <c r="BS131" s="616"/>
      <c r="BT131" s="617"/>
      <c r="BU131" s="616"/>
      <c r="BV131" s="616"/>
      <c r="BW131" s="616"/>
      <c r="BX131" s="616"/>
      <c r="BY131" s="617"/>
      <c r="BZ131" s="616"/>
      <c r="CA131" s="616"/>
      <c r="CB131" s="616"/>
      <c r="CC131" s="616"/>
      <c r="CD131" s="617"/>
      <c r="CE131" s="624"/>
      <c r="CF131" s="707"/>
      <c r="CG131" s="802"/>
      <c r="CH131" s="707"/>
      <c r="CI131" s="705"/>
      <c r="CJ131" s="707"/>
      <c r="CK131" s="707"/>
      <c r="CL131" s="707"/>
      <c r="CM131" s="707"/>
      <c r="CN131" s="705"/>
      <c r="CO131" s="707"/>
      <c r="CP131" s="707"/>
      <c r="CQ131" s="707"/>
      <c r="CR131" s="707"/>
      <c r="CS131" s="705"/>
      <c r="CT131" s="707"/>
      <c r="CU131" s="707"/>
      <c r="CV131" s="707"/>
      <c r="CW131" s="707"/>
      <c r="CX131" s="705"/>
      <c r="CY131" s="707"/>
      <c r="CZ131" s="707"/>
      <c r="DA131" s="707"/>
      <c r="DB131" s="707"/>
      <c r="DC131" s="705"/>
      <c r="DD131" s="707"/>
      <c r="DE131" s="707"/>
      <c r="DF131" s="707"/>
      <c r="DG131" s="707"/>
      <c r="DH131" s="705"/>
      <c r="DI131" s="707"/>
      <c r="DJ131" s="707"/>
      <c r="DK131" s="707"/>
      <c r="DL131" s="707"/>
      <c r="DM131" s="705"/>
      <c r="DN131" s="233"/>
    </row>
    <row r="132" spans="1:118" ht="15.75" x14ac:dyDescent="0.25">
      <c r="A132" s="20" t="s">
        <v>64</v>
      </c>
      <c r="G132" s="219"/>
      <c r="L132" s="219"/>
      <c r="Q132" s="219"/>
      <c r="V132" s="219"/>
      <c r="AA132" s="219"/>
      <c r="AF132" s="219"/>
      <c r="AK132" s="219"/>
      <c r="AP132" s="219"/>
      <c r="AU132" s="219"/>
      <c r="AZ132" s="219"/>
      <c r="BE132" s="219"/>
      <c r="BF132" s="338"/>
      <c r="BG132" s="338"/>
      <c r="BH132" s="338"/>
      <c r="BI132" s="338"/>
      <c r="BJ132" s="443"/>
      <c r="BK132" s="624"/>
      <c r="BL132" s="624"/>
      <c r="BM132" s="625"/>
      <c r="BN132" s="624"/>
      <c r="BO132" s="443"/>
      <c r="BP132" s="624"/>
      <c r="BQ132" s="624"/>
      <c r="BR132" s="616"/>
      <c r="BS132" s="616"/>
      <c r="BT132" s="617"/>
      <c r="BU132" s="616"/>
      <c r="BV132" s="616"/>
      <c r="BW132" s="616"/>
      <c r="BX132" s="616"/>
      <c r="BY132" s="617"/>
      <c r="BZ132" s="616"/>
      <c r="CA132" s="616"/>
      <c r="CB132" s="616"/>
      <c r="CC132" s="616"/>
      <c r="CD132" s="617"/>
      <c r="CE132" s="624"/>
      <c r="CF132" s="707"/>
      <c r="CG132" s="802"/>
      <c r="CH132" s="707"/>
      <c r="CI132" s="705"/>
      <c r="CJ132" s="707"/>
      <c r="CK132" s="707"/>
      <c r="CL132" s="707"/>
      <c r="CM132" s="707"/>
      <c r="CN132" s="705"/>
      <c r="CO132" s="707"/>
      <c r="CP132" s="707"/>
      <c r="CQ132" s="707"/>
      <c r="CR132" s="707"/>
      <c r="CS132" s="705"/>
      <c r="CT132" s="707"/>
      <c r="CU132" s="707"/>
      <c r="CV132" s="707"/>
      <c r="CW132" s="707"/>
      <c r="CX132" s="705"/>
      <c r="CY132" s="707"/>
      <c r="CZ132" s="707"/>
      <c r="DA132" s="707"/>
      <c r="DB132" s="707"/>
      <c r="DC132" s="705"/>
      <c r="DD132" s="707"/>
      <c r="DE132" s="707"/>
      <c r="DF132" s="707"/>
      <c r="DG132" s="707"/>
      <c r="DH132" s="705"/>
      <c r="DI132" s="707"/>
      <c r="DJ132" s="707"/>
      <c r="DK132" s="707"/>
      <c r="DL132" s="707"/>
      <c r="DM132" s="705"/>
      <c r="DN132" s="233"/>
    </row>
    <row r="133" spans="1:118" ht="15" x14ac:dyDescent="0.2">
      <c r="A133" s="18" t="s">
        <v>65</v>
      </c>
      <c r="C133" s="328"/>
      <c r="D133" s="328"/>
      <c r="E133" s="328"/>
      <c r="F133" s="328"/>
      <c r="G133" s="326"/>
      <c r="H133" s="328">
        <v>0</v>
      </c>
      <c r="I133" s="328">
        <v>0</v>
      </c>
      <c r="J133" s="328">
        <v>0</v>
      </c>
      <c r="K133" s="328">
        <v>0</v>
      </c>
      <c r="L133" s="326">
        <f>K133</f>
        <v>0</v>
      </c>
      <c r="M133" s="328">
        <v>0</v>
      </c>
      <c r="N133" s="328">
        <v>0</v>
      </c>
      <c r="O133" s="328">
        <v>0</v>
      </c>
      <c r="P133" s="328">
        <v>0</v>
      </c>
      <c r="Q133" s="326">
        <f>P133</f>
        <v>0</v>
      </c>
      <c r="R133" s="328">
        <v>0</v>
      </c>
      <c r="S133" s="328">
        <v>0</v>
      </c>
      <c r="T133" s="328">
        <v>0</v>
      </c>
      <c r="U133" s="328">
        <v>0</v>
      </c>
      <c r="V133" s="326">
        <f>U133</f>
        <v>0</v>
      </c>
      <c r="W133" s="328">
        <v>0</v>
      </c>
      <c r="X133" s="328">
        <v>0</v>
      </c>
      <c r="Y133" s="328">
        <v>0</v>
      </c>
      <c r="Z133" s="328">
        <v>0</v>
      </c>
      <c r="AA133" s="326">
        <f>Z133</f>
        <v>0</v>
      </c>
      <c r="AB133" s="328">
        <v>0</v>
      </c>
      <c r="AC133" s="328">
        <v>0</v>
      </c>
      <c r="AD133" s="328">
        <v>0</v>
      </c>
      <c r="AE133" s="328">
        <v>0</v>
      </c>
      <c r="AF133" s="326">
        <f>AE133</f>
        <v>0</v>
      </c>
      <c r="AG133" s="328">
        <v>0</v>
      </c>
      <c r="AH133" s="328">
        <v>0</v>
      </c>
      <c r="AI133" s="328">
        <v>0</v>
      </c>
      <c r="AJ133" s="328">
        <v>0</v>
      </c>
      <c r="AK133" s="326">
        <f>AJ133</f>
        <v>0</v>
      </c>
      <c r="AL133" s="328">
        <v>0</v>
      </c>
      <c r="AM133" s="328">
        <v>0</v>
      </c>
      <c r="AN133" s="328">
        <v>0</v>
      </c>
      <c r="AO133" s="328">
        <v>0</v>
      </c>
      <c r="AP133" s="326">
        <f>AO133</f>
        <v>0</v>
      </c>
      <c r="AQ133" s="328">
        <v>0</v>
      </c>
      <c r="AR133" s="328">
        <v>0</v>
      </c>
      <c r="AS133" s="328">
        <v>0</v>
      </c>
      <c r="AT133" s="328">
        <v>0</v>
      </c>
      <c r="AU133" s="326">
        <f>AT133</f>
        <v>0</v>
      </c>
      <c r="AV133" s="328">
        <v>0</v>
      </c>
      <c r="AW133" s="328">
        <v>0</v>
      </c>
      <c r="AX133" s="328">
        <v>0</v>
      </c>
      <c r="AY133" s="328">
        <v>0</v>
      </c>
      <c r="AZ133" s="326">
        <f>AY133</f>
        <v>0</v>
      </c>
      <c r="BA133" s="328">
        <v>0</v>
      </c>
      <c r="BB133" s="328">
        <v>0</v>
      </c>
      <c r="BC133" s="328">
        <v>0</v>
      </c>
      <c r="BD133" s="328">
        <v>0</v>
      </c>
      <c r="BE133" s="326">
        <f>BD133</f>
        <v>0</v>
      </c>
      <c r="BF133" s="328">
        <v>0</v>
      </c>
      <c r="BG133" s="328">
        <v>0</v>
      </c>
      <c r="BH133" s="328">
        <v>0</v>
      </c>
      <c r="BI133" s="328">
        <v>0</v>
      </c>
      <c r="BJ133" s="592">
        <f>BI133</f>
        <v>0</v>
      </c>
      <c r="BK133" s="591">
        <v>0</v>
      </c>
      <c r="BL133" s="591">
        <v>0</v>
      </c>
      <c r="BM133" s="591">
        <v>0</v>
      </c>
      <c r="BN133" s="591">
        <v>0</v>
      </c>
      <c r="BO133" s="592">
        <v>0</v>
      </c>
      <c r="BP133" s="591">
        <v>0</v>
      </c>
      <c r="BQ133" s="591">
        <v>0</v>
      </c>
      <c r="BR133" s="620">
        <v>0</v>
      </c>
      <c r="BS133" s="620">
        <v>0</v>
      </c>
      <c r="BT133" s="617">
        <f t="shared" ref="BT133:DC133" si="200">MAX(0,(BT115+BT116+BT117+BT118+BT119+BT120+BT123+BT124+BT125+BT127+BT126+BT128+BT129)-(BT134+BT135+BT136+BT137+BT140+BT142+BT141+BT146+BT147+BT148+BT149+BT150+BT151))</f>
        <v>0</v>
      </c>
      <c r="BU133" s="616">
        <v>0</v>
      </c>
      <c r="BV133" s="616">
        <v>0</v>
      </c>
      <c r="BW133" s="616">
        <v>0</v>
      </c>
      <c r="BX133" s="616">
        <v>0</v>
      </c>
      <c r="BY133" s="617">
        <v>0</v>
      </c>
      <c r="BZ133" s="616">
        <v>0</v>
      </c>
      <c r="CA133" s="616">
        <f t="shared" si="200"/>
        <v>97</v>
      </c>
      <c r="CB133" s="616">
        <v>0</v>
      </c>
      <c r="CC133" s="616">
        <v>0</v>
      </c>
      <c r="CD133" s="617">
        <v>0</v>
      </c>
      <c r="CE133" s="616">
        <v>0</v>
      </c>
      <c r="CF133" s="707">
        <v>0</v>
      </c>
      <c r="CG133" s="802">
        <v>0</v>
      </c>
      <c r="CH133" s="802">
        <v>0</v>
      </c>
      <c r="CI133" s="705">
        <v>0</v>
      </c>
      <c r="CJ133" s="802">
        <v>0</v>
      </c>
      <c r="CK133" s="802">
        <v>0</v>
      </c>
      <c r="CL133" s="802">
        <v>0</v>
      </c>
      <c r="CM133" s="802">
        <v>0</v>
      </c>
      <c r="CN133" s="705">
        <v>0</v>
      </c>
      <c r="CO133" s="802">
        <v>0</v>
      </c>
      <c r="CP133" s="707">
        <f t="shared" ca="1" si="200"/>
        <v>0</v>
      </c>
      <c r="CQ133" s="707">
        <f t="shared" ca="1" si="200"/>
        <v>0</v>
      </c>
      <c r="CR133" s="707">
        <f t="shared" ca="1" si="200"/>
        <v>0</v>
      </c>
      <c r="CS133" s="705">
        <f t="shared" ca="1" si="200"/>
        <v>0</v>
      </c>
      <c r="CT133" s="707">
        <f t="shared" ca="1" si="200"/>
        <v>1512.8620326261444</v>
      </c>
      <c r="CU133" s="707">
        <f t="shared" ca="1" si="200"/>
        <v>0</v>
      </c>
      <c r="CV133" s="707">
        <f t="shared" ca="1" si="200"/>
        <v>0</v>
      </c>
      <c r="CW133" s="707">
        <f t="shared" ca="1" si="200"/>
        <v>0</v>
      </c>
      <c r="CX133" s="705">
        <f t="shared" ca="1" si="200"/>
        <v>0</v>
      </c>
      <c r="CY133" s="707">
        <f t="shared" ca="1" si="200"/>
        <v>1445.3817974807316</v>
      </c>
      <c r="CZ133" s="707">
        <f t="shared" ca="1" si="200"/>
        <v>0</v>
      </c>
      <c r="DA133" s="707">
        <f t="shared" ca="1" si="200"/>
        <v>0</v>
      </c>
      <c r="DB133" s="707">
        <f t="shared" ca="1" si="200"/>
        <v>0</v>
      </c>
      <c r="DC133" s="705">
        <f t="shared" ca="1" si="200"/>
        <v>0</v>
      </c>
      <c r="DD133" s="707">
        <f t="shared" ref="DD133:DM133" ca="1" si="201">MAX(0,(DD115+DD116+DD117+DD118+DD119+DD120+DD123+DD124+DD125+DD127+DD126+DD128+DD129)-(DD134+DD135+DD136+DD137+DD140+DD142+DD141+DD146+DD147+DD148+DD149+DD150+DD151))</f>
        <v>1459.36853736591</v>
      </c>
      <c r="DE133" s="707">
        <f t="shared" ca="1" si="201"/>
        <v>0</v>
      </c>
      <c r="DF133" s="707">
        <f t="shared" ca="1" si="201"/>
        <v>0</v>
      </c>
      <c r="DG133" s="707">
        <f t="shared" ca="1" si="201"/>
        <v>0</v>
      </c>
      <c r="DH133" s="705">
        <f t="shared" ca="1" si="201"/>
        <v>0</v>
      </c>
      <c r="DI133" s="707">
        <f ca="1">MAX(0,(DI115+DI116+DI117+DI118+DI119+DI120+DI123+DI124+DI125+DI127+DI126+DI128+DI129)-(DI134+DI135+DI136+DI137+DI140+DI142+DI141+DI146+DI147+DI148+DI149+DI150+DI151))</f>
        <v>1446.6424281288055</v>
      </c>
      <c r="DJ133" s="707">
        <f ca="1">MAX(0,(DJ115+DJ116+DJ117+DJ118+DJ119+DJ120+DJ123+DJ124+DJ125+DJ127+DJ126+DJ128+DJ129)-(DJ134+DJ135+DJ136+DJ137+DJ140+DJ142+DJ141+DJ146+DJ147+DJ148+DJ149+DJ150+DJ151))</f>
        <v>0</v>
      </c>
      <c r="DK133" s="707">
        <f ca="1">MAX(0,(DK115+DK116+DK117+DK118+DK119+DK120+DK123+DK124+DK125+DK127+DK126+DK128+DK129)-(DK134+DK135+DK136+DK137+DK140+DK142+DK141+DK146+DK147+DK148+DK149+DK150+DK151))</f>
        <v>0</v>
      </c>
      <c r="DL133" s="707">
        <f ca="1">MAX(0,(DL115+DL116+DL117+DL118+DL119+DL120+DL123+DL124+DL125+DL127+DL126+DL128+DL129)-(DL134+DL135+DL136+DL137+DL140+DL142+DL141+DL146+DL147+DL148+DL149+DL150+DL151))</f>
        <v>0</v>
      </c>
      <c r="DM133" s="705">
        <f t="shared" ca="1" si="201"/>
        <v>0</v>
      </c>
      <c r="DN133" s="208"/>
    </row>
    <row r="134" spans="1:118" ht="15" x14ac:dyDescent="0.2">
      <c r="A134" s="18" t="s">
        <v>326</v>
      </c>
      <c r="C134" s="328">
        <v>3892</v>
      </c>
      <c r="D134" s="328">
        <v>4329</v>
      </c>
      <c r="E134" s="328">
        <v>4520</v>
      </c>
      <c r="F134" s="328">
        <v>3905</v>
      </c>
      <c r="G134" s="326">
        <v>3905</v>
      </c>
      <c r="H134" s="328">
        <v>3978</v>
      </c>
      <c r="I134" s="328">
        <v>4051</v>
      </c>
      <c r="J134" s="328">
        <v>4062</v>
      </c>
      <c r="K134" s="328">
        <v>3679</v>
      </c>
      <c r="L134" s="326">
        <f>K134</f>
        <v>3679</v>
      </c>
      <c r="M134" s="328">
        <v>3999</v>
      </c>
      <c r="N134" s="328">
        <v>4485</v>
      </c>
      <c r="O134" s="328">
        <v>4311</v>
      </c>
      <c r="P134" s="328">
        <v>3692</v>
      </c>
      <c r="Q134" s="326">
        <f>P134</f>
        <v>3692</v>
      </c>
      <c r="R134" s="328">
        <v>4194</v>
      </c>
      <c r="S134" s="328">
        <v>4596</v>
      </c>
      <c r="T134" s="328">
        <v>4663</v>
      </c>
      <c r="U134" s="328">
        <v>4058</v>
      </c>
      <c r="V134" s="326">
        <f>U134</f>
        <v>4058</v>
      </c>
      <c r="W134" s="328">
        <v>4030</v>
      </c>
      <c r="X134" s="328">
        <v>4198</v>
      </c>
      <c r="Y134" s="328">
        <v>4021</v>
      </c>
      <c r="Z134" s="328">
        <v>4283</v>
      </c>
      <c r="AA134" s="326">
        <f>Z134</f>
        <v>4283</v>
      </c>
      <c r="AB134" s="328">
        <v>4026</v>
      </c>
      <c r="AC134" s="328">
        <v>4288</v>
      </c>
      <c r="AD134" s="328">
        <v>5194</v>
      </c>
      <c r="AE134" s="328">
        <v>4493</v>
      </c>
      <c r="AF134" s="326">
        <f>AE134</f>
        <v>4493</v>
      </c>
      <c r="AG134" s="328">
        <v>4954</v>
      </c>
      <c r="AH134" s="328">
        <v>5317</v>
      </c>
      <c r="AI134" s="328">
        <v>5620</v>
      </c>
      <c r="AJ134" s="328">
        <v>5055</v>
      </c>
      <c r="AK134" s="326">
        <f>AJ134</f>
        <v>5055</v>
      </c>
      <c r="AL134" s="328">
        <v>5803</v>
      </c>
      <c r="AM134" s="328">
        <v>6631</v>
      </c>
      <c r="AN134" s="328">
        <v>7130</v>
      </c>
      <c r="AO134" s="328">
        <v>6915</v>
      </c>
      <c r="AP134" s="326">
        <f>AO134</f>
        <v>6915</v>
      </c>
      <c r="AQ134" s="328">
        <v>7805</v>
      </c>
      <c r="AR134" s="328">
        <v>7978</v>
      </c>
      <c r="AS134" s="328">
        <v>7659</v>
      </c>
      <c r="AT134" s="328">
        <v>6205</v>
      </c>
      <c r="AU134" s="326">
        <f>AT134</f>
        <v>6205</v>
      </c>
      <c r="AV134" s="328">
        <v>5651</v>
      </c>
      <c r="AW134" s="328">
        <v>6356</v>
      </c>
      <c r="AX134" s="328">
        <v>6755</v>
      </c>
      <c r="AY134" s="328">
        <v>6657</v>
      </c>
      <c r="AZ134" s="326">
        <f>AY134</f>
        <v>6657</v>
      </c>
      <c r="BA134" s="328">
        <v>5963</v>
      </c>
      <c r="BB134" s="328">
        <v>6202</v>
      </c>
      <c r="BC134" s="328">
        <f>7691+214</f>
        <v>7905</v>
      </c>
      <c r="BD134" s="328">
        <v>8859</v>
      </c>
      <c r="BE134" s="326">
        <f>BD134</f>
        <v>8859</v>
      </c>
      <c r="BF134" s="328">
        <v>8291</v>
      </c>
      <c r="BG134" s="328">
        <v>8986</v>
      </c>
      <c r="BH134" s="328">
        <v>9837</v>
      </c>
      <c r="BI134" s="328">
        <v>9009</v>
      </c>
      <c r="BJ134" s="592">
        <f>BI134</f>
        <v>9009</v>
      </c>
      <c r="BK134" s="591">
        <v>9717</v>
      </c>
      <c r="BL134" s="591">
        <v>9775</v>
      </c>
      <c r="BM134" s="591">
        <v>9803</v>
      </c>
      <c r="BN134" s="591">
        <f>8680+796</f>
        <v>9476</v>
      </c>
      <c r="BO134" s="592">
        <f>BN134</f>
        <v>9476</v>
      </c>
      <c r="BP134" s="593">
        <f>9447+446</f>
        <v>9893</v>
      </c>
      <c r="BQ134" s="593">
        <f>10047+468</f>
        <v>10515</v>
      </c>
      <c r="BR134" s="626">
        <v>10590</v>
      </c>
      <c r="BS134" s="626">
        <v>9577</v>
      </c>
      <c r="BT134" s="617">
        <f>BS134</f>
        <v>9577</v>
      </c>
      <c r="BU134" s="616">
        <v>9959</v>
      </c>
      <c r="BV134" s="616">
        <v>10575</v>
      </c>
      <c r="BW134" s="616">
        <f>10517+16</f>
        <v>10533</v>
      </c>
      <c r="BX134" s="616">
        <f>9234+58</f>
        <v>9292</v>
      </c>
      <c r="BY134" s="617">
        <f>BX134</f>
        <v>9292</v>
      </c>
      <c r="BZ134" s="616">
        <f>8853+158</f>
        <v>9011</v>
      </c>
      <c r="CA134" s="616">
        <f>9997+81</f>
        <v>10078</v>
      </c>
      <c r="CB134" s="616">
        <f>9877+1048</f>
        <v>10925</v>
      </c>
      <c r="CC134" s="616">
        <f>9660+1133</f>
        <v>10793</v>
      </c>
      <c r="CD134" s="617">
        <f>CC134</f>
        <v>10793</v>
      </c>
      <c r="CE134" s="616">
        <f>9626+1242</f>
        <v>10868</v>
      </c>
      <c r="CF134" s="707">
        <v>10235</v>
      </c>
      <c r="CG134" s="802">
        <v>11153</v>
      </c>
      <c r="CH134" s="802">
        <v>9490</v>
      </c>
      <c r="CI134" s="705">
        <f>CH134</f>
        <v>9490</v>
      </c>
      <c r="CJ134" s="802">
        <v>10251</v>
      </c>
      <c r="CK134" s="802">
        <v>10363</v>
      </c>
      <c r="CL134" s="802">
        <v>10212</v>
      </c>
      <c r="CM134" s="802">
        <v>8748</v>
      </c>
      <c r="CN134" s="705">
        <f>CM134</f>
        <v>8748</v>
      </c>
      <c r="CO134" s="802">
        <v>10218</v>
      </c>
      <c r="CP134" s="707">
        <f>-CP220*4*CP9</f>
        <v>8695.7008932369044</v>
      </c>
      <c r="CQ134" s="707">
        <f>-CQ220*4*CQ9</f>
        <v>8602.6670782019428</v>
      </c>
      <c r="CR134" s="707">
        <f>-CR220*4*CR9</f>
        <v>8079.9855713867673</v>
      </c>
      <c r="CS134" s="705">
        <f>CR134</f>
        <v>8079.9855713867673</v>
      </c>
      <c r="CT134" s="707">
        <f>-CT220*4*CT9</f>
        <v>10449.2865505182</v>
      </c>
      <c r="CU134" s="707">
        <f>-CU220*4*CU9</f>
        <v>8913.6438789233507</v>
      </c>
      <c r="CV134" s="707">
        <f>-CV220*4*CV9</f>
        <v>8824.7249882208562</v>
      </c>
      <c r="CW134" s="707">
        <f>-CW220*4*CW9</f>
        <v>8307.5274605146224</v>
      </c>
      <c r="CX134" s="705">
        <f>CW134</f>
        <v>8307.5274605146224</v>
      </c>
      <c r="CY134" s="707">
        <f>-CY220*4*CY9</f>
        <v>10765.854617748591</v>
      </c>
      <c r="CZ134" s="707">
        <f>-CZ220*4*CZ9</f>
        <v>9174.7335350726044</v>
      </c>
      <c r="DA134" s="707">
        <f>-DA220*4*DA9</f>
        <v>9090.1707060450808</v>
      </c>
      <c r="DB134" s="707">
        <f>-DB220*4*DB9</f>
        <v>8574.6054285335631</v>
      </c>
      <c r="DC134" s="705">
        <f>DB134</f>
        <v>8574.6054285335631</v>
      </c>
      <c r="DD134" s="707">
        <f>-DD220*4*DD9</f>
        <v>11072.174643400887</v>
      </c>
      <c r="DE134" s="707">
        <f>-DE220*4*DE9</f>
        <v>9430.7636982258082</v>
      </c>
      <c r="DF134" s="707">
        <f>-DF220*4*DF9</f>
        <v>9352.4015924082469</v>
      </c>
      <c r="DG134" s="707">
        <f>-DG220*4*DG9</f>
        <v>8841.3951516740253</v>
      </c>
      <c r="DH134" s="705">
        <f>DG134</f>
        <v>8841.3951516740253</v>
      </c>
      <c r="DI134" s="707">
        <f>-DI220*4*DI9</f>
        <v>11383.273648590015</v>
      </c>
      <c r="DJ134" s="707">
        <f>-DJ220*4*DJ9</f>
        <v>9692.6605636105451</v>
      </c>
      <c r="DK134" s="707">
        <f>-DK220*4*DK9</f>
        <v>9619.212523232125</v>
      </c>
      <c r="DL134" s="707">
        <f>-DL220*4*DL9</f>
        <v>9109.2713515356536</v>
      </c>
      <c r="DM134" s="705">
        <f>DL134</f>
        <v>9109.2713515356536</v>
      </c>
      <c r="DN134" s="208"/>
    </row>
    <row r="135" spans="1:118" ht="15" x14ac:dyDescent="0.2">
      <c r="A135" s="18" t="s">
        <v>324</v>
      </c>
      <c r="C135" s="328">
        <v>6252</v>
      </c>
      <c r="D135" s="328">
        <v>6492</v>
      </c>
      <c r="E135" s="328">
        <v>5642</v>
      </c>
      <c r="F135" s="328">
        <v>4795</v>
      </c>
      <c r="G135" s="326">
        <v>4459</v>
      </c>
      <c r="H135" s="328">
        <v>4739</v>
      </c>
      <c r="I135" s="328">
        <v>4088</v>
      </c>
      <c r="J135" s="328">
        <v>3878</v>
      </c>
      <c r="K135" s="328">
        <v>3743</v>
      </c>
      <c r="L135" s="326">
        <f>K135</f>
        <v>3743</v>
      </c>
      <c r="M135" s="328">
        <v>3198</v>
      </c>
      <c r="N135" s="328">
        <v>2967</v>
      </c>
      <c r="O135" s="328">
        <v>2518</v>
      </c>
      <c r="P135" s="328">
        <v>2475</v>
      </c>
      <c r="Q135" s="326">
        <f>P135</f>
        <v>2475</v>
      </c>
      <c r="R135" s="328">
        <v>3198</v>
      </c>
      <c r="S135" s="328">
        <v>2801</v>
      </c>
      <c r="T135" s="328">
        <v>2762</v>
      </c>
      <c r="U135" s="328">
        <v>2583</v>
      </c>
      <c r="V135" s="326">
        <f>U135</f>
        <v>2583</v>
      </c>
      <c r="W135" s="328">
        <v>3829</v>
      </c>
      <c r="X135" s="328">
        <v>3962</v>
      </c>
      <c r="Y135" s="328">
        <v>3946</v>
      </c>
      <c r="Z135" s="328">
        <v>4531</v>
      </c>
      <c r="AA135" s="326">
        <f>Z135</f>
        <v>4531</v>
      </c>
      <c r="AB135" s="328">
        <v>4379</v>
      </c>
      <c r="AC135" s="328">
        <v>3092</v>
      </c>
      <c r="AD135" s="328">
        <v>3069</v>
      </c>
      <c r="AE135" s="328">
        <v>4518</v>
      </c>
      <c r="AF135" s="326">
        <f>AE135</f>
        <v>4518</v>
      </c>
      <c r="AG135" s="328">
        <v>4476</v>
      </c>
      <c r="AH135" s="328">
        <v>3759</v>
      </c>
      <c r="AI135" s="328">
        <v>3021</v>
      </c>
      <c r="AJ135" s="328">
        <v>3235</v>
      </c>
      <c r="AK135" s="326">
        <f>AJ135</f>
        <v>3235</v>
      </c>
      <c r="AL135" s="328">
        <v>4929</v>
      </c>
      <c r="AM135" s="328">
        <v>8039</v>
      </c>
      <c r="AN135" s="328">
        <v>7992</v>
      </c>
      <c r="AO135" s="328">
        <v>5919</v>
      </c>
      <c r="AP135" s="326">
        <f>AO135</f>
        <v>5919</v>
      </c>
      <c r="AQ135" s="328">
        <v>7285</v>
      </c>
      <c r="AR135" s="328">
        <v>7752</v>
      </c>
      <c r="AS135" s="328">
        <v>8111</v>
      </c>
      <c r="AT135" s="328">
        <v>6066</v>
      </c>
      <c r="AU135" s="326">
        <f>AT135</f>
        <v>6066</v>
      </c>
      <c r="AV135" s="328">
        <v>6701</v>
      </c>
      <c r="AW135" s="328">
        <v>6382</v>
      </c>
      <c r="AX135" s="328">
        <v>6136</v>
      </c>
      <c r="AY135" s="328">
        <v>6749</v>
      </c>
      <c r="AZ135" s="326">
        <f>AY135</f>
        <v>6749</v>
      </c>
      <c r="BA135" s="328">
        <v>6670</v>
      </c>
      <c r="BB135" s="328">
        <v>6738</v>
      </c>
      <c r="BC135" s="328">
        <v>8390</v>
      </c>
      <c r="BD135" s="328">
        <v>8100</v>
      </c>
      <c r="BE135" s="326">
        <f>BD135</f>
        <v>8100</v>
      </c>
      <c r="BF135" s="328">
        <v>11985</v>
      </c>
      <c r="BG135" s="328">
        <v>12326</v>
      </c>
      <c r="BH135" s="328">
        <v>13398</v>
      </c>
      <c r="BI135" s="328">
        <v>12871</v>
      </c>
      <c r="BJ135" s="592">
        <f>BI135</f>
        <v>12871</v>
      </c>
      <c r="BK135" s="591">
        <v>13375</v>
      </c>
      <c r="BL135" s="591">
        <v>15964</v>
      </c>
      <c r="BM135" s="591">
        <v>16208</v>
      </c>
      <c r="BN135" s="591">
        <v>16297</v>
      </c>
      <c r="BO135" s="592">
        <f>BN135</f>
        <v>16297</v>
      </c>
      <c r="BP135" s="591">
        <v>16322</v>
      </c>
      <c r="BQ135" s="591">
        <v>18314</v>
      </c>
      <c r="BR135" s="620">
        <v>18840</v>
      </c>
      <c r="BS135" s="620">
        <v>16901</v>
      </c>
      <c r="BT135" s="617">
        <f>BS135</f>
        <v>16901</v>
      </c>
      <c r="BU135" s="616">
        <v>18250</v>
      </c>
      <c r="BV135" s="616">
        <v>20081</v>
      </c>
      <c r="BW135" s="616">
        <v>19175</v>
      </c>
      <c r="BX135" s="616">
        <v>19130</v>
      </c>
      <c r="BY135" s="617">
        <f>BX135</f>
        <v>19130</v>
      </c>
      <c r="BZ135" s="616">
        <v>14383</v>
      </c>
      <c r="CA135" s="616">
        <v>16306</v>
      </c>
      <c r="CB135" s="616">
        <v>17545</v>
      </c>
      <c r="CC135" s="616">
        <v>13129</v>
      </c>
      <c r="CD135" s="617">
        <f>CC135</f>
        <v>13129</v>
      </c>
      <c r="CE135" s="616">
        <v>14888</v>
      </c>
      <c r="CF135" s="707">
        <v>13901</v>
      </c>
      <c r="CG135" s="802">
        <v>12088</v>
      </c>
      <c r="CH135" s="802">
        <v>12498</v>
      </c>
      <c r="CI135" s="705">
        <f>CH135</f>
        <v>12498</v>
      </c>
      <c r="CJ135" s="802">
        <v>13726</v>
      </c>
      <c r="CK135" s="802">
        <v>14355</v>
      </c>
      <c r="CL135" s="802">
        <v>13398</v>
      </c>
      <c r="CM135" s="802">
        <v>13205</v>
      </c>
      <c r="CN135" s="705">
        <f>CM135</f>
        <v>13205</v>
      </c>
      <c r="CO135" s="802">
        <v>14785</v>
      </c>
      <c r="CP135" s="706">
        <f>CO135</f>
        <v>14785</v>
      </c>
      <c r="CQ135" s="706">
        <f>CP135</f>
        <v>14785</v>
      </c>
      <c r="CR135" s="706">
        <f>CQ135</f>
        <v>14785</v>
      </c>
      <c r="CS135" s="705">
        <f>CR135</f>
        <v>14785</v>
      </c>
      <c r="CT135" s="706">
        <f>CR135</f>
        <v>14785</v>
      </c>
      <c r="CU135" s="706">
        <f>CT135</f>
        <v>14785</v>
      </c>
      <c r="CV135" s="706">
        <f>CU135</f>
        <v>14785</v>
      </c>
      <c r="CW135" s="706">
        <f>CV135</f>
        <v>14785</v>
      </c>
      <c r="CX135" s="705">
        <f>CW135</f>
        <v>14785</v>
      </c>
      <c r="CY135" s="706">
        <f>CW135</f>
        <v>14785</v>
      </c>
      <c r="CZ135" s="706">
        <f t="shared" ref="CZ135:DB136" si="202">CY135</f>
        <v>14785</v>
      </c>
      <c r="DA135" s="706">
        <f t="shared" si="202"/>
        <v>14785</v>
      </c>
      <c r="DB135" s="706">
        <f t="shared" si="202"/>
        <v>14785</v>
      </c>
      <c r="DC135" s="705">
        <f>DB135</f>
        <v>14785</v>
      </c>
      <c r="DD135" s="706">
        <f>DB135</f>
        <v>14785</v>
      </c>
      <c r="DE135" s="706">
        <f t="shared" ref="DE135:DG136" si="203">DD135</f>
        <v>14785</v>
      </c>
      <c r="DF135" s="706">
        <f t="shared" si="203"/>
        <v>14785</v>
      </c>
      <c r="DG135" s="706">
        <f t="shared" si="203"/>
        <v>14785</v>
      </c>
      <c r="DH135" s="705">
        <f>DG135</f>
        <v>14785</v>
      </c>
      <c r="DI135" s="706">
        <f>DG135</f>
        <v>14785</v>
      </c>
      <c r="DJ135" s="706">
        <f t="shared" ref="DJ135:DL136" si="204">DI135</f>
        <v>14785</v>
      </c>
      <c r="DK135" s="706">
        <f t="shared" si="204"/>
        <v>14785</v>
      </c>
      <c r="DL135" s="706">
        <f t="shared" si="204"/>
        <v>14785</v>
      </c>
      <c r="DM135" s="705">
        <f>DL135</f>
        <v>14785</v>
      </c>
      <c r="DN135" s="208"/>
    </row>
    <row r="136" spans="1:118" ht="15" x14ac:dyDescent="0.2">
      <c r="A136" s="18" t="s">
        <v>325</v>
      </c>
      <c r="C136" s="328">
        <v>260</v>
      </c>
      <c r="D136" s="328">
        <v>258</v>
      </c>
      <c r="E136" s="328">
        <v>257</v>
      </c>
      <c r="F136" s="328">
        <v>21</v>
      </c>
      <c r="G136" s="326">
        <v>61</v>
      </c>
      <c r="H136" s="328">
        <v>6</v>
      </c>
      <c r="I136" s="328">
        <v>4</v>
      </c>
      <c r="J136" s="328">
        <v>3</v>
      </c>
      <c r="K136" s="328">
        <v>156</v>
      </c>
      <c r="L136" s="326">
        <f>K136</f>
        <v>156</v>
      </c>
      <c r="M136" s="328">
        <v>202</v>
      </c>
      <c r="N136" s="328">
        <v>203</v>
      </c>
      <c r="O136" s="328">
        <v>205</v>
      </c>
      <c r="P136" s="328">
        <v>180</v>
      </c>
      <c r="Q136" s="326">
        <f>P136</f>
        <v>180</v>
      </c>
      <c r="R136" s="328">
        <v>188</v>
      </c>
      <c r="S136" s="328">
        <v>485</v>
      </c>
      <c r="T136" s="328">
        <v>307</v>
      </c>
      <c r="U136" s="328">
        <v>323</v>
      </c>
      <c r="V136" s="326">
        <f>U136</f>
        <v>323</v>
      </c>
      <c r="W136" s="328">
        <v>24</v>
      </c>
      <c r="X136" s="328">
        <v>794</v>
      </c>
      <c r="Y136" s="328">
        <v>1384</v>
      </c>
      <c r="Z136" s="328">
        <v>1490</v>
      </c>
      <c r="AA136" s="326">
        <f>Z136</f>
        <v>1490</v>
      </c>
      <c r="AB136" s="328">
        <v>1483</v>
      </c>
      <c r="AC136" s="328">
        <v>631</v>
      </c>
      <c r="AD136" s="328">
        <v>10</v>
      </c>
      <c r="AE136" s="328">
        <v>28</v>
      </c>
      <c r="AF136" s="326">
        <f>AE136</f>
        <v>28</v>
      </c>
      <c r="AG136" s="328">
        <v>29</v>
      </c>
      <c r="AH136" s="328">
        <v>29</v>
      </c>
      <c r="AI136" s="328">
        <v>77</v>
      </c>
      <c r="AJ136" s="328">
        <v>33</v>
      </c>
      <c r="AK136" s="326">
        <f>AJ136</f>
        <v>33</v>
      </c>
      <c r="AL136" s="328">
        <v>57</v>
      </c>
      <c r="AM136" s="328">
        <v>49</v>
      </c>
      <c r="AN136" s="328">
        <v>60</v>
      </c>
      <c r="AO136" s="328">
        <v>133</v>
      </c>
      <c r="AP136" s="326">
        <f>AO136</f>
        <v>133</v>
      </c>
      <c r="AQ136" s="328">
        <v>130</v>
      </c>
      <c r="AR136" s="328">
        <v>531</v>
      </c>
      <c r="AS136" s="328">
        <v>536</v>
      </c>
      <c r="AT136" s="328">
        <v>465</v>
      </c>
      <c r="AU136" s="326">
        <f>AT136</f>
        <v>465</v>
      </c>
      <c r="AV136" s="328">
        <v>461</v>
      </c>
      <c r="AW136" s="328">
        <v>49</v>
      </c>
      <c r="AX136" s="328">
        <v>50</v>
      </c>
      <c r="AY136" s="328">
        <v>51</v>
      </c>
      <c r="AZ136" s="326">
        <f>AY136</f>
        <v>51</v>
      </c>
      <c r="BA136" s="328">
        <v>546</v>
      </c>
      <c r="BB136" s="328">
        <v>544</v>
      </c>
      <c r="BC136" s="328">
        <v>547</v>
      </c>
      <c r="BD136" s="328">
        <v>1276</v>
      </c>
      <c r="BE136" s="326">
        <f>BD136</f>
        <v>1276</v>
      </c>
      <c r="BF136" s="328">
        <v>1414</v>
      </c>
      <c r="BG136" s="328">
        <v>2486</v>
      </c>
      <c r="BH136" s="328">
        <v>2082</v>
      </c>
      <c r="BI136" s="328">
        <v>2041</v>
      </c>
      <c r="BJ136" s="592">
        <f>BI136</f>
        <v>2041</v>
      </c>
      <c r="BK136" s="591">
        <v>1389</v>
      </c>
      <c r="BL136" s="591">
        <v>128</v>
      </c>
      <c r="BM136" s="591">
        <v>341</v>
      </c>
      <c r="BN136" s="591">
        <v>1577</v>
      </c>
      <c r="BO136" s="592">
        <f t="shared" ref="BO136:CW136" si="205">BN136</f>
        <v>1577</v>
      </c>
      <c r="BP136" s="591">
        <v>4505</v>
      </c>
      <c r="BQ136" s="591">
        <v>3193</v>
      </c>
      <c r="BR136" s="620">
        <v>3194</v>
      </c>
      <c r="BS136" s="620">
        <v>1024</v>
      </c>
      <c r="BT136" s="617">
        <f t="shared" si="205"/>
        <v>1024</v>
      </c>
      <c r="BU136" s="616">
        <v>1551</v>
      </c>
      <c r="BV136" s="616">
        <v>1519</v>
      </c>
      <c r="BW136" s="616">
        <v>2524</v>
      </c>
      <c r="BX136" s="616">
        <v>3552</v>
      </c>
      <c r="BY136" s="617">
        <f t="shared" si="205"/>
        <v>3552</v>
      </c>
      <c r="BZ136" s="616">
        <v>2040</v>
      </c>
      <c r="CA136" s="616">
        <v>2031</v>
      </c>
      <c r="CB136" s="616">
        <v>2692</v>
      </c>
      <c r="CC136" s="616">
        <v>2677</v>
      </c>
      <c r="CD136" s="617">
        <f t="shared" si="205"/>
        <v>2677</v>
      </c>
      <c r="CE136" s="616">
        <v>4956</v>
      </c>
      <c r="CF136" s="707">
        <v>4895</v>
      </c>
      <c r="CG136" s="802">
        <v>3473</v>
      </c>
      <c r="CH136" s="802">
        <v>3527</v>
      </c>
      <c r="CI136" s="705">
        <f t="shared" si="205"/>
        <v>3527</v>
      </c>
      <c r="CJ136" s="802">
        <v>2185</v>
      </c>
      <c r="CK136" s="802">
        <v>3478</v>
      </c>
      <c r="CL136" s="802">
        <v>3231</v>
      </c>
      <c r="CM136" s="802">
        <v>3298</v>
      </c>
      <c r="CN136" s="705">
        <f t="shared" si="205"/>
        <v>3298</v>
      </c>
      <c r="CO136" s="802">
        <v>4370</v>
      </c>
      <c r="CP136" s="706">
        <f t="shared" si="205"/>
        <v>4370</v>
      </c>
      <c r="CQ136" s="706">
        <f t="shared" si="205"/>
        <v>4370</v>
      </c>
      <c r="CR136" s="706">
        <f t="shared" si="205"/>
        <v>4370</v>
      </c>
      <c r="CS136" s="705">
        <f t="shared" si="205"/>
        <v>4370</v>
      </c>
      <c r="CT136" s="706">
        <v>3031</v>
      </c>
      <c r="CU136" s="706">
        <f t="shared" si="205"/>
        <v>3031</v>
      </c>
      <c r="CV136" s="706">
        <f t="shared" si="205"/>
        <v>3031</v>
      </c>
      <c r="CW136" s="706">
        <f t="shared" si="205"/>
        <v>3031</v>
      </c>
      <c r="CX136" s="705">
        <f>CW136</f>
        <v>3031</v>
      </c>
      <c r="CY136" s="706">
        <v>3031</v>
      </c>
      <c r="CZ136" s="706">
        <f t="shared" si="202"/>
        <v>3031</v>
      </c>
      <c r="DA136" s="706">
        <f t="shared" si="202"/>
        <v>3031</v>
      </c>
      <c r="DB136" s="706">
        <f t="shared" si="202"/>
        <v>3031</v>
      </c>
      <c r="DC136" s="705">
        <f>DB136</f>
        <v>3031</v>
      </c>
      <c r="DD136" s="706">
        <v>3031</v>
      </c>
      <c r="DE136" s="706">
        <f t="shared" si="203"/>
        <v>3031</v>
      </c>
      <c r="DF136" s="706">
        <f t="shared" si="203"/>
        <v>3031</v>
      </c>
      <c r="DG136" s="706">
        <f t="shared" si="203"/>
        <v>3031</v>
      </c>
      <c r="DH136" s="705">
        <f>DG136</f>
        <v>3031</v>
      </c>
      <c r="DI136" s="706">
        <v>3031</v>
      </c>
      <c r="DJ136" s="706">
        <f t="shared" si="204"/>
        <v>3031</v>
      </c>
      <c r="DK136" s="706">
        <f t="shared" si="204"/>
        <v>3031</v>
      </c>
      <c r="DL136" s="706">
        <f t="shared" si="204"/>
        <v>3031</v>
      </c>
      <c r="DM136" s="705">
        <f>DL136</f>
        <v>3031</v>
      </c>
      <c r="DN136" s="208"/>
    </row>
    <row r="137" spans="1:118" ht="15" x14ac:dyDescent="0.2">
      <c r="A137" s="18" t="s">
        <v>382</v>
      </c>
      <c r="C137" s="330">
        <v>723</v>
      </c>
      <c r="D137" s="330">
        <v>758</v>
      </c>
      <c r="E137" s="330">
        <v>672</v>
      </c>
      <c r="F137" s="330">
        <v>600</v>
      </c>
      <c r="G137" s="331">
        <v>600</v>
      </c>
      <c r="H137" s="330">
        <v>768</v>
      </c>
      <c r="I137" s="330">
        <v>1027</v>
      </c>
      <c r="J137" s="330">
        <v>825</v>
      </c>
      <c r="K137" s="330">
        <v>851</v>
      </c>
      <c r="L137" s="331">
        <f>K137</f>
        <v>851</v>
      </c>
      <c r="M137" s="330">
        <v>998</v>
      </c>
      <c r="N137" s="330">
        <v>1208</v>
      </c>
      <c r="O137" s="330">
        <v>1077</v>
      </c>
      <c r="P137" s="330">
        <v>994</v>
      </c>
      <c r="Q137" s="331">
        <f>P137</f>
        <v>994</v>
      </c>
      <c r="R137" s="330">
        <v>1071</v>
      </c>
      <c r="S137" s="330">
        <v>1199</v>
      </c>
      <c r="T137" s="330">
        <v>859</v>
      </c>
      <c r="U137" s="330">
        <v>922</v>
      </c>
      <c r="V137" s="331">
        <f>U137</f>
        <v>922</v>
      </c>
      <c r="W137" s="330">
        <v>1085</v>
      </c>
      <c r="X137" s="330">
        <v>1124</v>
      </c>
      <c r="Y137" s="330">
        <v>862</v>
      </c>
      <c r="Z137" s="330">
        <v>667</v>
      </c>
      <c r="AA137" s="331">
        <f>Z137</f>
        <v>667</v>
      </c>
      <c r="AB137" s="330">
        <v>748</v>
      </c>
      <c r="AC137" s="330">
        <v>819</v>
      </c>
      <c r="AD137" s="330">
        <v>683</v>
      </c>
      <c r="AE137" s="330">
        <v>797</v>
      </c>
      <c r="AF137" s="331">
        <f>AE137</f>
        <v>797</v>
      </c>
      <c r="AG137" s="330">
        <v>656</v>
      </c>
      <c r="AH137" s="330">
        <v>707</v>
      </c>
      <c r="AI137" s="330">
        <v>516</v>
      </c>
      <c r="AJ137" s="330">
        <v>567</v>
      </c>
      <c r="AK137" s="331">
        <f>AJ137</f>
        <v>567</v>
      </c>
      <c r="AL137" s="330">
        <v>463</v>
      </c>
      <c r="AM137" s="330">
        <v>529</v>
      </c>
      <c r="AN137" s="330">
        <v>384</v>
      </c>
      <c r="AO137" s="330">
        <v>258</v>
      </c>
      <c r="AP137" s="331">
        <f>AO137</f>
        <v>258</v>
      </c>
      <c r="AQ137" s="330">
        <v>368</v>
      </c>
      <c r="AR137" s="330">
        <v>359</v>
      </c>
      <c r="AS137" s="330">
        <v>281</v>
      </c>
      <c r="AT137" s="330">
        <v>252</v>
      </c>
      <c r="AU137" s="331">
        <f>AT137</f>
        <v>252</v>
      </c>
      <c r="AV137" s="330">
        <v>356</v>
      </c>
      <c r="AW137" s="330">
        <v>780</v>
      </c>
      <c r="AX137" s="330">
        <v>469</v>
      </c>
      <c r="AY137" s="330">
        <v>264</v>
      </c>
      <c r="AZ137" s="331">
        <f>AY137</f>
        <v>264</v>
      </c>
      <c r="BA137" s="330">
        <v>404</v>
      </c>
      <c r="BB137" s="330">
        <v>450</v>
      </c>
      <c r="BC137" s="330">
        <f>429</f>
        <v>429</v>
      </c>
      <c r="BD137" s="330">
        <v>273</v>
      </c>
      <c r="BE137" s="331">
        <f>BD137</f>
        <v>273</v>
      </c>
      <c r="BF137" s="330">
        <v>233</v>
      </c>
      <c r="BG137" s="330">
        <v>396</v>
      </c>
      <c r="BH137" s="330">
        <v>264</v>
      </c>
      <c r="BI137" s="330">
        <v>362</v>
      </c>
      <c r="BJ137" s="595">
        <f>BI137</f>
        <v>362</v>
      </c>
      <c r="BK137" s="597">
        <v>365</v>
      </c>
      <c r="BL137" s="597">
        <v>615</v>
      </c>
      <c r="BM137" s="597">
        <v>656</v>
      </c>
      <c r="BN137" s="597">
        <v>471</v>
      </c>
      <c r="BO137" s="595">
        <f>BN137</f>
        <v>471</v>
      </c>
      <c r="BP137" s="597">
        <v>382</v>
      </c>
      <c r="BQ137" s="597">
        <f>447</f>
        <v>447</v>
      </c>
      <c r="BR137" s="621">
        <v>418</v>
      </c>
      <c r="BS137" s="621">
        <v>309</v>
      </c>
      <c r="BT137" s="622">
        <f>BS137</f>
        <v>309</v>
      </c>
      <c r="BU137" s="623">
        <v>296</v>
      </c>
      <c r="BV137" s="623">
        <v>454</v>
      </c>
      <c r="BW137" s="623">
        <f>528</f>
        <v>528</v>
      </c>
      <c r="BX137" s="623">
        <f>400</f>
        <v>400</v>
      </c>
      <c r="BY137" s="622">
        <f>BX137</f>
        <v>400</v>
      </c>
      <c r="BZ137" s="623">
        <f>689</f>
        <v>689</v>
      </c>
      <c r="CA137" s="623">
        <f>437</f>
        <v>437</v>
      </c>
      <c r="CB137" s="623">
        <f>383</f>
        <v>383</v>
      </c>
      <c r="CC137" s="623">
        <f>331</f>
        <v>331</v>
      </c>
      <c r="CD137" s="622">
        <f>CC137</f>
        <v>331</v>
      </c>
      <c r="CE137" s="623">
        <f>275</f>
        <v>275</v>
      </c>
      <c r="CF137" s="708">
        <v>513</v>
      </c>
      <c r="CG137" s="803">
        <f>396+682</f>
        <v>1078</v>
      </c>
      <c r="CH137" s="803">
        <f>307+710</f>
        <v>1017</v>
      </c>
      <c r="CI137" s="709">
        <f>CH137</f>
        <v>1017</v>
      </c>
      <c r="CJ137" s="803">
        <f>268+2226</f>
        <v>2494</v>
      </c>
      <c r="CK137" s="803">
        <f>351+283</f>
        <v>634</v>
      </c>
      <c r="CL137" s="803">
        <f>355+437</f>
        <v>792</v>
      </c>
      <c r="CM137" s="803">
        <f>410+37+1496</f>
        <v>1943</v>
      </c>
      <c r="CN137" s="709">
        <f>CM137</f>
        <v>1943</v>
      </c>
      <c r="CO137" s="803">
        <f>579+33+1495</f>
        <v>2107</v>
      </c>
      <c r="CP137" s="708">
        <f>CP222*4*CP5</f>
        <v>570.87888684160328</v>
      </c>
      <c r="CQ137" s="708">
        <f>CQ222*4*CQ5</f>
        <v>724.06253857730292</v>
      </c>
      <c r="CR137" s="708">
        <f>CR222*4*CR5</f>
        <v>1905.0354278942757</v>
      </c>
      <c r="CS137" s="709">
        <f>CR137</f>
        <v>1905.0354278942757</v>
      </c>
      <c r="CT137" s="708">
        <f>CT222*4*CT5</f>
        <v>2185.0137230407713</v>
      </c>
      <c r="CU137" s="708">
        <f>CU222*4*CU5</f>
        <v>593.94065798338738</v>
      </c>
      <c r="CV137" s="708">
        <f>CV222*4*CV5</f>
        <v>754.05576594014656</v>
      </c>
      <c r="CW137" s="708">
        <f>CW222*4*CW5</f>
        <v>1988.0849853961881</v>
      </c>
      <c r="CX137" s="709">
        <f>CW137</f>
        <v>1988.0849853961881</v>
      </c>
      <c r="CY137" s="708">
        <f>CY222*4*CY5</f>
        <v>2273.6064727241105</v>
      </c>
      <c r="CZ137" s="708">
        <f>CZ222*4*CZ5</f>
        <v>617.80691079341125</v>
      </c>
      <c r="DA137" s="708">
        <f>DA222*4*DA5</f>
        <v>785.10097546297584</v>
      </c>
      <c r="DB137" s="708">
        <f>DB222*4*DB5</f>
        <v>2074.066347263853</v>
      </c>
      <c r="DC137" s="709">
        <f>DB137</f>
        <v>2074.066347263853</v>
      </c>
      <c r="DD137" s="708">
        <f>DD222*4*DD5</f>
        <v>2355.0323578948719</v>
      </c>
      <c r="DE137" s="708">
        <f>DE222*4*DE5</f>
        <v>639.88400762680794</v>
      </c>
      <c r="DF137" s="708">
        <f>DF222*4*DF5</f>
        <v>814.00986933081276</v>
      </c>
      <c r="DG137" s="708">
        <f>DG222*4*DG5</f>
        <v>2155.0387359998681</v>
      </c>
      <c r="DH137" s="709">
        <f>DG137</f>
        <v>2155.0387359998681</v>
      </c>
      <c r="DI137" s="708">
        <f>DI222*4*DI5</f>
        <v>2435.14519741302</v>
      </c>
      <c r="DJ137" s="708">
        <f>DJ222*4*DJ5</f>
        <v>661.68545675778989</v>
      </c>
      <c r="DK137" s="708">
        <f>DK222*4*DK5</f>
        <v>842.45603225971649</v>
      </c>
      <c r="DL137" s="708">
        <f>DL222*4*DL5</f>
        <v>2234.0585919103673</v>
      </c>
      <c r="DM137" s="709">
        <f>DL137</f>
        <v>2234.0585919103673</v>
      </c>
      <c r="DN137" s="208"/>
    </row>
    <row r="138" spans="1:118" ht="15.75" x14ac:dyDescent="0.25">
      <c r="B138" s="20" t="s">
        <v>68</v>
      </c>
      <c r="C138" s="339"/>
      <c r="D138" s="339"/>
      <c r="E138" s="339"/>
      <c r="F138" s="339"/>
      <c r="G138" s="340"/>
      <c r="H138" s="339">
        <f t="shared" ref="H138:AM138" si="206">SUM(H133:H137)</f>
        <v>9491</v>
      </c>
      <c r="I138" s="339">
        <f t="shared" si="206"/>
        <v>9170</v>
      </c>
      <c r="J138" s="339">
        <f t="shared" si="206"/>
        <v>8768</v>
      </c>
      <c r="K138" s="339">
        <f t="shared" si="206"/>
        <v>8429</v>
      </c>
      <c r="L138" s="340">
        <f t="shared" si="206"/>
        <v>8429</v>
      </c>
      <c r="M138" s="339">
        <f t="shared" si="206"/>
        <v>8397</v>
      </c>
      <c r="N138" s="339">
        <f t="shared" si="206"/>
        <v>8863</v>
      </c>
      <c r="O138" s="339">
        <f t="shared" si="206"/>
        <v>8111</v>
      </c>
      <c r="P138" s="339">
        <f t="shared" si="206"/>
        <v>7341</v>
      </c>
      <c r="Q138" s="340">
        <f t="shared" si="206"/>
        <v>7341</v>
      </c>
      <c r="R138" s="339">
        <f t="shared" si="206"/>
        <v>8651</v>
      </c>
      <c r="S138" s="339">
        <f t="shared" si="206"/>
        <v>9081</v>
      </c>
      <c r="T138" s="339">
        <f t="shared" si="206"/>
        <v>8591</v>
      </c>
      <c r="U138" s="339">
        <f t="shared" si="206"/>
        <v>7886</v>
      </c>
      <c r="V138" s="340">
        <f t="shared" si="206"/>
        <v>7886</v>
      </c>
      <c r="W138" s="339">
        <f t="shared" si="206"/>
        <v>8968</v>
      </c>
      <c r="X138" s="339">
        <f t="shared" si="206"/>
        <v>10078</v>
      </c>
      <c r="Y138" s="339">
        <f t="shared" si="206"/>
        <v>10213</v>
      </c>
      <c r="Z138" s="339">
        <f t="shared" si="206"/>
        <v>10971</v>
      </c>
      <c r="AA138" s="340">
        <f t="shared" si="206"/>
        <v>10971</v>
      </c>
      <c r="AB138" s="339">
        <f t="shared" si="206"/>
        <v>10636</v>
      </c>
      <c r="AC138" s="339">
        <f t="shared" si="206"/>
        <v>8830</v>
      </c>
      <c r="AD138" s="339">
        <f t="shared" si="206"/>
        <v>8956</v>
      </c>
      <c r="AE138" s="339">
        <f t="shared" si="206"/>
        <v>9836</v>
      </c>
      <c r="AF138" s="340">
        <f t="shared" si="206"/>
        <v>9836</v>
      </c>
      <c r="AG138" s="339">
        <f t="shared" si="206"/>
        <v>10115</v>
      </c>
      <c r="AH138" s="339">
        <f t="shared" si="206"/>
        <v>9812</v>
      </c>
      <c r="AI138" s="339">
        <f t="shared" si="206"/>
        <v>9234</v>
      </c>
      <c r="AJ138" s="339">
        <f t="shared" si="206"/>
        <v>8890</v>
      </c>
      <c r="AK138" s="340">
        <f t="shared" si="206"/>
        <v>8890</v>
      </c>
      <c r="AL138" s="339">
        <f t="shared" si="206"/>
        <v>11252</v>
      </c>
      <c r="AM138" s="339">
        <f t="shared" si="206"/>
        <v>15248</v>
      </c>
      <c r="AN138" s="339">
        <f t="shared" ref="AN138:BE138" si="207">SUM(AN133:AN137)</f>
        <v>15566</v>
      </c>
      <c r="AO138" s="339">
        <f t="shared" si="207"/>
        <v>13225</v>
      </c>
      <c r="AP138" s="340">
        <f t="shared" si="207"/>
        <v>13225</v>
      </c>
      <c r="AQ138" s="339">
        <f t="shared" si="207"/>
        <v>15588</v>
      </c>
      <c r="AR138" s="339">
        <f t="shared" si="207"/>
        <v>16620</v>
      </c>
      <c r="AS138" s="339">
        <f t="shared" si="207"/>
        <v>16587</v>
      </c>
      <c r="AT138" s="339">
        <f t="shared" si="207"/>
        <v>12988</v>
      </c>
      <c r="AU138" s="340">
        <f t="shared" si="207"/>
        <v>12988</v>
      </c>
      <c r="AV138" s="339">
        <f t="shared" si="207"/>
        <v>13169</v>
      </c>
      <c r="AW138" s="339">
        <f t="shared" si="207"/>
        <v>13567</v>
      </c>
      <c r="AX138" s="339">
        <f t="shared" si="207"/>
        <v>13410</v>
      </c>
      <c r="AY138" s="339">
        <f t="shared" si="207"/>
        <v>13721</v>
      </c>
      <c r="AZ138" s="340">
        <f t="shared" si="207"/>
        <v>13721</v>
      </c>
      <c r="BA138" s="339">
        <f t="shared" si="207"/>
        <v>13583</v>
      </c>
      <c r="BB138" s="339">
        <f t="shared" si="207"/>
        <v>13934</v>
      </c>
      <c r="BC138" s="339">
        <f t="shared" si="207"/>
        <v>17271</v>
      </c>
      <c r="BD138" s="339">
        <f t="shared" si="207"/>
        <v>18508</v>
      </c>
      <c r="BE138" s="340">
        <f t="shared" si="207"/>
        <v>18508</v>
      </c>
      <c r="BF138" s="339">
        <f t="shared" ref="BF138:CX138" si="208">SUM(BF133:BF137)</f>
        <v>21923</v>
      </c>
      <c r="BG138" s="339">
        <f t="shared" si="208"/>
        <v>24194</v>
      </c>
      <c r="BH138" s="339">
        <f t="shared" si="208"/>
        <v>25581</v>
      </c>
      <c r="BI138" s="339">
        <f t="shared" si="208"/>
        <v>24283</v>
      </c>
      <c r="BJ138" s="600">
        <f t="shared" si="208"/>
        <v>24283</v>
      </c>
      <c r="BK138" s="601">
        <f t="shared" si="208"/>
        <v>24846</v>
      </c>
      <c r="BL138" s="601">
        <f t="shared" si="208"/>
        <v>26482</v>
      </c>
      <c r="BM138" s="601">
        <f t="shared" si="208"/>
        <v>27008</v>
      </c>
      <c r="BN138" s="601">
        <f t="shared" si="208"/>
        <v>27821</v>
      </c>
      <c r="BO138" s="600">
        <f t="shared" si="208"/>
        <v>27821</v>
      </c>
      <c r="BP138" s="601">
        <f t="shared" si="208"/>
        <v>31102</v>
      </c>
      <c r="BQ138" s="601">
        <f t="shared" si="208"/>
        <v>32469</v>
      </c>
      <c r="BR138" s="627">
        <f t="shared" si="208"/>
        <v>33042</v>
      </c>
      <c r="BS138" s="627">
        <f t="shared" si="208"/>
        <v>27811</v>
      </c>
      <c r="BT138" s="628">
        <f t="shared" si="208"/>
        <v>27811</v>
      </c>
      <c r="BU138" s="629">
        <f t="shared" si="208"/>
        <v>30056</v>
      </c>
      <c r="BV138" s="629">
        <f t="shared" si="208"/>
        <v>32629</v>
      </c>
      <c r="BW138" s="629">
        <f t="shared" si="208"/>
        <v>32760</v>
      </c>
      <c r="BX138" s="629">
        <f t="shared" si="208"/>
        <v>32374</v>
      </c>
      <c r="BY138" s="628">
        <f t="shared" si="208"/>
        <v>32374</v>
      </c>
      <c r="BZ138" s="629">
        <f t="shared" si="208"/>
        <v>26123</v>
      </c>
      <c r="CA138" s="629">
        <f t="shared" si="208"/>
        <v>28949</v>
      </c>
      <c r="CB138" s="629">
        <f t="shared" si="208"/>
        <v>31545</v>
      </c>
      <c r="CC138" s="629">
        <f t="shared" si="208"/>
        <v>26930</v>
      </c>
      <c r="CD138" s="613">
        <f t="shared" si="208"/>
        <v>26930</v>
      </c>
      <c r="CE138" s="629">
        <f t="shared" si="208"/>
        <v>30987</v>
      </c>
      <c r="CF138" s="713">
        <f t="shared" si="208"/>
        <v>29544</v>
      </c>
      <c r="CG138" s="806">
        <f t="shared" si="208"/>
        <v>27792</v>
      </c>
      <c r="CH138" s="806">
        <f t="shared" si="208"/>
        <v>26532</v>
      </c>
      <c r="CI138" s="714">
        <f t="shared" si="208"/>
        <v>26532</v>
      </c>
      <c r="CJ138" s="806">
        <f t="shared" si="208"/>
        <v>28656</v>
      </c>
      <c r="CK138" s="806">
        <f t="shared" si="208"/>
        <v>28830</v>
      </c>
      <c r="CL138" s="806">
        <f t="shared" si="208"/>
        <v>27633</v>
      </c>
      <c r="CM138" s="806">
        <f t="shared" si="208"/>
        <v>27194</v>
      </c>
      <c r="CN138" s="714">
        <f t="shared" si="208"/>
        <v>27194</v>
      </c>
      <c r="CO138" s="806">
        <f t="shared" si="208"/>
        <v>31480</v>
      </c>
      <c r="CP138" s="713">
        <f t="shared" ca="1" si="208"/>
        <v>28421.579780078511</v>
      </c>
      <c r="CQ138" s="713">
        <f t="shared" ca="1" si="208"/>
        <v>28481.729616779245</v>
      </c>
      <c r="CR138" s="713">
        <f t="shared" ca="1" si="208"/>
        <v>29140.020999281041</v>
      </c>
      <c r="CS138" s="714">
        <f t="shared" ca="1" si="208"/>
        <v>29140.020999281041</v>
      </c>
      <c r="CT138" s="713">
        <f t="shared" ca="1" si="208"/>
        <v>31963.162306185113</v>
      </c>
      <c r="CU138" s="713">
        <f t="shared" ca="1" si="208"/>
        <v>27323.584536906739</v>
      </c>
      <c r="CV138" s="713">
        <f t="shared" ca="1" si="208"/>
        <v>27394.780754161002</v>
      </c>
      <c r="CW138" s="713">
        <f t="shared" ca="1" si="208"/>
        <v>28111.61244591081</v>
      </c>
      <c r="CX138" s="714">
        <f t="shared" ca="1" si="208"/>
        <v>28111.61244591081</v>
      </c>
      <c r="CY138" s="713">
        <f t="shared" ref="CY138:DH138" ca="1" si="209">SUM(CY133:CY137)</f>
        <v>32300.842887953433</v>
      </c>
      <c r="CZ138" s="713">
        <f t="shared" ca="1" si="209"/>
        <v>27608.540445866016</v>
      </c>
      <c r="DA138" s="713">
        <f t="shared" ca="1" si="209"/>
        <v>27691.271681508057</v>
      </c>
      <c r="DB138" s="713">
        <f t="shared" ca="1" si="209"/>
        <v>28464.671775797415</v>
      </c>
      <c r="DC138" s="714">
        <f t="shared" ca="1" si="209"/>
        <v>28464.671775797415</v>
      </c>
      <c r="DD138" s="713">
        <f t="shared" ca="1" si="209"/>
        <v>32702.575538661673</v>
      </c>
      <c r="DE138" s="713">
        <f t="shared" ca="1" si="209"/>
        <v>27886.647705852614</v>
      </c>
      <c r="DF138" s="713">
        <f t="shared" ca="1" si="209"/>
        <v>27982.411461739062</v>
      </c>
      <c r="DG138" s="713">
        <f t="shared" ca="1" si="209"/>
        <v>28812.433887673895</v>
      </c>
      <c r="DH138" s="714">
        <f t="shared" ca="1" si="209"/>
        <v>28812.433887673895</v>
      </c>
      <c r="DI138" s="713">
        <f ca="1">SUM(DI133:DI137)</f>
        <v>33081.06127413184</v>
      </c>
      <c r="DJ138" s="713">
        <f ca="1">SUM(DJ133:DJ137)</f>
        <v>28170.346020368335</v>
      </c>
      <c r="DK138" s="713">
        <f ca="1">SUM(DK133:DK137)</f>
        <v>28277.668555491844</v>
      </c>
      <c r="DL138" s="713">
        <f ca="1">SUM(DL133:DL137)</f>
        <v>29159.32994344602</v>
      </c>
      <c r="DM138" s="714">
        <f ca="1">SUM(DM133:DM137)</f>
        <v>29159.32994344602</v>
      </c>
      <c r="DN138" s="233"/>
    </row>
    <row r="139" spans="1:118" ht="15" x14ac:dyDescent="0.2">
      <c r="G139" s="219"/>
      <c r="L139" s="219"/>
      <c r="Q139" s="219"/>
      <c r="V139" s="219"/>
      <c r="AA139" s="219"/>
      <c r="AF139" s="219"/>
      <c r="AK139" s="219"/>
      <c r="AP139" s="219"/>
      <c r="AU139" s="219"/>
      <c r="AZ139" s="219"/>
      <c r="BE139" s="219"/>
      <c r="BH139" s="338"/>
      <c r="BI139" s="338"/>
      <c r="BJ139" s="443"/>
      <c r="BK139" s="624"/>
      <c r="BL139" s="624"/>
      <c r="BM139" s="624"/>
      <c r="BN139" s="624"/>
      <c r="BO139" s="443"/>
      <c r="BP139" s="624"/>
      <c r="BQ139" s="624"/>
      <c r="BR139" s="616"/>
      <c r="BS139" s="616"/>
      <c r="BT139" s="617"/>
      <c r="BU139" s="616"/>
      <c r="BV139" s="616"/>
      <c r="BW139" s="616"/>
      <c r="BX139" s="616"/>
      <c r="BY139" s="617"/>
      <c r="BZ139" s="616"/>
      <c r="CA139" s="616"/>
      <c r="CB139" s="616"/>
      <c r="CC139" s="616"/>
      <c r="CD139" s="617"/>
      <c r="CE139" s="616"/>
      <c r="CF139" s="707"/>
      <c r="CG139" s="802"/>
      <c r="CH139" s="707"/>
      <c r="CI139" s="705"/>
      <c r="CJ139" s="707"/>
      <c r="CK139" s="707"/>
      <c r="CL139" s="707"/>
      <c r="CM139" s="707"/>
      <c r="CN139" s="705"/>
      <c r="CO139" s="707"/>
      <c r="CP139" s="707"/>
      <c r="CQ139" s="707"/>
      <c r="CR139" s="707"/>
      <c r="CS139" s="705"/>
      <c r="CT139" s="707"/>
      <c r="CU139" s="707"/>
      <c r="CV139" s="707"/>
      <c r="CW139" s="707"/>
      <c r="CX139" s="705"/>
      <c r="CY139" s="707"/>
      <c r="CZ139" s="707"/>
      <c r="DA139" s="707"/>
      <c r="DB139" s="707"/>
      <c r="DC139" s="705"/>
      <c r="DD139" s="707"/>
      <c r="DE139" s="707"/>
      <c r="DF139" s="707"/>
      <c r="DG139" s="707"/>
      <c r="DH139" s="705"/>
      <c r="DI139" s="707"/>
      <c r="DJ139" s="707"/>
      <c r="DK139" s="707"/>
      <c r="DL139" s="707"/>
      <c r="DM139" s="705"/>
      <c r="DN139" s="233"/>
    </row>
    <row r="140" spans="1:118" ht="15" x14ac:dyDescent="0.2">
      <c r="A140" s="18" t="s">
        <v>171</v>
      </c>
      <c r="C140" s="328">
        <v>853</v>
      </c>
      <c r="D140" s="328">
        <v>852</v>
      </c>
      <c r="E140" s="328">
        <v>851</v>
      </c>
      <c r="F140" s="328">
        <v>835</v>
      </c>
      <c r="G140" s="326">
        <v>317</v>
      </c>
      <c r="H140" s="328">
        <v>1359</v>
      </c>
      <c r="I140" s="328">
        <v>1356</v>
      </c>
      <c r="J140" s="328">
        <v>1399</v>
      </c>
      <c r="K140" s="328">
        <v>1219</v>
      </c>
      <c r="L140" s="326">
        <f>K140</f>
        <v>1219</v>
      </c>
      <c r="M140" s="328">
        <v>2478</v>
      </c>
      <c r="N140" s="328">
        <v>2774</v>
      </c>
      <c r="O140" s="328">
        <v>2835</v>
      </c>
      <c r="P140" s="328">
        <v>2701</v>
      </c>
      <c r="Q140" s="326">
        <f>P140</f>
        <v>2701</v>
      </c>
      <c r="R140" s="328">
        <v>2760</v>
      </c>
      <c r="S140" s="328">
        <v>2550</v>
      </c>
      <c r="T140" s="328">
        <v>2479</v>
      </c>
      <c r="U140" s="328">
        <v>2517</v>
      </c>
      <c r="V140" s="326">
        <f>U140</f>
        <v>2517</v>
      </c>
      <c r="W140" s="328">
        <v>2614</v>
      </c>
      <c r="X140" s="328">
        <v>1796</v>
      </c>
      <c r="Y140" s="328">
        <v>1188</v>
      </c>
      <c r="Z140" s="328">
        <v>1157</v>
      </c>
      <c r="AA140" s="326">
        <f>Z140</f>
        <v>1157</v>
      </c>
      <c r="AB140" s="328">
        <v>1141</v>
      </c>
      <c r="AC140" s="328">
        <v>1110</v>
      </c>
      <c r="AD140" s="328">
        <v>1121</v>
      </c>
      <c r="AE140" s="328">
        <v>1154</v>
      </c>
      <c r="AF140" s="326">
        <f>AE140</f>
        <v>1154</v>
      </c>
      <c r="AG140" s="328">
        <v>1152</v>
      </c>
      <c r="AH140" s="328">
        <v>1140</v>
      </c>
      <c r="AI140" s="328">
        <v>1242</v>
      </c>
      <c r="AJ140" s="328">
        <v>1314</v>
      </c>
      <c r="AK140" s="326">
        <f>AJ140</f>
        <v>1314</v>
      </c>
      <c r="AL140" s="328">
        <v>1454</v>
      </c>
      <c r="AM140" s="328">
        <v>1599</v>
      </c>
      <c r="AN140" s="328">
        <v>1594</v>
      </c>
      <c r="AO140" s="328">
        <v>3277</v>
      </c>
      <c r="AP140" s="326">
        <f>AO140</f>
        <v>3277</v>
      </c>
      <c r="AQ140" s="328">
        <v>3259</v>
      </c>
      <c r="AR140" s="328">
        <v>2874</v>
      </c>
      <c r="AS140" s="328">
        <v>2877</v>
      </c>
      <c r="AT140" s="328">
        <v>2781</v>
      </c>
      <c r="AU140" s="326">
        <f>AT140</f>
        <v>2781</v>
      </c>
      <c r="AV140" s="328">
        <v>5017</v>
      </c>
      <c r="AW140" s="328">
        <v>5017</v>
      </c>
      <c r="AX140" s="328">
        <v>5028</v>
      </c>
      <c r="AY140" s="328">
        <v>5059</v>
      </c>
      <c r="AZ140" s="326">
        <f>AY140</f>
        <v>5059</v>
      </c>
      <c r="BA140" s="328">
        <v>4419</v>
      </c>
      <c r="BB140" s="328">
        <v>4427</v>
      </c>
      <c r="BC140" s="328">
        <v>4456</v>
      </c>
      <c r="BD140" s="328">
        <v>14041</v>
      </c>
      <c r="BE140" s="326">
        <f>BD140</f>
        <v>14041</v>
      </c>
      <c r="BF140" s="328">
        <v>12681</v>
      </c>
      <c r="BG140" s="328">
        <v>11373</v>
      </c>
      <c r="BH140" s="328">
        <v>13708</v>
      </c>
      <c r="BI140" s="328">
        <v>13656</v>
      </c>
      <c r="BJ140" s="592">
        <f>BI140</f>
        <v>13656</v>
      </c>
      <c r="BK140" s="591">
        <v>16351</v>
      </c>
      <c r="BL140" s="591">
        <v>16390</v>
      </c>
      <c r="BM140" s="591">
        <v>16181</v>
      </c>
      <c r="BN140" s="591">
        <v>14736</v>
      </c>
      <c r="BO140" s="592">
        <f t="shared" ref="BO140:CX140" si="210">BN140</f>
        <v>14736</v>
      </c>
      <c r="BP140" s="591">
        <v>14291</v>
      </c>
      <c r="BQ140" s="591">
        <v>14179</v>
      </c>
      <c r="BR140" s="620">
        <v>14173</v>
      </c>
      <c r="BS140" s="620">
        <v>19154</v>
      </c>
      <c r="BT140" s="617">
        <f t="shared" si="210"/>
        <v>19154</v>
      </c>
      <c r="BU140" s="616">
        <v>18640</v>
      </c>
      <c r="BV140" s="616">
        <v>18643</v>
      </c>
      <c r="BW140" s="616">
        <v>20111</v>
      </c>
      <c r="BX140" s="616">
        <v>19063</v>
      </c>
      <c r="BY140" s="617">
        <f t="shared" si="210"/>
        <v>19063</v>
      </c>
      <c r="BZ140" s="616">
        <v>26087</v>
      </c>
      <c r="CA140" s="616">
        <v>25977</v>
      </c>
      <c r="CB140" s="616">
        <v>25949</v>
      </c>
      <c r="CC140" s="616">
        <v>28407</v>
      </c>
      <c r="CD140" s="617">
        <f t="shared" si="210"/>
        <v>28407</v>
      </c>
      <c r="CE140" s="616">
        <v>26990</v>
      </c>
      <c r="CF140" s="707">
        <v>29252</v>
      </c>
      <c r="CG140" s="802">
        <v>31663</v>
      </c>
      <c r="CH140" s="802">
        <v>29684</v>
      </c>
      <c r="CI140" s="705">
        <f t="shared" si="210"/>
        <v>29684</v>
      </c>
      <c r="CJ140" s="802">
        <v>31538</v>
      </c>
      <c r="CK140" s="802">
        <v>31805</v>
      </c>
      <c r="CL140" s="802">
        <v>32471</v>
      </c>
      <c r="CM140" s="802">
        <v>31182</v>
      </c>
      <c r="CN140" s="705">
        <f t="shared" si="210"/>
        <v>31182</v>
      </c>
      <c r="CO140" s="802">
        <v>29792</v>
      </c>
      <c r="CP140" s="706">
        <f t="shared" si="210"/>
        <v>29792</v>
      </c>
      <c r="CQ140" s="706">
        <f>CP140-3500</f>
        <v>26292</v>
      </c>
      <c r="CR140" s="706">
        <f>CQ140-3500</f>
        <v>22792</v>
      </c>
      <c r="CS140" s="705">
        <f t="shared" si="210"/>
        <v>22792</v>
      </c>
      <c r="CT140" s="706">
        <f t="shared" si="210"/>
        <v>22792</v>
      </c>
      <c r="CU140" s="706">
        <f t="shared" si="210"/>
        <v>22792</v>
      </c>
      <c r="CV140" s="706">
        <f t="shared" si="210"/>
        <v>22792</v>
      </c>
      <c r="CW140" s="706">
        <f t="shared" si="210"/>
        <v>22792</v>
      </c>
      <c r="CX140" s="705">
        <f t="shared" si="210"/>
        <v>22792</v>
      </c>
      <c r="CY140" s="706">
        <f t="shared" ref="CY140:DH140" si="211">CX140</f>
        <v>22792</v>
      </c>
      <c r="CZ140" s="706">
        <f t="shared" si="211"/>
        <v>22792</v>
      </c>
      <c r="DA140" s="706">
        <f t="shared" si="211"/>
        <v>22792</v>
      </c>
      <c r="DB140" s="706">
        <f t="shared" si="211"/>
        <v>22792</v>
      </c>
      <c r="DC140" s="705">
        <f t="shared" si="211"/>
        <v>22792</v>
      </c>
      <c r="DD140" s="706">
        <f t="shared" si="211"/>
        <v>22792</v>
      </c>
      <c r="DE140" s="706">
        <f t="shared" si="211"/>
        <v>22792</v>
      </c>
      <c r="DF140" s="706">
        <f t="shared" si="211"/>
        <v>22792</v>
      </c>
      <c r="DG140" s="706">
        <f t="shared" si="211"/>
        <v>22792</v>
      </c>
      <c r="DH140" s="705">
        <f t="shared" si="211"/>
        <v>22792</v>
      </c>
      <c r="DI140" s="706">
        <f>DH140</f>
        <v>22792</v>
      </c>
      <c r="DJ140" s="706">
        <f>DI140</f>
        <v>22792</v>
      </c>
      <c r="DK140" s="706">
        <f>DJ140</f>
        <v>22792</v>
      </c>
      <c r="DL140" s="706">
        <f>DK140</f>
        <v>22792</v>
      </c>
      <c r="DM140" s="705">
        <f>DL140</f>
        <v>22792</v>
      </c>
      <c r="DN140" s="208"/>
    </row>
    <row r="141" spans="1:118" ht="15" x14ac:dyDescent="0.2">
      <c r="A141" s="18" t="s">
        <v>70</v>
      </c>
      <c r="C141" s="328">
        <v>850</v>
      </c>
      <c r="D141" s="328">
        <v>884</v>
      </c>
      <c r="E141" s="328">
        <v>895</v>
      </c>
      <c r="F141" s="328">
        <v>1004</v>
      </c>
      <c r="G141" s="326">
        <v>991</v>
      </c>
      <c r="H141" s="328">
        <v>1006</v>
      </c>
      <c r="I141" s="328">
        <v>1015</v>
      </c>
      <c r="J141" s="328">
        <v>1043</v>
      </c>
      <c r="K141" s="328">
        <v>961</v>
      </c>
      <c r="L141" s="326">
        <f>K141</f>
        <v>961</v>
      </c>
      <c r="M141" s="328">
        <v>1624</v>
      </c>
      <c r="N141" s="328">
        <v>1759</v>
      </c>
      <c r="O141" s="328">
        <v>2199</v>
      </c>
      <c r="P141" s="328">
        <v>2260</v>
      </c>
      <c r="Q141" s="326">
        <f>P141</f>
        <v>2260</v>
      </c>
      <c r="R141" s="328">
        <v>2411</v>
      </c>
      <c r="S141" s="328">
        <v>2488</v>
      </c>
      <c r="T141" s="328">
        <v>2415</v>
      </c>
      <c r="U141" s="328">
        <v>2512</v>
      </c>
      <c r="V141" s="326">
        <f>U141</f>
        <v>2512</v>
      </c>
      <c r="W141" s="328">
        <v>2573</v>
      </c>
      <c r="X141" s="328">
        <v>2643</v>
      </c>
      <c r="Y141" s="328">
        <v>2628</v>
      </c>
      <c r="Z141" s="328">
        <v>2814</v>
      </c>
      <c r="AA141" s="326">
        <f>Z141</f>
        <v>2814</v>
      </c>
      <c r="AB141" s="328">
        <v>2841</v>
      </c>
      <c r="AC141" s="328">
        <v>2835</v>
      </c>
      <c r="AD141" s="328">
        <v>2743</v>
      </c>
      <c r="AE141" s="328">
        <v>1730</v>
      </c>
      <c r="AF141" s="326">
        <f>AE141</f>
        <v>1730</v>
      </c>
      <c r="AG141" s="328">
        <v>1731</v>
      </c>
      <c r="AH141" s="328">
        <v>1786</v>
      </c>
      <c r="AI141" s="328">
        <v>2095</v>
      </c>
      <c r="AJ141" s="328">
        <v>2231</v>
      </c>
      <c r="AK141" s="326">
        <f>AJ141</f>
        <v>2231</v>
      </c>
      <c r="AL141" s="328">
        <v>2687</v>
      </c>
      <c r="AM141" s="328">
        <v>2863</v>
      </c>
      <c r="AN141" s="328">
        <v>3438</v>
      </c>
      <c r="AO141" s="328">
        <v>3133</v>
      </c>
      <c r="AP141" s="326">
        <f>AO141</f>
        <v>3133</v>
      </c>
      <c r="AQ141" s="328">
        <v>3287</v>
      </c>
      <c r="AR141" s="328">
        <v>3267</v>
      </c>
      <c r="AS141" s="328">
        <v>2803</v>
      </c>
      <c r="AT141" s="328">
        <v>3011</v>
      </c>
      <c r="AU141" s="326">
        <f>AT141</f>
        <v>3011</v>
      </c>
      <c r="AV141" s="328">
        <v>2944</v>
      </c>
      <c r="AW141" s="328">
        <v>3051</v>
      </c>
      <c r="AX141" s="328">
        <v>3124</v>
      </c>
      <c r="AY141" s="328">
        <v>2965</v>
      </c>
      <c r="AZ141" s="326">
        <f>AY141</f>
        <v>2965</v>
      </c>
      <c r="BA141" s="328">
        <v>2763</v>
      </c>
      <c r="BB141" s="328">
        <v>2719</v>
      </c>
      <c r="BC141" s="328">
        <v>2777</v>
      </c>
      <c r="BD141" s="328">
        <v>4794</v>
      </c>
      <c r="BE141" s="326">
        <f>BD141</f>
        <v>4794</v>
      </c>
      <c r="BF141" s="328">
        <v>4437</v>
      </c>
      <c r="BG141" s="328">
        <v>4393</v>
      </c>
      <c r="BH141" s="328">
        <v>4404</v>
      </c>
      <c r="BI141" s="328">
        <v>5420</v>
      </c>
      <c r="BJ141" s="592">
        <f>BI141</f>
        <v>5420</v>
      </c>
      <c r="BK141" s="591">
        <v>4663</v>
      </c>
      <c r="BL141" s="591">
        <v>4658</v>
      </c>
      <c r="BM141" s="591">
        <v>4678</v>
      </c>
      <c r="BN141" s="591">
        <v>5468</v>
      </c>
      <c r="BO141" s="592">
        <f>BN141</f>
        <v>5468</v>
      </c>
      <c r="BP141" s="591">
        <v>4949</v>
      </c>
      <c r="BQ141" s="591">
        <v>4934</v>
      </c>
      <c r="BR141" s="620">
        <v>4445</v>
      </c>
      <c r="BS141" s="620">
        <v>3498</v>
      </c>
      <c r="BT141" s="617">
        <f>BS141</f>
        <v>3498</v>
      </c>
      <c r="BU141" s="626">
        <v>3414</v>
      </c>
      <c r="BV141" s="626">
        <v>3447</v>
      </c>
      <c r="BW141" s="626">
        <v>3383</v>
      </c>
      <c r="BX141" s="626">
        <v>4389</v>
      </c>
      <c r="BY141" s="617">
        <f>BX141</f>
        <v>4389</v>
      </c>
      <c r="BZ141" s="626">
        <v>4296</v>
      </c>
      <c r="CA141" s="626">
        <v>4283</v>
      </c>
      <c r="CB141" s="626">
        <v>4194</v>
      </c>
      <c r="CC141" s="626">
        <v>4301</v>
      </c>
      <c r="CD141" s="617">
        <f>CC141</f>
        <v>4301</v>
      </c>
      <c r="CE141" s="626">
        <v>3820</v>
      </c>
      <c r="CF141" s="715">
        <v>3963</v>
      </c>
      <c r="CG141" s="807">
        <v>3984</v>
      </c>
      <c r="CH141" s="807">
        <v>4081</v>
      </c>
      <c r="CI141" s="705">
        <f>CH141</f>
        <v>4081</v>
      </c>
      <c r="CJ141" s="807">
        <v>4041</v>
      </c>
      <c r="CK141" s="807">
        <v>4092</v>
      </c>
      <c r="CL141" s="807">
        <v>3946</v>
      </c>
      <c r="CM141" s="807">
        <v>8021</v>
      </c>
      <c r="CN141" s="705">
        <f>CM141</f>
        <v>8021</v>
      </c>
      <c r="CO141" s="807">
        <v>8079</v>
      </c>
      <c r="CP141" s="715">
        <f>CP225*4*CP5</f>
        <v>3684.6000078167831</v>
      </c>
      <c r="CQ141" s="715">
        <f>CQ225*4*CQ5</f>
        <v>3607.5136076086328</v>
      </c>
      <c r="CR141" s="715">
        <f>CR225*4*CR5</f>
        <v>7864.2764627586121</v>
      </c>
      <c r="CS141" s="705">
        <f>CR141</f>
        <v>7864.2764627586121</v>
      </c>
      <c r="CT141" s="715">
        <f>CT225*4*CT5</f>
        <v>8378.1328279289937</v>
      </c>
      <c r="CU141" s="715">
        <f>CU225*4*CU5</f>
        <v>3833.4466442713269</v>
      </c>
      <c r="CV141" s="715">
        <f>CV225*4*CV5</f>
        <v>3756.9495611108819</v>
      </c>
      <c r="CW141" s="715">
        <f>CW225*4*CW5</f>
        <v>8207.1176880405674</v>
      </c>
      <c r="CX141" s="705">
        <f>CW141</f>
        <v>8207.1176880405674</v>
      </c>
      <c r="CY141" s="715">
        <f>CY225*4*CY5</f>
        <v>8717.8294699279013</v>
      </c>
      <c r="CZ141" s="715">
        <f>CZ225*4*CZ5</f>
        <v>3987.4856135120485</v>
      </c>
      <c r="DA141" s="715">
        <f>DA225*4*DA5</f>
        <v>3911.6268297688166</v>
      </c>
      <c r="DB141" s="715">
        <f>DB225*4*DB5</f>
        <v>8562.0618483805265</v>
      </c>
      <c r="DC141" s="705">
        <f>DB141</f>
        <v>8562.0618483805265</v>
      </c>
      <c r="DD141" s="715">
        <f>DD225*4*DD5</f>
        <v>9030.0457614772986</v>
      </c>
      <c r="DE141" s="715">
        <f>DE225*4*DE5</f>
        <v>4129.9769072695553</v>
      </c>
      <c r="DF141" s="715">
        <f>DF225*4*DF5</f>
        <v>4055.6602833073066</v>
      </c>
      <c r="DG141" s="715">
        <f>DG225*4*DG5</f>
        <v>8896.3282045573542</v>
      </c>
      <c r="DH141" s="705">
        <f>DG141</f>
        <v>8896.3282045573542</v>
      </c>
      <c r="DI141" s="715">
        <f>DI225*4*DI5</f>
        <v>9337.2273611294677</v>
      </c>
      <c r="DJ141" s="715">
        <f>DJ225*4*DJ5</f>
        <v>4270.6890994524865</v>
      </c>
      <c r="DK141" s="715">
        <f>DK225*4*DK5</f>
        <v>4197.3882617384361</v>
      </c>
      <c r="DL141" s="715">
        <f>DL225*4*DL5</f>
        <v>9222.5342077782061</v>
      </c>
      <c r="DM141" s="705">
        <f>DL141</f>
        <v>9222.5342077782061</v>
      </c>
      <c r="DN141" s="208"/>
    </row>
    <row r="142" spans="1:118" ht="15" x14ac:dyDescent="0.2">
      <c r="A142" s="18" t="s">
        <v>69</v>
      </c>
      <c r="C142" s="330">
        <v>491</v>
      </c>
      <c r="D142" s="330">
        <v>501</v>
      </c>
      <c r="E142" s="330">
        <v>456</v>
      </c>
      <c r="F142" s="330">
        <v>358</v>
      </c>
      <c r="G142" s="331">
        <v>424</v>
      </c>
      <c r="H142" s="330">
        <v>392</v>
      </c>
      <c r="I142" s="330">
        <v>439</v>
      </c>
      <c r="J142" s="330">
        <v>371</v>
      </c>
      <c r="K142" s="330">
        <v>442</v>
      </c>
      <c r="L142" s="331">
        <f>K142</f>
        <v>442</v>
      </c>
      <c r="M142" s="330">
        <v>662</v>
      </c>
      <c r="N142" s="330">
        <v>540</v>
      </c>
      <c r="O142" s="330">
        <v>543</v>
      </c>
      <c r="P142" s="330">
        <v>304</v>
      </c>
      <c r="Q142" s="331">
        <f>P142</f>
        <v>304</v>
      </c>
      <c r="R142" s="330">
        <v>365</v>
      </c>
      <c r="S142" s="330">
        <v>296</v>
      </c>
      <c r="T142" s="330">
        <v>397</v>
      </c>
      <c r="U142" s="330">
        <v>337</v>
      </c>
      <c r="V142" s="331">
        <f>U142</f>
        <v>337</v>
      </c>
      <c r="W142" s="330">
        <v>350</v>
      </c>
      <c r="X142" s="330">
        <v>325</v>
      </c>
      <c r="Y142" s="330">
        <v>317</v>
      </c>
      <c r="Z142" s="330">
        <v>450</v>
      </c>
      <c r="AA142" s="331">
        <f>Z142</f>
        <v>450</v>
      </c>
      <c r="AB142" s="330">
        <v>485</v>
      </c>
      <c r="AC142" s="330">
        <v>560</v>
      </c>
      <c r="AD142" s="330">
        <v>537</v>
      </c>
      <c r="AE142" s="330">
        <v>352</v>
      </c>
      <c r="AF142" s="331">
        <f>AE142</f>
        <v>352</v>
      </c>
      <c r="AG142" s="330">
        <v>407</v>
      </c>
      <c r="AH142" s="330">
        <v>490</v>
      </c>
      <c r="AI142" s="330">
        <v>732</v>
      </c>
      <c r="AJ142" s="330">
        <v>608</v>
      </c>
      <c r="AK142" s="331">
        <f>AJ142</f>
        <v>608</v>
      </c>
      <c r="AL142" s="330">
        <v>516</v>
      </c>
      <c r="AM142" s="330">
        <v>1307</v>
      </c>
      <c r="AN142" s="330">
        <v>1403</v>
      </c>
      <c r="AO142" s="330">
        <v>1890</v>
      </c>
      <c r="AP142" s="331">
        <f>AO142</f>
        <v>1890</v>
      </c>
      <c r="AQ142" s="330">
        <v>1838</v>
      </c>
      <c r="AR142" s="330">
        <v>1788</v>
      </c>
      <c r="AS142" s="330">
        <v>2168</v>
      </c>
      <c r="AT142" s="330">
        <v>877</v>
      </c>
      <c r="AU142" s="331">
        <f>AT142</f>
        <v>877</v>
      </c>
      <c r="AV142" s="330">
        <v>865</v>
      </c>
      <c r="AW142" s="330">
        <v>902</v>
      </c>
      <c r="AX142" s="330">
        <v>1123</v>
      </c>
      <c r="AY142" s="330">
        <v>1580</v>
      </c>
      <c r="AZ142" s="331">
        <f>AY142</f>
        <v>1580</v>
      </c>
      <c r="BA142" s="330">
        <v>1481</v>
      </c>
      <c r="BB142" s="330">
        <v>1556</v>
      </c>
      <c r="BC142" s="330">
        <v>1384</v>
      </c>
      <c r="BD142" s="330">
        <v>4261</v>
      </c>
      <c r="BE142" s="331">
        <f>BD142</f>
        <v>4261</v>
      </c>
      <c r="BF142" s="330">
        <v>4421</v>
      </c>
      <c r="BG142" s="330">
        <v>4706</v>
      </c>
      <c r="BH142" s="330">
        <v>4561</v>
      </c>
      <c r="BI142" s="330">
        <v>4694</v>
      </c>
      <c r="BJ142" s="595">
        <f>BI142</f>
        <v>4694</v>
      </c>
      <c r="BK142" s="597">
        <v>4819</v>
      </c>
      <c r="BL142" s="597">
        <v>4990</v>
      </c>
      <c r="BM142" s="597">
        <v>5197</v>
      </c>
      <c r="BN142" s="597">
        <v>4981</v>
      </c>
      <c r="BO142" s="595">
        <f>BN142</f>
        <v>4981</v>
      </c>
      <c r="BP142" s="597">
        <v>5214</v>
      </c>
      <c r="BQ142" s="597">
        <v>5298</v>
      </c>
      <c r="BR142" s="621">
        <v>5307</v>
      </c>
      <c r="BS142" s="621">
        <v>6152</v>
      </c>
      <c r="BT142" s="622">
        <f>BS142</f>
        <v>6152</v>
      </c>
      <c r="BU142" s="630">
        <v>6257</v>
      </c>
      <c r="BV142" s="630">
        <v>6469</v>
      </c>
      <c r="BW142" s="630">
        <v>6391</v>
      </c>
      <c r="BX142" s="630">
        <v>5636</v>
      </c>
      <c r="BY142" s="622">
        <f>BX142</f>
        <v>5636</v>
      </c>
      <c r="BZ142" s="630">
        <v>5432</v>
      </c>
      <c r="CA142" s="630">
        <v>5785</v>
      </c>
      <c r="CB142" s="630">
        <v>5053</v>
      </c>
      <c r="CC142" s="630">
        <v>4691</v>
      </c>
      <c r="CD142" s="622">
        <f>CC142</f>
        <v>4691</v>
      </c>
      <c r="CE142" s="630">
        <v>4337</v>
      </c>
      <c r="CF142" s="716">
        <v>4497</v>
      </c>
      <c r="CG142" s="808">
        <v>4243</v>
      </c>
      <c r="CH142" s="808">
        <v>3753</v>
      </c>
      <c r="CI142" s="709">
        <f>CH142</f>
        <v>3753</v>
      </c>
      <c r="CJ142" s="808">
        <v>3899</v>
      </c>
      <c r="CK142" s="808">
        <v>4330</v>
      </c>
      <c r="CL142" s="808">
        <v>4313</v>
      </c>
      <c r="CM142" s="808">
        <v>2522</v>
      </c>
      <c r="CN142" s="709">
        <f>CM142</f>
        <v>2522</v>
      </c>
      <c r="CO142" s="808">
        <v>2314</v>
      </c>
      <c r="CP142" s="716">
        <f>CP224*4*CP5</f>
        <v>2651.5294855357893</v>
      </c>
      <c r="CQ142" s="716">
        <f>CQ224*4*CQ5</f>
        <v>2518.9615733879659</v>
      </c>
      <c r="CR142" s="716">
        <f>CR224*4*CR5</f>
        <v>2472.722258954896</v>
      </c>
      <c r="CS142" s="709">
        <f>CR142</f>
        <v>2472.722258954896</v>
      </c>
      <c r="CT142" s="716">
        <f>CT224*4*CT5</f>
        <v>2399.6780992483837</v>
      </c>
      <c r="CU142" s="716">
        <f>CU224*4*CU5</f>
        <v>2758.643214175198</v>
      </c>
      <c r="CV142" s="716">
        <f>CV224*4*CV5</f>
        <v>2623.3058574291513</v>
      </c>
      <c r="CW142" s="716">
        <f>CW224*4*CW5</f>
        <v>2580.5199861910378</v>
      </c>
      <c r="CX142" s="709">
        <f>CW142</f>
        <v>2580.5199861910378</v>
      </c>
      <c r="CY142" s="716">
        <f>CY224*4*CY5</f>
        <v>2496.9745504905513</v>
      </c>
      <c r="CZ142" s="716">
        <f>CZ224*4*CZ5</f>
        <v>2869.4934741754205</v>
      </c>
      <c r="DA142" s="716">
        <f>DA224*4*DA5</f>
        <v>2731.3099118571599</v>
      </c>
      <c r="DB142" s="716">
        <f>DB224*4*DB5</f>
        <v>2692.123174369242</v>
      </c>
      <c r="DC142" s="709">
        <f>DB142</f>
        <v>2692.123174369242</v>
      </c>
      <c r="DD142" s="716">
        <f>DD224*4*DD5</f>
        <v>2586.4000361503245</v>
      </c>
      <c r="DE142" s="716">
        <f>DE224*4*DE5</f>
        <v>2972.0337406978756</v>
      </c>
      <c r="DF142" s="716">
        <f>DF224*4*DF5</f>
        <v>2831.8818775402838</v>
      </c>
      <c r="DG142" s="716">
        <f>DG224*4*DG5</f>
        <v>2797.224751513982</v>
      </c>
      <c r="DH142" s="709">
        <f>DG142</f>
        <v>2797.224751513982</v>
      </c>
      <c r="DI142" s="716">
        <f>DI224*4*DI5</f>
        <v>2674.3834773676926</v>
      </c>
      <c r="DJ142" s="716">
        <f>DJ224*4*DJ5</f>
        <v>3073.2937216336327</v>
      </c>
      <c r="DK142" s="716">
        <f>DK224*4*DK5</f>
        <v>2930.8440355177358</v>
      </c>
      <c r="DL142" s="716">
        <f>DL224*4*DL5</f>
        <v>2899.7919551198902</v>
      </c>
      <c r="DM142" s="709">
        <f>DL142</f>
        <v>2899.7919551198902</v>
      </c>
      <c r="DN142" s="208"/>
    </row>
    <row r="143" spans="1:118" ht="15.75" x14ac:dyDescent="0.25">
      <c r="B143" s="20" t="s">
        <v>71</v>
      </c>
      <c r="C143" s="206"/>
      <c r="D143" s="206"/>
      <c r="E143" s="206"/>
      <c r="F143" s="206"/>
      <c r="G143" s="341"/>
      <c r="H143" s="206">
        <f t="shared" ref="H143:AM143" si="212">SUM(H140:H142)+H138</f>
        <v>12248</v>
      </c>
      <c r="I143" s="206">
        <f t="shared" si="212"/>
        <v>11980</v>
      </c>
      <c r="J143" s="206">
        <f t="shared" si="212"/>
        <v>11581</v>
      </c>
      <c r="K143" s="206">
        <f t="shared" si="212"/>
        <v>11051</v>
      </c>
      <c r="L143" s="341">
        <f t="shared" si="212"/>
        <v>11051</v>
      </c>
      <c r="M143" s="206">
        <f t="shared" si="212"/>
        <v>13161</v>
      </c>
      <c r="N143" s="206">
        <f t="shared" si="212"/>
        <v>13936</v>
      </c>
      <c r="O143" s="206">
        <f t="shared" si="212"/>
        <v>13688</v>
      </c>
      <c r="P143" s="206">
        <f t="shared" si="212"/>
        <v>12606</v>
      </c>
      <c r="Q143" s="341">
        <f t="shared" si="212"/>
        <v>12606</v>
      </c>
      <c r="R143" s="206">
        <f t="shared" si="212"/>
        <v>14187</v>
      </c>
      <c r="S143" s="206">
        <f t="shared" si="212"/>
        <v>14415</v>
      </c>
      <c r="T143" s="206">
        <f t="shared" si="212"/>
        <v>13882</v>
      </c>
      <c r="U143" s="206">
        <f t="shared" si="212"/>
        <v>13252</v>
      </c>
      <c r="V143" s="341">
        <f t="shared" si="212"/>
        <v>13252</v>
      </c>
      <c r="W143" s="206">
        <f t="shared" si="212"/>
        <v>14505</v>
      </c>
      <c r="X143" s="206">
        <f t="shared" si="212"/>
        <v>14842</v>
      </c>
      <c r="Y143" s="206">
        <f t="shared" si="212"/>
        <v>14346</v>
      </c>
      <c r="Z143" s="206">
        <f t="shared" si="212"/>
        <v>15392</v>
      </c>
      <c r="AA143" s="341">
        <f t="shared" si="212"/>
        <v>15392</v>
      </c>
      <c r="AB143" s="206">
        <f t="shared" si="212"/>
        <v>15103</v>
      </c>
      <c r="AC143" s="206">
        <f t="shared" si="212"/>
        <v>13335</v>
      </c>
      <c r="AD143" s="206">
        <f t="shared" si="212"/>
        <v>13357</v>
      </c>
      <c r="AE143" s="206">
        <f t="shared" si="212"/>
        <v>13072</v>
      </c>
      <c r="AF143" s="341">
        <f t="shared" si="212"/>
        <v>13072</v>
      </c>
      <c r="AG143" s="206">
        <f t="shared" si="212"/>
        <v>13405</v>
      </c>
      <c r="AH143" s="206">
        <f t="shared" si="212"/>
        <v>13228</v>
      </c>
      <c r="AI143" s="206">
        <f t="shared" si="212"/>
        <v>13303</v>
      </c>
      <c r="AJ143" s="206">
        <f t="shared" si="212"/>
        <v>13043</v>
      </c>
      <c r="AK143" s="341">
        <f t="shared" si="212"/>
        <v>13043</v>
      </c>
      <c r="AL143" s="206">
        <f t="shared" si="212"/>
        <v>15909</v>
      </c>
      <c r="AM143" s="206">
        <f t="shared" si="212"/>
        <v>21017</v>
      </c>
      <c r="AN143" s="206">
        <f t="shared" ref="AN143:BE143" si="213">SUM(AN140:AN142)+AN138</f>
        <v>22001</v>
      </c>
      <c r="AO143" s="206">
        <f t="shared" si="213"/>
        <v>21525</v>
      </c>
      <c r="AP143" s="341">
        <f t="shared" si="213"/>
        <v>21525</v>
      </c>
      <c r="AQ143" s="206">
        <f t="shared" si="213"/>
        <v>23972</v>
      </c>
      <c r="AR143" s="206">
        <f t="shared" si="213"/>
        <v>24549</v>
      </c>
      <c r="AS143" s="206">
        <f t="shared" si="213"/>
        <v>24435</v>
      </c>
      <c r="AT143" s="206">
        <f t="shared" si="213"/>
        <v>19657</v>
      </c>
      <c r="AU143" s="341">
        <f t="shared" si="213"/>
        <v>19657</v>
      </c>
      <c r="AV143" s="206">
        <f t="shared" si="213"/>
        <v>21995</v>
      </c>
      <c r="AW143" s="206">
        <f t="shared" si="213"/>
        <v>22537</v>
      </c>
      <c r="AX143" s="206">
        <f t="shared" si="213"/>
        <v>22685</v>
      </c>
      <c r="AY143" s="206">
        <f t="shared" si="213"/>
        <v>23325</v>
      </c>
      <c r="AZ143" s="341">
        <f t="shared" si="213"/>
        <v>23325</v>
      </c>
      <c r="BA143" s="206">
        <f t="shared" si="213"/>
        <v>22246</v>
      </c>
      <c r="BB143" s="206">
        <f t="shared" si="213"/>
        <v>22636</v>
      </c>
      <c r="BC143" s="206">
        <f t="shared" si="213"/>
        <v>25888</v>
      </c>
      <c r="BD143" s="206">
        <f t="shared" si="213"/>
        <v>41604</v>
      </c>
      <c r="BE143" s="341">
        <f t="shared" si="213"/>
        <v>41604</v>
      </c>
      <c r="BF143" s="206">
        <f t="shared" ref="BF143:CX143" si="214">SUM(BF140:BF142)+BF138</f>
        <v>43462</v>
      </c>
      <c r="BG143" s="206">
        <f t="shared" si="214"/>
        <v>44666</v>
      </c>
      <c r="BH143" s="206">
        <f t="shared" si="214"/>
        <v>48254</v>
      </c>
      <c r="BI143" s="206">
        <f t="shared" si="214"/>
        <v>48053</v>
      </c>
      <c r="BJ143" s="631">
        <f t="shared" si="214"/>
        <v>48053</v>
      </c>
      <c r="BK143" s="421">
        <f t="shared" si="214"/>
        <v>50679</v>
      </c>
      <c r="BL143" s="421">
        <f t="shared" si="214"/>
        <v>52520</v>
      </c>
      <c r="BM143" s="421">
        <f t="shared" si="214"/>
        <v>53064</v>
      </c>
      <c r="BN143" s="421">
        <f t="shared" si="214"/>
        <v>53006</v>
      </c>
      <c r="BO143" s="631">
        <f t="shared" si="214"/>
        <v>53006</v>
      </c>
      <c r="BP143" s="421">
        <f t="shared" si="214"/>
        <v>55556</v>
      </c>
      <c r="BQ143" s="421">
        <f t="shared" si="214"/>
        <v>56880</v>
      </c>
      <c r="BR143" s="632">
        <f t="shared" si="214"/>
        <v>56967</v>
      </c>
      <c r="BS143" s="632">
        <f>SUM(BS140:BS142)+BS138</f>
        <v>56615</v>
      </c>
      <c r="BT143" s="633">
        <f t="shared" si="214"/>
        <v>56615</v>
      </c>
      <c r="BU143" s="634">
        <f>SUM(BU140:BU142)+BU138</f>
        <v>58367</v>
      </c>
      <c r="BV143" s="634">
        <f t="shared" si="214"/>
        <v>61188</v>
      </c>
      <c r="BW143" s="634">
        <f t="shared" si="214"/>
        <v>62645</v>
      </c>
      <c r="BX143" s="634">
        <f t="shared" si="214"/>
        <v>61462</v>
      </c>
      <c r="BY143" s="613">
        <f t="shared" si="214"/>
        <v>61462</v>
      </c>
      <c r="BZ143" s="629">
        <f t="shared" si="214"/>
        <v>61938</v>
      </c>
      <c r="CA143" s="629">
        <f t="shared" si="214"/>
        <v>64994</v>
      </c>
      <c r="CB143" s="629">
        <f t="shared" si="214"/>
        <v>66741</v>
      </c>
      <c r="CC143" s="629">
        <f t="shared" si="214"/>
        <v>64329</v>
      </c>
      <c r="CD143" s="613">
        <f t="shared" si="214"/>
        <v>64329</v>
      </c>
      <c r="CE143" s="629">
        <f t="shared" si="214"/>
        <v>66134</v>
      </c>
      <c r="CF143" s="629">
        <f t="shared" si="214"/>
        <v>67256</v>
      </c>
      <c r="CG143" s="629">
        <f t="shared" si="214"/>
        <v>67682</v>
      </c>
      <c r="CH143" s="629">
        <f t="shared" si="214"/>
        <v>64050</v>
      </c>
      <c r="CI143" s="613">
        <f t="shared" si="214"/>
        <v>64050</v>
      </c>
      <c r="CJ143" s="629">
        <f t="shared" si="214"/>
        <v>68134</v>
      </c>
      <c r="CK143" s="629">
        <f t="shared" si="214"/>
        <v>69057</v>
      </c>
      <c r="CL143" s="629">
        <f t="shared" si="214"/>
        <v>68363</v>
      </c>
      <c r="CM143" s="629">
        <f t="shared" si="214"/>
        <v>68919</v>
      </c>
      <c r="CN143" s="613">
        <f t="shared" si="214"/>
        <v>68919</v>
      </c>
      <c r="CO143" s="629">
        <f t="shared" si="214"/>
        <v>71665</v>
      </c>
      <c r="CP143" s="629">
        <f t="shared" ca="1" si="214"/>
        <v>64549.709273431086</v>
      </c>
      <c r="CQ143" s="629">
        <f t="shared" ca="1" si="214"/>
        <v>60900.204797775848</v>
      </c>
      <c r="CR143" s="629">
        <f t="shared" ca="1" si="214"/>
        <v>62269.019720994547</v>
      </c>
      <c r="CS143" s="613">
        <f t="shared" ca="1" si="214"/>
        <v>62269.019720994547</v>
      </c>
      <c r="CT143" s="717">
        <f t="shared" ca="1" si="214"/>
        <v>65532.973233362492</v>
      </c>
      <c r="CU143" s="717">
        <f t="shared" ca="1" si="214"/>
        <v>56707.674395353264</v>
      </c>
      <c r="CV143" s="717">
        <f t="shared" ca="1" si="214"/>
        <v>56567.036172701031</v>
      </c>
      <c r="CW143" s="717">
        <f t="shared" ca="1" si="214"/>
        <v>61691.250120142417</v>
      </c>
      <c r="CX143" s="718">
        <f t="shared" ca="1" si="214"/>
        <v>61691.250120142417</v>
      </c>
      <c r="CY143" s="717">
        <f t="shared" ref="CY143:DH143" ca="1" si="215">SUM(CY140:CY142)+CY138</f>
        <v>66307.646908371884</v>
      </c>
      <c r="CZ143" s="717">
        <f t="shared" ca="1" si="215"/>
        <v>57257.519533553481</v>
      </c>
      <c r="DA143" s="717">
        <f t="shared" ca="1" si="215"/>
        <v>57126.208423134027</v>
      </c>
      <c r="DB143" s="717">
        <f t="shared" ca="1" si="215"/>
        <v>62510.856798547189</v>
      </c>
      <c r="DC143" s="718">
        <f t="shared" ca="1" si="215"/>
        <v>62510.856798547189</v>
      </c>
      <c r="DD143" s="717">
        <f t="shared" ca="1" si="215"/>
        <v>67111.021336289297</v>
      </c>
      <c r="DE143" s="717">
        <f t="shared" ca="1" si="215"/>
        <v>57780.65835382005</v>
      </c>
      <c r="DF143" s="717">
        <f t="shared" ca="1" si="215"/>
        <v>57661.953622586647</v>
      </c>
      <c r="DG143" s="717">
        <f t="shared" ca="1" si="215"/>
        <v>63297.986843745224</v>
      </c>
      <c r="DH143" s="718">
        <f t="shared" ca="1" si="215"/>
        <v>63297.986843745224</v>
      </c>
      <c r="DI143" s="717">
        <f ca="1">SUM(DI140:DI142)+DI138</f>
        <v>67884.672112628992</v>
      </c>
      <c r="DJ143" s="717">
        <f ca="1">SUM(DJ140:DJ142)+DJ138</f>
        <v>58306.328841454451</v>
      </c>
      <c r="DK143" s="717">
        <f ca="1">SUM(DK140:DK142)+DK138</f>
        <v>58197.900852748018</v>
      </c>
      <c r="DL143" s="717">
        <f ca="1">SUM(DL140:DL142)+DL138</f>
        <v>64073.656106344119</v>
      </c>
      <c r="DM143" s="718">
        <f ca="1">SUM(DM140:DM142)+DM138</f>
        <v>64073.656106344119</v>
      </c>
      <c r="DN143" s="208"/>
    </row>
    <row r="144" spans="1:118" ht="15" x14ac:dyDescent="0.2">
      <c r="G144" s="219"/>
      <c r="L144" s="219"/>
      <c r="Q144" s="219"/>
      <c r="V144" s="219"/>
      <c r="AA144" s="219"/>
      <c r="AF144" s="219"/>
      <c r="AK144" s="219"/>
      <c r="AP144" s="219"/>
      <c r="AU144" s="219"/>
      <c r="AZ144" s="219"/>
      <c r="BE144" s="219"/>
      <c r="BH144" s="207"/>
      <c r="BI144" s="207"/>
      <c r="BJ144" s="443"/>
      <c r="BK144" s="422"/>
      <c r="BL144" s="422"/>
      <c r="BM144" s="422"/>
      <c r="BN144" s="422"/>
      <c r="BO144" s="443"/>
      <c r="BP144" s="422"/>
      <c r="BQ144" s="422"/>
      <c r="BR144" s="626"/>
      <c r="BS144" s="626"/>
      <c r="BT144" s="617"/>
      <c r="BU144" s="626"/>
      <c r="BV144" s="626"/>
      <c r="BW144" s="626"/>
      <c r="BX144" s="626"/>
      <c r="BY144" s="617"/>
      <c r="BZ144" s="626"/>
      <c r="CA144" s="626"/>
      <c r="CB144" s="626"/>
      <c r="CC144" s="626"/>
      <c r="CD144" s="617"/>
      <c r="CE144" s="626"/>
      <c r="CF144" s="715"/>
      <c r="CG144" s="807"/>
      <c r="CH144" s="715"/>
      <c r="CI144" s="705"/>
      <c r="CJ144" s="715"/>
      <c r="CK144" s="715"/>
      <c r="CL144" s="715"/>
      <c r="CM144" s="715"/>
      <c r="CN144" s="705"/>
      <c r="CO144" s="715"/>
      <c r="CP144" s="715"/>
      <c r="CQ144" s="715"/>
      <c r="CR144" s="715"/>
      <c r="CS144" s="705"/>
      <c r="CT144" s="715"/>
      <c r="CU144" s="715"/>
      <c r="CV144" s="715"/>
      <c r="CW144" s="715"/>
      <c r="CX144" s="705"/>
      <c r="CY144" s="715"/>
      <c r="CZ144" s="715"/>
      <c r="DA144" s="715"/>
      <c r="DB144" s="715"/>
      <c r="DC144" s="705"/>
      <c r="DD144" s="715"/>
      <c r="DE144" s="715"/>
      <c r="DF144" s="715"/>
      <c r="DG144" s="715"/>
      <c r="DH144" s="705"/>
      <c r="DI144" s="715"/>
      <c r="DJ144" s="715"/>
      <c r="DK144" s="715"/>
      <c r="DL144" s="715"/>
      <c r="DM144" s="705"/>
      <c r="DN144" s="207"/>
    </row>
    <row r="145" spans="1:118" ht="15.75" x14ac:dyDescent="0.25">
      <c r="A145" s="20" t="s">
        <v>72</v>
      </c>
      <c r="G145" s="219"/>
      <c r="L145" s="219"/>
      <c r="Q145" s="219"/>
      <c r="V145" s="219"/>
      <c r="AA145" s="219"/>
      <c r="AF145" s="219"/>
      <c r="AK145" s="219"/>
      <c r="AP145" s="219"/>
      <c r="AU145" s="219"/>
      <c r="AZ145" s="219"/>
      <c r="BE145" s="219"/>
      <c r="BH145" s="207"/>
      <c r="BI145" s="207"/>
      <c r="BJ145" s="443"/>
      <c r="BK145" s="422"/>
      <c r="BL145" s="422"/>
      <c r="BM145" s="422"/>
      <c r="BN145" s="422"/>
      <c r="BO145" s="443"/>
      <c r="BP145" s="422"/>
      <c r="BQ145" s="422"/>
      <c r="BR145" s="626"/>
      <c r="BS145" s="626"/>
      <c r="BT145" s="617"/>
      <c r="BU145" s="626"/>
      <c r="BV145" s="626"/>
      <c r="BW145" s="626"/>
      <c r="BX145" s="626"/>
      <c r="BY145" s="617"/>
      <c r="BZ145" s="626"/>
      <c r="CA145" s="626"/>
      <c r="CB145" s="626"/>
      <c r="CC145" s="626"/>
      <c r="CD145" s="617"/>
      <c r="CE145" s="626"/>
      <c r="CF145" s="715"/>
      <c r="CG145" s="807"/>
      <c r="CH145" s="715"/>
      <c r="CI145" s="705"/>
      <c r="CJ145" s="715"/>
      <c r="CK145" s="715"/>
      <c r="CL145" s="715"/>
      <c r="CM145" s="715"/>
      <c r="CN145" s="705"/>
      <c r="CO145" s="715"/>
      <c r="CP145" s="715"/>
      <c r="CQ145" s="715"/>
      <c r="CR145" s="715"/>
      <c r="CS145" s="705"/>
      <c r="CT145" s="715"/>
      <c r="CU145" s="715"/>
      <c r="CV145" s="715"/>
      <c r="CW145" s="715"/>
      <c r="CX145" s="705"/>
      <c r="CY145" s="715"/>
      <c r="CZ145" s="715"/>
      <c r="DA145" s="715"/>
      <c r="DB145" s="715"/>
      <c r="DC145" s="705"/>
      <c r="DD145" s="715"/>
      <c r="DE145" s="715"/>
      <c r="DF145" s="715"/>
      <c r="DG145" s="715"/>
      <c r="DH145" s="705"/>
      <c r="DI145" s="715"/>
      <c r="DJ145" s="715"/>
      <c r="DK145" s="715"/>
      <c r="DL145" s="715"/>
      <c r="DM145" s="705"/>
      <c r="DN145" s="207"/>
    </row>
    <row r="146" spans="1:118" ht="15" x14ac:dyDescent="0.2">
      <c r="A146" s="18" t="s">
        <v>73</v>
      </c>
      <c r="C146" s="328">
        <v>868</v>
      </c>
      <c r="D146" s="328">
        <v>868</v>
      </c>
      <c r="E146" s="328">
        <v>869</v>
      </c>
      <c r="F146" s="328">
        <v>870</v>
      </c>
      <c r="G146" s="326">
        <v>865</v>
      </c>
      <c r="H146" s="328">
        <v>871</v>
      </c>
      <c r="I146" s="328">
        <v>872</v>
      </c>
      <c r="J146" s="328">
        <v>873</v>
      </c>
      <c r="K146" s="328">
        <v>873</v>
      </c>
      <c r="L146" s="326">
        <f t="shared" ref="L146:L151" si="216">K146</f>
        <v>873</v>
      </c>
      <c r="M146" s="328">
        <v>873</v>
      </c>
      <c r="N146" s="328">
        <v>874</v>
      </c>
      <c r="O146" s="328">
        <v>874</v>
      </c>
      <c r="P146" s="328">
        <v>873</v>
      </c>
      <c r="Q146" s="326">
        <f t="shared" ref="Q146:Q151" si="217">P146</f>
        <v>873</v>
      </c>
      <c r="R146" s="328">
        <v>873</v>
      </c>
      <c r="S146" s="328">
        <v>873</v>
      </c>
      <c r="T146" s="328">
        <v>873</v>
      </c>
      <c r="U146" s="328">
        <v>874</v>
      </c>
      <c r="V146" s="326">
        <f t="shared" ref="V146:V151" si="218">U146</f>
        <v>874</v>
      </c>
      <c r="W146" s="328">
        <v>874</v>
      </c>
      <c r="X146" s="328">
        <v>875</v>
      </c>
      <c r="Y146" s="328">
        <v>875</v>
      </c>
      <c r="Z146" s="328">
        <v>875</v>
      </c>
      <c r="AA146" s="326">
        <f t="shared" ref="AA146:AA151" si="219">Z146</f>
        <v>875</v>
      </c>
      <c r="AB146" s="328">
        <v>875</v>
      </c>
      <c r="AC146" s="328">
        <v>875</v>
      </c>
      <c r="AD146" s="328">
        <v>876</v>
      </c>
      <c r="AE146" s="328">
        <v>877</v>
      </c>
      <c r="AF146" s="326">
        <f t="shared" ref="AF146:AF151" si="220">AE146</f>
        <v>877</v>
      </c>
      <c r="AG146" s="328">
        <v>877</v>
      </c>
      <c r="AH146" s="328">
        <v>877</v>
      </c>
      <c r="AI146" s="328">
        <v>877</v>
      </c>
      <c r="AJ146" s="328">
        <v>878</v>
      </c>
      <c r="AK146" s="326">
        <f t="shared" ref="AK146:AK151" si="221">AJ146</f>
        <v>878</v>
      </c>
      <c r="AL146" s="328">
        <v>878</v>
      </c>
      <c r="AM146" s="328">
        <v>880</v>
      </c>
      <c r="AN146" s="328">
        <v>880</v>
      </c>
      <c r="AO146" s="328">
        <v>880</v>
      </c>
      <c r="AP146" s="326">
        <f t="shared" ref="AP146:AP151" si="222">AO146</f>
        <v>880</v>
      </c>
      <c r="AQ146" s="328">
        <v>880</v>
      </c>
      <c r="AR146" s="328">
        <v>880</v>
      </c>
      <c r="AS146" s="328">
        <v>880</v>
      </c>
      <c r="AT146" s="328">
        <v>880</v>
      </c>
      <c r="AU146" s="326">
        <f t="shared" ref="AU146:AU151" si="223">AT146</f>
        <v>880</v>
      </c>
      <c r="AV146" s="328">
        <v>880</v>
      </c>
      <c r="AW146" s="328">
        <v>880</v>
      </c>
      <c r="AX146" s="328">
        <v>880</v>
      </c>
      <c r="AY146" s="328">
        <v>880</v>
      </c>
      <c r="AZ146" s="326">
        <f t="shared" ref="AZ146:AZ151" si="224">AY146</f>
        <v>880</v>
      </c>
      <c r="BA146" s="328">
        <v>880</v>
      </c>
      <c r="BB146" s="328">
        <v>880</v>
      </c>
      <c r="BC146" s="328">
        <v>880</v>
      </c>
      <c r="BD146" s="328">
        <v>880</v>
      </c>
      <c r="BE146" s="326">
        <f t="shared" ref="BE146:BJ146" si="225">BD146</f>
        <v>880</v>
      </c>
      <c r="BF146" s="328">
        <v>880</v>
      </c>
      <c r="BG146" s="328">
        <v>880</v>
      </c>
      <c r="BH146" s="328">
        <v>880</v>
      </c>
      <c r="BI146" s="328">
        <f t="shared" si="225"/>
        <v>880</v>
      </c>
      <c r="BJ146" s="592">
        <f t="shared" si="225"/>
        <v>880</v>
      </c>
      <c r="BK146" s="591">
        <v>880</v>
      </c>
      <c r="BL146" s="591">
        <v>880</v>
      </c>
      <c r="BM146" s="591">
        <v>1760</v>
      </c>
      <c r="BN146" s="591">
        <v>1760</v>
      </c>
      <c r="BO146" s="592">
        <f>BN146</f>
        <v>1760</v>
      </c>
      <c r="BP146" s="591">
        <v>1760</v>
      </c>
      <c r="BQ146" s="591">
        <v>1760</v>
      </c>
      <c r="BR146" s="620">
        <v>1760</v>
      </c>
      <c r="BS146" s="620">
        <v>1760</v>
      </c>
      <c r="BT146" s="617">
        <f>BS146</f>
        <v>1760</v>
      </c>
      <c r="BU146" s="626">
        <v>1760</v>
      </c>
      <c r="BV146" s="626">
        <v>1760</v>
      </c>
      <c r="BW146" s="626">
        <v>1760</v>
      </c>
      <c r="BX146" s="626">
        <v>1760</v>
      </c>
      <c r="BY146" s="617">
        <f>BX146</f>
        <v>1760</v>
      </c>
      <c r="BZ146" s="626">
        <v>1760</v>
      </c>
      <c r="CA146" s="626">
        <v>1760</v>
      </c>
      <c r="CB146" s="626">
        <v>1760</v>
      </c>
      <c r="CC146" s="626">
        <v>1760</v>
      </c>
      <c r="CD146" s="617">
        <f t="shared" ref="CD146:CX146" si="226">CC146</f>
        <v>1760</v>
      </c>
      <c r="CE146" s="626">
        <v>1760</v>
      </c>
      <c r="CF146" s="715">
        <v>1760</v>
      </c>
      <c r="CG146" s="807">
        <v>1760</v>
      </c>
      <c r="CH146" s="626">
        <v>1760</v>
      </c>
      <c r="CI146" s="705">
        <f t="shared" si="226"/>
        <v>1760</v>
      </c>
      <c r="CJ146" s="626">
        <v>1760</v>
      </c>
      <c r="CK146" s="626">
        <v>1760</v>
      </c>
      <c r="CL146" s="626">
        <v>1760</v>
      </c>
      <c r="CM146" s="626">
        <v>1760</v>
      </c>
      <c r="CN146" s="705">
        <f t="shared" si="226"/>
        <v>1760</v>
      </c>
      <c r="CO146" s="626">
        <v>1760</v>
      </c>
      <c r="CP146" s="719">
        <f t="shared" si="226"/>
        <v>1760</v>
      </c>
      <c r="CQ146" s="719">
        <f t="shared" si="226"/>
        <v>1760</v>
      </c>
      <c r="CR146" s="719">
        <f t="shared" si="226"/>
        <v>1760</v>
      </c>
      <c r="CS146" s="705">
        <f t="shared" si="226"/>
        <v>1760</v>
      </c>
      <c r="CT146" s="719">
        <f t="shared" si="226"/>
        <v>1760</v>
      </c>
      <c r="CU146" s="719">
        <f t="shared" si="226"/>
        <v>1760</v>
      </c>
      <c r="CV146" s="719">
        <f t="shared" si="226"/>
        <v>1760</v>
      </c>
      <c r="CW146" s="719">
        <f t="shared" si="226"/>
        <v>1760</v>
      </c>
      <c r="CX146" s="705">
        <f t="shared" si="226"/>
        <v>1760</v>
      </c>
      <c r="CY146" s="719">
        <f t="shared" ref="CY146:DH146" si="227">CX146</f>
        <v>1760</v>
      </c>
      <c r="CZ146" s="719">
        <f t="shared" si="227"/>
        <v>1760</v>
      </c>
      <c r="DA146" s="719">
        <f t="shared" si="227"/>
        <v>1760</v>
      </c>
      <c r="DB146" s="719">
        <f t="shared" si="227"/>
        <v>1760</v>
      </c>
      <c r="DC146" s="705">
        <f t="shared" si="227"/>
        <v>1760</v>
      </c>
      <c r="DD146" s="719">
        <f t="shared" si="227"/>
        <v>1760</v>
      </c>
      <c r="DE146" s="719">
        <f t="shared" si="227"/>
        <v>1760</v>
      </c>
      <c r="DF146" s="719">
        <f t="shared" si="227"/>
        <v>1760</v>
      </c>
      <c r="DG146" s="719">
        <f t="shared" si="227"/>
        <v>1760</v>
      </c>
      <c r="DH146" s="705">
        <f t="shared" si="227"/>
        <v>1760</v>
      </c>
      <c r="DI146" s="719">
        <f>DH146</f>
        <v>1760</v>
      </c>
      <c r="DJ146" s="719">
        <f>DI146</f>
        <v>1760</v>
      </c>
      <c r="DK146" s="719">
        <f>DJ146</f>
        <v>1760</v>
      </c>
      <c r="DL146" s="719">
        <f>DK146</f>
        <v>1760</v>
      </c>
      <c r="DM146" s="705">
        <f>DL146</f>
        <v>1760</v>
      </c>
      <c r="DN146" s="208"/>
    </row>
    <row r="147" spans="1:118" ht="15" x14ac:dyDescent="0.2">
      <c r="A147" s="18" t="s">
        <v>327</v>
      </c>
      <c r="C147" s="328">
        <v>2687</v>
      </c>
      <c r="D147" s="328">
        <v>2765</v>
      </c>
      <c r="E147" s="328">
        <v>2882</v>
      </c>
      <c r="F147" s="328">
        <v>3196</v>
      </c>
      <c r="G147" s="326">
        <v>2893.9584425000003</v>
      </c>
      <c r="H147" s="328">
        <v>3271</v>
      </c>
      <c r="I147" s="328">
        <v>3436</v>
      </c>
      <c r="J147" s="328">
        <v>3477</v>
      </c>
      <c r="K147" s="328">
        <v>3520</v>
      </c>
      <c r="L147" s="326">
        <f t="shared" si="216"/>
        <v>3520</v>
      </c>
      <c r="M147" s="328">
        <v>3567</v>
      </c>
      <c r="N147" s="328">
        <v>3641</v>
      </c>
      <c r="O147" s="328">
        <v>3635</v>
      </c>
      <c r="P147" s="328">
        <v>3857</v>
      </c>
      <c r="Q147" s="326">
        <f t="shared" si="217"/>
        <v>3857</v>
      </c>
      <c r="R147" s="328">
        <v>3987</v>
      </c>
      <c r="S147" s="328">
        <v>4119</v>
      </c>
      <c r="T147" s="328">
        <v>4251</v>
      </c>
      <c r="U147" s="328">
        <v>4395</v>
      </c>
      <c r="V147" s="326">
        <f t="shared" si="218"/>
        <v>4395</v>
      </c>
      <c r="W147" s="328">
        <v>4582</v>
      </c>
      <c r="X147" s="328">
        <v>4731</v>
      </c>
      <c r="Y147" s="328">
        <v>4837</v>
      </c>
      <c r="Z147" s="328">
        <v>4928</v>
      </c>
      <c r="AA147" s="326">
        <f t="shared" si="219"/>
        <v>4928</v>
      </c>
      <c r="AB147" s="328">
        <v>5063</v>
      </c>
      <c r="AC147" s="328">
        <v>5185</v>
      </c>
      <c r="AD147" s="328">
        <v>5331</v>
      </c>
      <c r="AE147" s="328">
        <v>5492</v>
      </c>
      <c r="AF147" s="326">
        <f t="shared" si="220"/>
        <v>5492</v>
      </c>
      <c r="AG147" s="328">
        <v>5578</v>
      </c>
      <c r="AH147" s="328">
        <v>5651</v>
      </c>
      <c r="AI147" s="328">
        <v>5737</v>
      </c>
      <c r="AJ147" s="328">
        <v>5983</v>
      </c>
      <c r="AK147" s="326">
        <f t="shared" si="221"/>
        <v>5983</v>
      </c>
      <c r="AL147" s="328">
        <v>6147</v>
      </c>
      <c r="AM147" s="328">
        <v>6651</v>
      </c>
      <c r="AN147" s="328">
        <v>6947</v>
      </c>
      <c r="AO147" s="328">
        <v>7378</v>
      </c>
      <c r="AP147" s="326">
        <f t="shared" si="222"/>
        <v>7378</v>
      </c>
      <c r="AQ147" s="328">
        <v>7662</v>
      </c>
      <c r="AR147" s="328">
        <v>7805</v>
      </c>
      <c r="AS147" s="328">
        <v>7927</v>
      </c>
      <c r="AT147" s="328">
        <v>7966</v>
      </c>
      <c r="AU147" s="326">
        <f t="shared" si="223"/>
        <v>7966</v>
      </c>
      <c r="AV147" s="328">
        <v>8021</v>
      </c>
      <c r="AW147" s="328">
        <v>8111</v>
      </c>
      <c r="AX147" s="328">
        <v>8227</v>
      </c>
      <c r="AY147" s="328">
        <v>8537</v>
      </c>
      <c r="AZ147" s="326">
        <f t="shared" si="224"/>
        <v>8537</v>
      </c>
      <c r="BA147" s="328">
        <v>8646</v>
      </c>
      <c r="BB147" s="328">
        <v>8751</v>
      </c>
      <c r="BC147" s="328">
        <v>9013</v>
      </c>
      <c r="BD147" s="328">
        <v>10057</v>
      </c>
      <c r="BE147" s="326">
        <f>BD147</f>
        <v>10057</v>
      </c>
      <c r="BF147" s="328">
        <v>10387</v>
      </c>
      <c r="BG147" s="328">
        <v>10663</v>
      </c>
      <c r="BH147" s="328">
        <v>11056</v>
      </c>
      <c r="BI147" s="328">
        <v>11212</v>
      </c>
      <c r="BJ147" s="592">
        <f>BI147</f>
        <v>11212</v>
      </c>
      <c r="BK147" s="591">
        <v>11557</v>
      </c>
      <c r="BL147" s="591">
        <v>11907</v>
      </c>
      <c r="BM147" s="591">
        <v>11280</v>
      </c>
      <c r="BN147" s="591">
        <v>11379</v>
      </c>
      <c r="BO147" s="592">
        <f>BN147</f>
        <v>11379</v>
      </c>
      <c r="BP147" s="591">
        <v>11664</v>
      </c>
      <c r="BQ147" s="591">
        <v>11990</v>
      </c>
      <c r="BR147" s="620">
        <v>12122</v>
      </c>
      <c r="BS147" s="620">
        <v>12276</v>
      </c>
      <c r="BT147" s="617">
        <f>BS147</f>
        <v>12276</v>
      </c>
      <c r="BU147" s="626">
        <v>12332</v>
      </c>
      <c r="BV147" s="626">
        <v>12675</v>
      </c>
      <c r="BW147" s="626">
        <v>12901</v>
      </c>
      <c r="BX147" s="626">
        <v>13154</v>
      </c>
      <c r="BY147" s="617">
        <f>BX147</f>
        <v>13154</v>
      </c>
      <c r="BZ147" s="626">
        <v>13361</v>
      </c>
      <c r="CA147" s="626">
        <v>13486</v>
      </c>
      <c r="CB147" s="626">
        <v>13715</v>
      </c>
      <c r="CC147" s="626">
        <v>14016</v>
      </c>
      <c r="CD147" s="617">
        <f>CC147</f>
        <v>14016</v>
      </c>
      <c r="CE147" s="626">
        <v>14507</v>
      </c>
      <c r="CF147" s="715">
        <v>14710</v>
      </c>
      <c r="CG147" s="807">
        <v>14882</v>
      </c>
      <c r="CH147" s="626">
        <v>14993</v>
      </c>
      <c r="CI147" s="705">
        <f>CH147</f>
        <v>14993</v>
      </c>
      <c r="CJ147" s="626">
        <v>15197</v>
      </c>
      <c r="CK147" s="626">
        <v>15473</v>
      </c>
      <c r="CL147" s="626">
        <v>15699</v>
      </c>
      <c r="CM147" s="626">
        <v>15864</v>
      </c>
      <c r="CN147" s="705">
        <f>CM147</f>
        <v>15864</v>
      </c>
      <c r="CO147" s="626">
        <v>16006</v>
      </c>
      <c r="CP147" s="719">
        <f>CO147+CP163</f>
        <v>16066.18</v>
      </c>
      <c r="CQ147" s="719">
        <f>CP147+CQ163</f>
        <v>16120.24</v>
      </c>
      <c r="CR147" s="719">
        <f>CQ147+CR163</f>
        <v>16173.28</v>
      </c>
      <c r="CS147" s="705">
        <f>CR147</f>
        <v>16173.28</v>
      </c>
      <c r="CT147" s="719">
        <f>CS147+CT163</f>
        <v>16247.800000000001</v>
      </c>
      <c r="CU147" s="719">
        <f>CT147+CU163</f>
        <v>16310.086300000001</v>
      </c>
      <c r="CV147" s="719">
        <f>CU147+CV163</f>
        <v>16366.038400000001</v>
      </c>
      <c r="CW147" s="719">
        <f>CV147+CW163</f>
        <v>16420.934800000003</v>
      </c>
      <c r="CX147" s="705">
        <f>CW147</f>
        <v>16420.934800000003</v>
      </c>
      <c r="CY147" s="719">
        <f>CX147+CY163</f>
        <v>16498.063000000002</v>
      </c>
      <c r="CZ147" s="719">
        <f>CY147+CZ163</f>
        <v>16562.529320500002</v>
      </c>
      <c r="DA147" s="719">
        <f>CZ147+DA163</f>
        <v>16620.439744000003</v>
      </c>
      <c r="DB147" s="719">
        <f>DA147+DB163</f>
        <v>16677.257518000002</v>
      </c>
      <c r="DC147" s="705">
        <f>DB147</f>
        <v>16677.257518000002</v>
      </c>
      <c r="DD147" s="719">
        <f>DC147+DD163</f>
        <v>16757.085205000003</v>
      </c>
      <c r="DE147" s="719">
        <f>DD147+DE163</f>
        <v>16823.807846717504</v>
      </c>
      <c r="DF147" s="719">
        <f>DE147+DF163</f>
        <v>16883.745135040004</v>
      </c>
      <c r="DG147" s="719">
        <f>DF147+DG163</f>
        <v>16942.551531130004</v>
      </c>
      <c r="DH147" s="705">
        <f>DG147</f>
        <v>16942.551531130004</v>
      </c>
      <c r="DI147" s="719">
        <f>DH147+DI163</f>
        <v>17025.173187175005</v>
      </c>
      <c r="DJ147" s="719">
        <f>DI147+DJ163</f>
        <v>17094.231121352619</v>
      </c>
      <c r="DK147" s="719">
        <f>DJ147+DK163</f>
        <v>17156.266214766405</v>
      </c>
      <c r="DL147" s="719">
        <f>DK147+DL163</f>
        <v>17217.130834719555</v>
      </c>
      <c r="DM147" s="705">
        <f>DL147</f>
        <v>17217.130834719555</v>
      </c>
      <c r="DN147" s="208"/>
    </row>
    <row r="148" spans="1:118" ht="15" x14ac:dyDescent="0.2">
      <c r="A148" s="18" t="s">
        <v>328</v>
      </c>
      <c r="C148" s="328">
        <v>20295</v>
      </c>
      <c r="D148" s="328">
        <v>20799</v>
      </c>
      <c r="E148" s="328">
        <v>21446</v>
      </c>
      <c r="F148" s="328">
        <v>21265</v>
      </c>
      <c r="G148" s="326">
        <v>21265</v>
      </c>
      <c r="H148" s="328">
        <v>21679</v>
      </c>
      <c r="I148" s="328">
        <v>22351</v>
      </c>
      <c r="J148" s="328">
        <v>22976</v>
      </c>
      <c r="K148" s="328">
        <v>23443</v>
      </c>
      <c r="L148" s="326">
        <f t="shared" si="216"/>
        <v>23443</v>
      </c>
      <c r="M148" s="328">
        <v>22821</v>
      </c>
      <c r="N148" s="328">
        <v>23614</v>
      </c>
      <c r="O148" s="328">
        <v>24279</v>
      </c>
      <c r="P148" s="328">
        <v>24506</v>
      </c>
      <c r="Q148" s="326">
        <f t="shared" si="217"/>
        <v>24506</v>
      </c>
      <c r="R148" s="328">
        <v>24799</v>
      </c>
      <c r="S148" s="328">
        <v>25617</v>
      </c>
      <c r="T148" s="328">
        <v>26300</v>
      </c>
      <c r="U148" s="328">
        <v>26687</v>
      </c>
      <c r="V148" s="326">
        <f t="shared" si="218"/>
        <v>26687</v>
      </c>
      <c r="W148" s="328">
        <v>27203</v>
      </c>
      <c r="X148" s="328">
        <v>28180</v>
      </c>
      <c r="Y148" s="328">
        <v>28509</v>
      </c>
      <c r="Z148" s="328">
        <v>29105</v>
      </c>
      <c r="AA148" s="326">
        <f t="shared" si="219"/>
        <v>29105</v>
      </c>
      <c r="AB148" s="328">
        <v>29432</v>
      </c>
      <c r="AC148" s="328">
        <v>30485</v>
      </c>
      <c r="AD148" s="328">
        <v>31100</v>
      </c>
      <c r="AE148" s="328">
        <v>31299</v>
      </c>
      <c r="AF148" s="326">
        <f t="shared" si="220"/>
        <v>31299</v>
      </c>
      <c r="AG148" s="328">
        <v>31672</v>
      </c>
      <c r="AH148" s="328">
        <v>32780</v>
      </c>
      <c r="AI148" s="328">
        <v>33514</v>
      </c>
      <c r="AJ148" s="328">
        <v>33468</v>
      </c>
      <c r="AK148" s="326">
        <f t="shared" si="221"/>
        <v>33468</v>
      </c>
      <c r="AL148" s="328">
        <v>33877</v>
      </c>
      <c r="AM148" s="328">
        <v>34941</v>
      </c>
      <c r="AN148" s="328">
        <v>35809</v>
      </c>
      <c r="AO148" s="328">
        <v>36235</v>
      </c>
      <c r="AP148" s="326">
        <f t="shared" si="222"/>
        <v>36235</v>
      </c>
      <c r="AQ148" s="328">
        <v>36843</v>
      </c>
      <c r="AR148" s="328">
        <v>37386</v>
      </c>
      <c r="AS148" s="328">
        <v>38397</v>
      </c>
      <c r="AT148" s="328">
        <v>38513</v>
      </c>
      <c r="AU148" s="326">
        <f t="shared" si="223"/>
        <v>38513</v>
      </c>
      <c r="AV148" s="328">
        <v>38911</v>
      </c>
      <c r="AW148" s="328">
        <v>39999</v>
      </c>
      <c r="AX148" s="328">
        <v>40944</v>
      </c>
      <c r="AY148" s="328">
        <v>41537</v>
      </c>
      <c r="AZ148" s="326">
        <f t="shared" si="224"/>
        <v>41537</v>
      </c>
      <c r="BA148" s="328">
        <v>42136</v>
      </c>
      <c r="BB148" s="328">
        <v>43490</v>
      </c>
      <c r="BC148" s="328">
        <v>44541</v>
      </c>
      <c r="BD148" s="328">
        <v>49278</v>
      </c>
      <c r="BE148" s="326">
        <f>BD148</f>
        <v>49278</v>
      </c>
      <c r="BF148" s="328">
        <v>50097</v>
      </c>
      <c r="BG148" s="328">
        <v>51816</v>
      </c>
      <c r="BH148" s="328">
        <v>52965</v>
      </c>
      <c r="BI148" s="328">
        <v>53550</v>
      </c>
      <c r="BJ148" s="592">
        <f>BI148</f>
        <v>53550</v>
      </c>
      <c r="BK148" s="591">
        <v>54520</v>
      </c>
      <c r="BL148" s="591">
        <v>56159</v>
      </c>
      <c r="BM148" s="591">
        <v>57320</v>
      </c>
      <c r="BN148" s="591">
        <v>58045</v>
      </c>
      <c r="BO148" s="592">
        <f>BN148</f>
        <v>58045</v>
      </c>
      <c r="BP148" s="591">
        <v>58549</v>
      </c>
      <c r="BQ148" s="591">
        <v>59978</v>
      </c>
      <c r="BR148" s="620">
        <v>61187</v>
      </c>
      <c r="BS148" s="620">
        <v>61660</v>
      </c>
      <c r="BT148" s="617">
        <f>BS148</f>
        <v>61660</v>
      </c>
      <c r="BU148" s="626">
        <v>61937</v>
      </c>
      <c r="BV148" s="626">
        <v>63194</v>
      </c>
      <c r="BW148" s="626">
        <v>63972</v>
      </c>
      <c r="BX148" s="626">
        <v>63408</v>
      </c>
      <c r="BY148" s="617">
        <f>BX148</f>
        <v>63408</v>
      </c>
      <c r="BZ148" s="626">
        <v>63524</v>
      </c>
      <c r="CA148" s="626">
        <v>65196</v>
      </c>
      <c r="CB148" s="626">
        <v>65209</v>
      </c>
      <c r="CC148" s="626">
        <v>65018</v>
      </c>
      <c r="CD148" s="617">
        <f>CC148</f>
        <v>65018</v>
      </c>
      <c r="CE148" s="626">
        <v>64985</v>
      </c>
      <c r="CF148" s="715">
        <v>66921</v>
      </c>
      <c r="CG148" s="807">
        <v>66457</v>
      </c>
      <c r="CH148" s="626">
        <v>65502</v>
      </c>
      <c r="CI148" s="705">
        <f>CH148</f>
        <v>65502</v>
      </c>
      <c r="CJ148" s="626">
        <v>65099</v>
      </c>
      <c r="CK148" s="626">
        <v>64890</v>
      </c>
      <c r="CL148" s="626">
        <v>64759</v>
      </c>
      <c r="CM148" s="626">
        <v>60430</v>
      </c>
      <c r="CN148" s="705">
        <f>CM148</f>
        <v>60430</v>
      </c>
      <c r="CO148" s="626">
        <v>63150</v>
      </c>
      <c r="CP148" s="715">
        <f ca="1">CO148+CP187+CP85-CP75</f>
        <v>64102.62603594274</v>
      </c>
      <c r="CQ148" s="715">
        <f ca="1">CP148+CQ187+CQ85-CQ75</f>
        <v>64872.186062856432</v>
      </c>
      <c r="CR148" s="715">
        <f ca="1">CQ148+CR187+CR85-CR75</f>
        <v>65142.917527377496</v>
      </c>
      <c r="CS148" s="705">
        <f ca="1">CR148</f>
        <v>65142.917527377496</v>
      </c>
      <c r="CT148" s="715">
        <f ca="1">CS148+CT187+CT85-CT75</f>
        <v>65505.220993895149</v>
      </c>
      <c r="CU148" s="715">
        <f ca="1">CT148+CU187+CU85-CU75</f>
        <v>66493.029941812594</v>
      </c>
      <c r="CV148" s="715">
        <f ca="1">CU148+CV187+CV85-CV75</f>
        <v>67292.96774432993</v>
      </c>
      <c r="CW148" s="715">
        <f ca="1">CV148+CW187+CW85-CW75</f>
        <v>67577.021620949134</v>
      </c>
      <c r="CX148" s="705">
        <f ca="1">CW148</f>
        <v>67577.021620949134</v>
      </c>
      <c r="CY148" s="715">
        <f ca="1">CX148+CY187+CY85-CY75</f>
        <v>67948.508937816718</v>
      </c>
      <c r="CZ148" s="715">
        <f ca="1">CY148+CZ187+CZ85-CZ75</f>
        <v>68980.069712603465</v>
      </c>
      <c r="DA148" s="715">
        <f ca="1">CZ148+DA187+DA85-DA75</f>
        <v>69815.39720397233</v>
      </c>
      <c r="DB148" s="715">
        <f ca="1">DA148+DB187+DB85-DB75</f>
        <v>70107.457559204719</v>
      </c>
      <c r="DC148" s="705">
        <f ca="1">DB148</f>
        <v>70107.457559204719</v>
      </c>
      <c r="DD148" s="715">
        <f ca="1">DC148+DD187+DD85-DD75</f>
        <v>70488.844767189963</v>
      </c>
      <c r="DE148" s="715">
        <f ca="1">DD148+DE187+DE85-DE75</f>
        <v>71563.530442861927</v>
      </c>
      <c r="DF148" s="715">
        <f ca="1">DE148+DF187+DF85-DF75</f>
        <v>72433.645108702563</v>
      </c>
      <c r="DG148" s="715">
        <f ca="1">DF148+DG187+DG85-DG75</f>
        <v>72733.554555070776</v>
      </c>
      <c r="DH148" s="705">
        <f ca="1">DG148</f>
        <v>72733.554555070776</v>
      </c>
      <c r="DI148" s="715">
        <f ca="1">DH148+DI187+DI85-DI75</f>
        <v>73121.686915700615</v>
      </c>
      <c r="DJ148" s="715">
        <f ca="1">DI148+DJ187+DJ85-DJ75</f>
        <v>74237.326526595207</v>
      </c>
      <c r="DK148" s="715">
        <f ca="1">DJ148+DK187+DK85-DK75</f>
        <v>75139.740381609095</v>
      </c>
      <c r="DL148" s="715">
        <f ca="1">DK148+DL187+DL85-DL75</f>
        <v>75444.343193837616</v>
      </c>
      <c r="DM148" s="705">
        <f ca="1">DL148</f>
        <v>75444.343193837616</v>
      </c>
      <c r="DN148" s="208"/>
    </row>
    <row r="149" spans="1:118" ht="15" x14ac:dyDescent="0.2">
      <c r="A149" s="18" t="s">
        <v>74</v>
      </c>
      <c r="C149" s="328">
        <v>-1680</v>
      </c>
      <c r="D149" s="328">
        <v>-1965</v>
      </c>
      <c r="E149" s="328">
        <v>-2059</v>
      </c>
      <c r="F149" s="328">
        <v>-2722</v>
      </c>
      <c r="G149" s="326">
        <v>-1434</v>
      </c>
      <c r="H149" s="328">
        <v>-2456</v>
      </c>
      <c r="I149" s="328">
        <v>-2719</v>
      </c>
      <c r="J149" s="328">
        <v>-2626</v>
      </c>
      <c r="K149" s="328">
        <v>-2788</v>
      </c>
      <c r="L149" s="326">
        <f t="shared" si="216"/>
        <v>-2788</v>
      </c>
      <c r="M149" s="328">
        <v>-2871</v>
      </c>
      <c r="N149" s="328">
        <v>-2792</v>
      </c>
      <c r="O149" s="328">
        <v>-3020</v>
      </c>
      <c r="P149" s="328">
        <v>-3047</v>
      </c>
      <c r="Q149" s="326">
        <f t="shared" si="217"/>
        <v>-3047</v>
      </c>
      <c r="R149" s="328">
        <v>-2811</v>
      </c>
      <c r="S149" s="328">
        <v>-2199</v>
      </c>
      <c r="T149" s="328">
        <v>-2574</v>
      </c>
      <c r="U149" s="328">
        <v>-1995</v>
      </c>
      <c r="V149" s="326">
        <f t="shared" si="218"/>
        <v>-1995</v>
      </c>
      <c r="W149" s="328">
        <v>-1619</v>
      </c>
      <c r="X149" s="328">
        <v>-1944</v>
      </c>
      <c r="Y149" s="328">
        <v>-1963</v>
      </c>
      <c r="Z149" s="328">
        <v>-1348</v>
      </c>
      <c r="AA149" s="326">
        <f t="shared" si="219"/>
        <v>-1348</v>
      </c>
      <c r="AB149" s="328">
        <v>-1209</v>
      </c>
      <c r="AC149" s="328">
        <v>-1546</v>
      </c>
      <c r="AD149" s="328">
        <v>-1589</v>
      </c>
      <c r="AE149" s="328">
        <v>-1669</v>
      </c>
      <c r="AF149" s="326">
        <f t="shared" si="220"/>
        <v>-1669</v>
      </c>
      <c r="AG149" s="328">
        <v>-1577</v>
      </c>
      <c r="AH149" s="328">
        <v>-1377</v>
      </c>
      <c r="AI149" s="328">
        <v>-1307</v>
      </c>
      <c r="AJ149" s="328">
        <v>-1291</v>
      </c>
      <c r="AK149" s="326">
        <f t="shared" si="221"/>
        <v>-1291</v>
      </c>
      <c r="AL149" s="328">
        <v>-897</v>
      </c>
      <c r="AM149" s="328">
        <v>-473</v>
      </c>
      <c r="AN149" s="328">
        <v>-470</v>
      </c>
      <c r="AO149" s="328">
        <v>626</v>
      </c>
      <c r="AP149" s="326">
        <f t="shared" si="222"/>
        <v>626</v>
      </c>
      <c r="AQ149" s="328">
        <v>1199</v>
      </c>
      <c r="AR149" s="328">
        <v>1352</v>
      </c>
      <c r="AS149" s="328">
        <v>759</v>
      </c>
      <c r="AT149" s="328">
        <v>-2674</v>
      </c>
      <c r="AU149" s="326">
        <f t="shared" si="223"/>
        <v>-2674</v>
      </c>
      <c r="AV149" s="328">
        <v>-2893</v>
      </c>
      <c r="AW149" s="328">
        <v>-1740</v>
      </c>
      <c r="AX149" s="328">
        <v>-1753</v>
      </c>
      <c r="AY149" s="328">
        <v>-757</v>
      </c>
      <c r="AZ149" s="326">
        <f t="shared" si="224"/>
        <v>-757</v>
      </c>
      <c r="BA149" s="328">
        <v>-1445</v>
      </c>
      <c r="BB149" s="328">
        <v>-2298</v>
      </c>
      <c r="BC149" s="328">
        <v>-1381</v>
      </c>
      <c r="BD149" s="328">
        <v>-1450</v>
      </c>
      <c r="BE149" s="326">
        <f>BD149</f>
        <v>-1450</v>
      </c>
      <c r="BF149" s="328">
        <v>-535</v>
      </c>
      <c r="BG149" s="328">
        <v>287</v>
      </c>
      <c r="BH149" s="328">
        <v>-1174</v>
      </c>
      <c r="BI149" s="328">
        <v>-2703</v>
      </c>
      <c r="BJ149" s="592">
        <f>BI149</f>
        <v>-2703</v>
      </c>
      <c r="BK149" s="591">
        <v>-1775</v>
      </c>
      <c r="BL149" s="591">
        <v>-3369</v>
      </c>
      <c r="BM149" s="591">
        <v>-2941</v>
      </c>
      <c r="BN149" s="591">
        <v>-3385</v>
      </c>
      <c r="BO149" s="592">
        <f t="shared" ref="BO149:CW149" si="228">BN149</f>
        <v>-3385</v>
      </c>
      <c r="BP149" s="591">
        <v>-3211</v>
      </c>
      <c r="BQ149" s="591">
        <v>-4083</v>
      </c>
      <c r="BR149" s="620">
        <v>-4699</v>
      </c>
      <c r="BS149" s="620">
        <v>-3432</v>
      </c>
      <c r="BT149" s="617">
        <f t="shared" si="228"/>
        <v>-3432</v>
      </c>
      <c r="BU149" s="626">
        <v>-3594</v>
      </c>
      <c r="BV149" s="626">
        <v>-2986</v>
      </c>
      <c r="BW149" s="626">
        <v>-3843</v>
      </c>
      <c r="BX149" s="626">
        <v>-5777</v>
      </c>
      <c r="BY149" s="617">
        <f t="shared" si="228"/>
        <v>-5777</v>
      </c>
      <c r="BZ149" s="626">
        <v>-7069</v>
      </c>
      <c r="CA149" s="626">
        <v>-8736</v>
      </c>
      <c r="CB149" s="626">
        <v>-10813</v>
      </c>
      <c r="CC149" s="626">
        <v>-10174</v>
      </c>
      <c r="CD149" s="617">
        <f t="shared" si="228"/>
        <v>-10174</v>
      </c>
      <c r="CE149" s="626">
        <v>-10789</v>
      </c>
      <c r="CF149" s="715">
        <v>-10153</v>
      </c>
      <c r="CG149" s="807">
        <v>-10209</v>
      </c>
      <c r="CH149" s="626">
        <v>-11205</v>
      </c>
      <c r="CI149" s="705">
        <f t="shared" si="228"/>
        <v>-11205</v>
      </c>
      <c r="CJ149" s="626">
        <v>-10206</v>
      </c>
      <c r="CK149" s="626">
        <v>-10489</v>
      </c>
      <c r="CL149" s="626">
        <v>-9843</v>
      </c>
      <c r="CM149" s="626">
        <v>-10305</v>
      </c>
      <c r="CN149" s="705">
        <f t="shared" si="228"/>
        <v>-10305</v>
      </c>
      <c r="CO149" s="626">
        <v>-10038</v>
      </c>
      <c r="CP149" s="719">
        <f t="shared" si="228"/>
        <v>-10038</v>
      </c>
      <c r="CQ149" s="719">
        <f t="shared" si="228"/>
        <v>-10038</v>
      </c>
      <c r="CR149" s="719">
        <f t="shared" si="228"/>
        <v>-10038</v>
      </c>
      <c r="CS149" s="705">
        <f t="shared" si="228"/>
        <v>-10038</v>
      </c>
      <c r="CT149" s="719">
        <f t="shared" si="228"/>
        <v>-10038</v>
      </c>
      <c r="CU149" s="719">
        <f t="shared" si="228"/>
        <v>-10038</v>
      </c>
      <c r="CV149" s="719">
        <f t="shared" si="228"/>
        <v>-10038</v>
      </c>
      <c r="CW149" s="719">
        <f t="shared" si="228"/>
        <v>-10038</v>
      </c>
      <c r="CX149" s="705">
        <f>CW149</f>
        <v>-10038</v>
      </c>
      <c r="CY149" s="719">
        <f>CX149</f>
        <v>-10038</v>
      </c>
      <c r="CZ149" s="719">
        <f>CY149</f>
        <v>-10038</v>
      </c>
      <c r="DA149" s="719">
        <f>CZ149</f>
        <v>-10038</v>
      </c>
      <c r="DB149" s="719">
        <f>DA149</f>
        <v>-10038</v>
      </c>
      <c r="DC149" s="705">
        <f>DB149</f>
        <v>-10038</v>
      </c>
      <c r="DD149" s="719">
        <f>DC149</f>
        <v>-10038</v>
      </c>
      <c r="DE149" s="719">
        <f>DD149</f>
        <v>-10038</v>
      </c>
      <c r="DF149" s="719">
        <f>DE149</f>
        <v>-10038</v>
      </c>
      <c r="DG149" s="719">
        <f>DF149</f>
        <v>-10038</v>
      </c>
      <c r="DH149" s="705">
        <f>DG149</f>
        <v>-10038</v>
      </c>
      <c r="DI149" s="719">
        <f>DH149</f>
        <v>-10038</v>
      </c>
      <c r="DJ149" s="719">
        <f>DI149</f>
        <v>-10038</v>
      </c>
      <c r="DK149" s="719">
        <f>DJ149</f>
        <v>-10038</v>
      </c>
      <c r="DL149" s="719">
        <f>DK149</f>
        <v>-10038</v>
      </c>
      <c r="DM149" s="705">
        <f>DL149</f>
        <v>-10038</v>
      </c>
      <c r="DN149" s="208"/>
    </row>
    <row r="150" spans="1:118" ht="15" x14ac:dyDescent="0.2">
      <c r="A150" s="18" t="s">
        <v>75</v>
      </c>
      <c r="C150" s="328">
        <v>-13268</v>
      </c>
      <c r="D150" s="328">
        <v>-13283</v>
      </c>
      <c r="E150" s="328">
        <v>-13290</v>
      </c>
      <c r="F150" s="328">
        <v>-13293</v>
      </c>
      <c r="G150" s="326">
        <v>-13287.2</v>
      </c>
      <c r="H150" s="328">
        <v>-13365</v>
      </c>
      <c r="I150" s="328">
        <v>-13533</v>
      </c>
      <c r="J150" s="328">
        <v>-13616</v>
      </c>
      <c r="K150" s="328">
        <v>-13682</v>
      </c>
      <c r="L150" s="326">
        <f t="shared" si="216"/>
        <v>-13682</v>
      </c>
      <c r="M150" s="328">
        <v>-13862</v>
      </c>
      <c r="N150" s="328">
        <v>-13986</v>
      </c>
      <c r="O150" s="328">
        <v>-14156</v>
      </c>
      <c r="P150" s="328">
        <v>-14389</v>
      </c>
      <c r="Q150" s="326">
        <f t="shared" si="217"/>
        <v>-14389</v>
      </c>
      <c r="R150" s="328">
        <v>-14713</v>
      </c>
      <c r="S150" s="328">
        <v>-14876</v>
      </c>
      <c r="T150" s="328">
        <v>-15325</v>
      </c>
      <c r="U150" s="328">
        <v>-15871</v>
      </c>
      <c r="V150" s="326">
        <f t="shared" si="218"/>
        <v>-15871</v>
      </c>
      <c r="W150" s="328">
        <v>-16378</v>
      </c>
      <c r="X150" s="328">
        <v>-16839</v>
      </c>
      <c r="Y150" s="328">
        <v>-17304</v>
      </c>
      <c r="Z150" s="328">
        <v>-17625</v>
      </c>
      <c r="AA150" s="326">
        <f t="shared" si="219"/>
        <v>-17625</v>
      </c>
      <c r="AB150" s="328">
        <v>-17650</v>
      </c>
      <c r="AC150" s="328">
        <v>-18656</v>
      </c>
      <c r="AD150" s="328">
        <v>-19192</v>
      </c>
      <c r="AE150" s="328">
        <v>-19644</v>
      </c>
      <c r="AF150" s="326">
        <f t="shared" si="220"/>
        <v>-19644</v>
      </c>
      <c r="AG150" s="328">
        <v>-20144</v>
      </c>
      <c r="AH150" s="328">
        <v>-20809</v>
      </c>
      <c r="AI150" s="328">
        <v>-20821</v>
      </c>
      <c r="AJ150" s="328">
        <v>-22118</v>
      </c>
      <c r="AK150" s="326">
        <f t="shared" si="221"/>
        <v>-22118</v>
      </c>
      <c r="AL150" s="328">
        <v>-22794</v>
      </c>
      <c r="AM150" s="328">
        <v>-23027</v>
      </c>
      <c r="AN150" s="328">
        <v>-23497</v>
      </c>
      <c r="AO150" s="328">
        <v>-23375</v>
      </c>
      <c r="AP150" s="326">
        <f t="shared" si="222"/>
        <v>-23375</v>
      </c>
      <c r="AQ150" s="328">
        <v>-23552</v>
      </c>
      <c r="AR150" s="328">
        <v>-24241</v>
      </c>
      <c r="AS150" s="328">
        <v>-24218</v>
      </c>
      <c r="AT150" s="328">
        <v>-24213</v>
      </c>
      <c r="AU150" s="326">
        <f t="shared" si="223"/>
        <v>-24213</v>
      </c>
      <c r="AV150" s="328">
        <v>-24207</v>
      </c>
      <c r="AW150" s="328">
        <v>-24174</v>
      </c>
      <c r="AX150" s="328">
        <v>-24343</v>
      </c>
      <c r="AY150" s="328">
        <v>-25398</v>
      </c>
      <c r="AZ150" s="326">
        <f t="shared" si="224"/>
        <v>-25398</v>
      </c>
      <c r="BA150" s="328">
        <v>-25345</v>
      </c>
      <c r="BB150" s="328">
        <v>-25305</v>
      </c>
      <c r="BC150" s="328">
        <v>-25147</v>
      </c>
      <c r="BD150" s="328">
        <v>-27762</v>
      </c>
      <c r="BE150" s="326">
        <f>BD150</f>
        <v>-27762</v>
      </c>
      <c r="BF150" s="328">
        <v>-28550</v>
      </c>
      <c r="BG150" s="328">
        <v>-28504</v>
      </c>
      <c r="BH150" s="328">
        <v>-30518</v>
      </c>
      <c r="BI150" s="328">
        <v>-31304</v>
      </c>
      <c r="BJ150" s="592">
        <f>BI150</f>
        <v>-31304</v>
      </c>
      <c r="BK150" s="591">
        <v>-32364</v>
      </c>
      <c r="BL150" s="591">
        <v>-33308</v>
      </c>
      <c r="BM150" s="591">
        <v>-34209</v>
      </c>
      <c r="BN150" s="591">
        <v>-35009</v>
      </c>
      <c r="BO150" s="592">
        <f>BN150</f>
        <v>-35009</v>
      </c>
      <c r="BP150" s="591">
        <v>-36282</v>
      </c>
      <c r="BQ150" s="591">
        <v>-37422</v>
      </c>
      <c r="BR150" s="620">
        <v>-38238</v>
      </c>
      <c r="BS150" s="620">
        <v>-39091</v>
      </c>
      <c r="BT150" s="617">
        <f>BS150</f>
        <v>-39091</v>
      </c>
      <c r="BU150" s="626">
        <v>-39781</v>
      </c>
      <c r="BV150" s="626">
        <v>-40572</v>
      </c>
      <c r="BW150" s="626">
        <v>-41361</v>
      </c>
      <c r="BX150" s="626">
        <v>-42225</v>
      </c>
      <c r="BY150" s="617">
        <f>BX150</f>
        <v>-42225</v>
      </c>
      <c r="BZ150" s="626">
        <v>-42739</v>
      </c>
      <c r="CA150" s="626">
        <v>-43288</v>
      </c>
      <c r="CB150" s="626">
        <v>-43822</v>
      </c>
      <c r="CC150" s="626">
        <v>-45066</v>
      </c>
      <c r="CD150" s="617">
        <f>CC150</f>
        <v>-45066</v>
      </c>
      <c r="CE150" s="626">
        <v>-45549</v>
      </c>
      <c r="CF150" s="715">
        <v>-46601</v>
      </c>
      <c r="CG150" s="807">
        <v>-46814</v>
      </c>
      <c r="CH150" s="626">
        <v>-47988</v>
      </c>
      <c r="CI150" s="705">
        <f>CH150</f>
        <v>-47988</v>
      </c>
      <c r="CJ150" s="626">
        <v>-48974</v>
      </c>
      <c r="CK150" s="626">
        <v>-49633</v>
      </c>
      <c r="CL150" s="626">
        <v>-50256</v>
      </c>
      <c r="CM150" s="626">
        <v>-50677</v>
      </c>
      <c r="CN150" s="705">
        <f>CM150</f>
        <v>-50677</v>
      </c>
      <c r="CO150" s="626">
        <v>-51268</v>
      </c>
      <c r="CP150" s="715">
        <f t="shared" ref="CP150:DB150" si="229">CO150-CP103+CP106</f>
        <v>-51531.859528301888</v>
      </c>
      <c r="CQ150" s="715">
        <f t="shared" si="229"/>
        <v>-51788.15154481132</v>
      </c>
      <c r="CR150" s="715">
        <f t="shared" si="229"/>
        <v>-51898.856861733489</v>
      </c>
      <c r="CS150" s="705">
        <f>CR150</f>
        <v>-51898.856861733489</v>
      </c>
      <c r="CT150" s="715">
        <f>CS150-CT103+CT106</f>
        <v>-52170.99156157871</v>
      </c>
      <c r="CU150" s="715">
        <f t="shared" si="229"/>
        <v>-52455.044316420062</v>
      </c>
      <c r="CV150" s="715">
        <f t="shared" si="229"/>
        <v>-52750.703702632447</v>
      </c>
      <c r="CW150" s="715">
        <f t="shared" si="229"/>
        <v>-53057.650511000145</v>
      </c>
      <c r="CX150" s="705">
        <f>CW150</f>
        <v>-53057.650511000145</v>
      </c>
      <c r="CY150" s="715">
        <f>CX150-CY103+CY106</f>
        <v>-53375.557552077036</v>
      </c>
      <c r="CZ150" s="715">
        <f t="shared" si="229"/>
        <v>-53704.089456680849</v>
      </c>
      <c r="DA150" s="715">
        <f t="shared" si="229"/>
        <v>-54042.902471399757</v>
      </c>
      <c r="DB150" s="715">
        <f t="shared" si="229"/>
        <v>-54391.644248986639</v>
      </c>
      <c r="DC150" s="705">
        <f>DB150</f>
        <v>-54391.644248986639</v>
      </c>
      <c r="DD150" s="715">
        <f>DC150-DD103+DD106</f>
        <v>-54720.248633513191</v>
      </c>
      <c r="DE150" s="715">
        <f>DD150-DE103+DE106</f>
        <v>-55057.300440152903</v>
      </c>
      <c r="DF150" s="715">
        <f>DE150-DF103+DF106</f>
        <v>-55402.420229458614</v>
      </c>
      <c r="DG150" s="715">
        <f>DF150-DG103+DG106</f>
        <v>-55755.219075996967</v>
      </c>
      <c r="DH150" s="705">
        <f>DG150</f>
        <v>-55755.219075996967</v>
      </c>
      <c r="DI150" s="715">
        <f>DH150-DI103+DI106</f>
        <v>-56082.593331198783</v>
      </c>
      <c r="DJ150" s="715">
        <f>DI150-DJ103+DJ106</f>
        <v>-56416.089380280646</v>
      </c>
      <c r="DK150" s="715">
        <f>DJ150-DK103+DK106</f>
        <v>-56755.288393089555</v>
      </c>
      <c r="DL150" s="715">
        <f>DK150-DL103+DL106</f>
        <v>-57099.761068718683</v>
      </c>
      <c r="DM150" s="705">
        <f>DL150</f>
        <v>-57099.761068718683</v>
      </c>
      <c r="DN150" s="208"/>
    </row>
    <row r="151" spans="1:118" ht="15" x14ac:dyDescent="0.2">
      <c r="A151" s="18" t="s">
        <v>329</v>
      </c>
      <c r="C151" s="330"/>
      <c r="D151" s="330"/>
      <c r="E151" s="330"/>
      <c r="F151" s="330"/>
      <c r="G151" s="331"/>
      <c r="H151" s="330">
        <v>0</v>
      </c>
      <c r="I151" s="330">
        <v>0</v>
      </c>
      <c r="J151" s="330">
        <v>0</v>
      </c>
      <c r="K151" s="330">
        <v>0</v>
      </c>
      <c r="L151" s="331">
        <f t="shared" si="216"/>
        <v>0</v>
      </c>
      <c r="M151" s="330">
        <v>0</v>
      </c>
      <c r="N151" s="330">
        <v>0</v>
      </c>
      <c r="O151" s="330">
        <v>0</v>
      </c>
      <c r="P151" s="330">
        <v>0</v>
      </c>
      <c r="Q151" s="331">
        <f t="shared" si="217"/>
        <v>0</v>
      </c>
      <c r="R151" s="330">
        <v>0</v>
      </c>
      <c r="S151" s="330">
        <v>0</v>
      </c>
      <c r="T151" s="330">
        <v>0</v>
      </c>
      <c r="U151" s="330">
        <v>0</v>
      </c>
      <c r="V151" s="331">
        <f t="shared" si="218"/>
        <v>0</v>
      </c>
      <c r="W151" s="330">
        <v>0</v>
      </c>
      <c r="X151" s="330">
        <v>0</v>
      </c>
      <c r="Y151" s="330">
        <v>0</v>
      </c>
      <c r="Z151" s="330">
        <v>0</v>
      </c>
      <c r="AA151" s="331">
        <f t="shared" si="219"/>
        <v>0</v>
      </c>
      <c r="AB151" s="330">
        <v>0</v>
      </c>
      <c r="AC151" s="330">
        <v>0</v>
      </c>
      <c r="AD151" s="330">
        <v>0</v>
      </c>
      <c r="AE151" s="330">
        <v>0</v>
      </c>
      <c r="AF151" s="331">
        <f t="shared" si="220"/>
        <v>0</v>
      </c>
      <c r="AG151" s="330">
        <v>0</v>
      </c>
      <c r="AH151" s="330">
        <v>0</v>
      </c>
      <c r="AI151" s="330">
        <v>0</v>
      </c>
      <c r="AJ151" s="330">
        <v>0</v>
      </c>
      <c r="AK151" s="331">
        <f t="shared" si="221"/>
        <v>0</v>
      </c>
      <c r="AL151" s="330">
        <v>0</v>
      </c>
      <c r="AM151" s="330">
        <v>0</v>
      </c>
      <c r="AN151" s="330">
        <v>0</v>
      </c>
      <c r="AO151" s="330">
        <v>0</v>
      </c>
      <c r="AP151" s="331">
        <f t="shared" si="222"/>
        <v>0</v>
      </c>
      <c r="AQ151" s="330">
        <v>0</v>
      </c>
      <c r="AR151" s="330">
        <v>0</v>
      </c>
      <c r="AS151" s="330">
        <v>0</v>
      </c>
      <c r="AT151" s="330">
        <v>390</v>
      </c>
      <c r="AU151" s="331">
        <f t="shared" si="223"/>
        <v>390</v>
      </c>
      <c r="AV151" s="330">
        <v>396</v>
      </c>
      <c r="AW151" s="330">
        <v>441</v>
      </c>
      <c r="AX151" s="330">
        <v>467</v>
      </c>
      <c r="AY151" s="330">
        <v>547</v>
      </c>
      <c r="AZ151" s="331">
        <f t="shared" si="224"/>
        <v>547</v>
      </c>
      <c r="BA151" s="330">
        <v>285</v>
      </c>
      <c r="BB151" s="330">
        <v>290</v>
      </c>
      <c r="BC151" s="330">
        <v>295</v>
      </c>
      <c r="BD151" s="330">
        <v>314</v>
      </c>
      <c r="BE151" s="331">
        <f>BD151</f>
        <v>314</v>
      </c>
      <c r="BF151" s="330">
        <v>317</v>
      </c>
      <c r="BG151" s="330">
        <v>282</v>
      </c>
      <c r="BH151" s="330">
        <v>290</v>
      </c>
      <c r="BI151" s="330">
        <v>286</v>
      </c>
      <c r="BJ151" s="595">
        <f>BI151</f>
        <v>286</v>
      </c>
      <c r="BK151" s="597">
        <v>400</v>
      </c>
      <c r="BL151" s="597">
        <v>360</v>
      </c>
      <c r="BM151" s="597">
        <v>380</v>
      </c>
      <c r="BN151" s="597">
        <v>378</v>
      </c>
      <c r="BO151" s="595">
        <f>BN151</f>
        <v>378</v>
      </c>
      <c r="BP151" s="597">
        <v>414</v>
      </c>
      <c r="BQ151" s="597">
        <v>408</v>
      </c>
      <c r="BR151" s="621">
        <v>333</v>
      </c>
      <c r="BS151" s="621">
        <v>267</v>
      </c>
      <c r="BT151" s="622">
        <f>BS151</f>
        <v>267</v>
      </c>
      <c r="BU151" s="630">
        <v>268</v>
      </c>
      <c r="BV151" s="630">
        <v>230</v>
      </c>
      <c r="BW151" s="630">
        <v>240</v>
      </c>
      <c r="BX151" s="630">
        <v>241</v>
      </c>
      <c r="BY151" s="622">
        <f>BX151</f>
        <v>241</v>
      </c>
      <c r="BZ151" s="630">
        <v>241</v>
      </c>
      <c r="CA151" s="630">
        <v>-223</v>
      </c>
      <c r="CB151" s="630">
        <v>218</v>
      </c>
      <c r="CC151" s="630">
        <v>210</v>
      </c>
      <c r="CD151" s="622">
        <f>CC151</f>
        <v>210</v>
      </c>
      <c r="CE151" s="630">
        <v>215</v>
      </c>
      <c r="CF151" s="716">
        <v>201</v>
      </c>
      <c r="CG151" s="808">
        <v>169</v>
      </c>
      <c r="CH151" s="630">
        <v>158</v>
      </c>
      <c r="CI151" s="709">
        <f>CH151</f>
        <v>158</v>
      </c>
      <c r="CJ151" s="630">
        <v>191</v>
      </c>
      <c r="CK151" s="630">
        <v>88</v>
      </c>
      <c r="CL151" s="630">
        <v>33</v>
      </c>
      <c r="CM151" s="630">
        <v>1905</v>
      </c>
      <c r="CN151" s="709">
        <f>CM151</f>
        <v>1905</v>
      </c>
      <c r="CO151" s="630">
        <v>2007</v>
      </c>
      <c r="CP151" s="720">
        <f>CO151*1.015</f>
        <v>2037.1049999999998</v>
      </c>
      <c r="CQ151" s="720">
        <f>CP151*1.015</f>
        <v>2067.6615749999996</v>
      </c>
      <c r="CR151" s="720">
        <f>CQ151*1.015</f>
        <v>2098.6764986249996</v>
      </c>
      <c r="CS151" s="709">
        <f>CR151</f>
        <v>2098.6764986249996</v>
      </c>
      <c r="CT151" s="720">
        <f>CR151*1.015</f>
        <v>2130.1566461043744</v>
      </c>
      <c r="CU151" s="720">
        <f>CT151*1.015</f>
        <v>2162.1089957959398</v>
      </c>
      <c r="CV151" s="720">
        <f>CU151*1.015</f>
        <v>2194.5406307328785</v>
      </c>
      <c r="CW151" s="720">
        <f>CV151*1.015</f>
        <v>2227.4587401938716</v>
      </c>
      <c r="CX151" s="709">
        <f>CW151</f>
        <v>2227.4587401938716</v>
      </c>
      <c r="CY151" s="720">
        <f>CW151*1.015</f>
        <v>2260.8706212967795</v>
      </c>
      <c r="CZ151" s="720">
        <f>CY151*1.015</f>
        <v>2294.7836806162309</v>
      </c>
      <c r="DA151" s="720">
        <f>CZ151*1.015</f>
        <v>2329.2054358254741</v>
      </c>
      <c r="DB151" s="720">
        <f>DA151*1.015</f>
        <v>2364.1435173628561</v>
      </c>
      <c r="DC151" s="709">
        <f>DB151</f>
        <v>2364.1435173628561</v>
      </c>
      <c r="DD151" s="720">
        <f>DB151*1.015</f>
        <v>2399.6056701232988</v>
      </c>
      <c r="DE151" s="720">
        <f>DD151*1.015</f>
        <v>2435.5997551751479</v>
      </c>
      <c r="DF151" s="720">
        <f>DE151*1.015</f>
        <v>2472.1337515027749</v>
      </c>
      <c r="DG151" s="720">
        <f>DF151*1.015</f>
        <v>2509.2157577753164</v>
      </c>
      <c r="DH151" s="709">
        <f>DG151</f>
        <v>2509.2157577753164</v>
      </c>
      <c r="DI151" s="720">
        <f>DG151*1.015</f>
        <v>2546.8539941419458</v>
      </c>
      <c r="DJ151" s="720">
        <f>DI151*1.015</f>
        <v>2585.0568040540747</v>
      </c>
      <c r="DK151" s="720">
        <f>DJ151*1.015</f>
        <v>2623.8326561148856</v>
      </c>
      <c r="DL151" s="720">
        <f>DK151*1.015</f>
        <v>2663.1901459566088</v>
      </c>
      <c r="DM151" s="709">
        <f>DL151</f>
        <v>2663.1901459566088</v>
      </c>
      <c r="DN151" s="208"/>
    </row>
    <row r="152" spans="1:118" ht="15.75" x14ac:dyDescent="0.25">
      <c r="B152" s="20" t="s">
        <v>76</v>
      </c>
      <c r="C152" s="339"/>
      <c r="D152" s="339"/>
      <c r="E152" s="339"/>
      <c r="F152" s="339"/>
      <c r="G152" s="340"/>
      <c r="H152" s="339">
        <f t="shared" ref="H152:AM152" si="230">SUM(H146:H151)</f>
        <v>10000</v>
      </c>
      <c r="I152" s="339">
        <f t="shared" si="230"/>
        <v>10407</v>
      </c>
      <c r="J152" s="339">
        <f t="shared" si="230"/>
        <v>11084</v>
      </c>
      <c r="K152" s="339">
        <f t="shared" si="230"/>
        <v>11366</v>
      </c>
      <c r="L152" s="340">
        <f t="shared" si="230"/>
        <v>11366</v>
      </c>
      <c r="M152" s="339">
        <f t="shared" si="230"/>
        <v>10528</v>
      </c>
      <c r="N152" s="339">
        <f t="shared" si="230"/>
        <v>11351</v>
      </c>
      <c r="O152" s="339">
        <f t="shared" si="230"/>
        <v>11612</v>
      </c>
      <c r="P152" s="339">
        <f t="shared" si="230"/>
        <v>11800</v>
      </c>
      <c r="Q152" s="340">
        <f t="shared" si="230"/>
        <v>11800</v>
      </c>
      <c r="R152" s="339">
        <f t="shared" si="230"/>
        <v>12135</v>
      </c>
      <c r="S152" s="339">
        <f t="shared" si="230"/>
        <v>13534</v>
      </c>
      <c r="T152" s="339">
        <f t="shared" si="230"/>
        <v>13525</v>
      </c>
      <c r="U152" s="339">
        <f t="shared" si="230"/>
        <v>14090</v>
      </c>
      <c r="V152" s="340">
        <f t="shared" si="230"/>
        <v>14090</v>
      </c>
      <c r="W152" s="339">
        <f t="shared" si="230"/>
        <v>14662</v>
      </c>
      <c r="X152" s="339">
        <f t="shared" si="230"/>
        <v>15003</v>
      </c>
      <c r="Y152" s="339">
        <f t="shared" si="230"/>
        <v>14954</v>
      </c>
      <c r="Z152" s="339">
        <f t="shared" si="230"/>
        <v>15935</v>
      </c>
      <c r="AA152" s="340">
        <f t="shared" si="230"/>
        <v>15935</v>
      </c>
      <c r="AB152" s="339">
        <f t="shared" si="230"/>
        <v>16511</v>
      </c>
      <c r="AC152" s="339">
        <f t="shared" si="230"/>
        <v>16343</v>
      </c>
      <c r="AD152" s="339">
        <f t="shared" si="230"/>
        <v>16526</v>
      </c>
      <c r="AE152" s="339">
        <f t="shared" si="230"/>
        <v>16355</v>
      </c>
      <c r="AF152" s="340">
        <f t="shared" si="230"/>
        <v>16355</v>
      </c>
      <c r="AG152" s="339">
        <f t="shared" si="230"/>
        <v>16406</v>
      </c>
      <c r="AH152" s="339">
        <f t="shared" si="230"/>
        <v>17122</v>
      </c>
      <c r="AI152" s="339">
        <f t="shared" si="230"/>
        <v>18000</v>
      </c>
      <c r="AJ152" s="339">
        <f t="shared" si="230"/>
        <v>16920</v>
      </c>
      <c r="AK152" s="340">
        <f t="shared" si="230"/>
        <v>16920</v>
      </c>
      <c r="AL152" s="339">
        <f t="shared" si="230"/>
        <v>17211</v>
      </c>
      <c r="AM152" s="339">
        <f t="shared" si="230"/>
        <v>18972</v>
      </c>
      <c r="AN152" s="339">
        <f t="shared" ref="AN152:BE152" si="231">SUM(AN146:AN151)</f>
        <v>19669</v>
      </c>
      <c r="AO152" s="339">
        <f t="shared" si="231"/>
        <v>21744</v>
      </c>
      <c r="AP152" s="340">
        <f t="shared" si="231"/>
        <v>21744</v>
      </c>
      <c r="AQ152" s="339">
        <f t="shared" si="231"/>
        <v>23032</v>
      </c>
      <c r="AR152" s="339">
        <f t="shared" si="231"/>
        <v>23182</v>
      </c>
      <c r="AS152" s="339">
        <f t="shared" si="231"/>
        <v>23745</v>
      </c>
      <c r="AT152" s="339">
        <f t="shared" si="231"/>
        <v>20862</v>
      </c>
      <c r="AU152" s="340">
        <f t="shared" si="231"/>
        <v>20862</v>
      </c>
      <c r="AV152" s="339">
        <f t="shared" si="231"/>
        <v>21108</v>
      </c>
      <c r="AW152" s="339">
        <f t="shared" si="231"/>
        <v>23517</v>
      </c>
      <c r="AX152" s="339">
        <f t="shared" si="231"/>
        <v>24422</v>
      </c>
      <c r="AY152" s="339">
        <f t="shared" si="231"/>
        <v>25346</v>
      </c>
      <c r="AZ152" s="340">
        <f t="shared" si="231"/>
        <v>25346</v>
      </c>
      <c r="BA152" s="339">
        <f t="shared" si="231"/>
        <v>25157</v>
      </c>
      <c r="BB152" s="339">
        <f t="shared" si="231"/>
        <v>25808</v>
      </c>
      <c r="BC152" s="339">
        <f t="shared" si="231"/>
        <v>28201</v>
      </c>
      <c r="BD152" s="339">
        <f t="shared" si="231"/>
        <v>31317</v>
      </c>
      <c r="BE152" s="340">
        <f t="shared" si="231"/>
        <v>31317</v>
      </c>
      <c r="BF152" s="339">
        <f t="shared" ref="BF152:CW152" si="232">SUM(BF146:BF151)</f>
        <v>32596</v>
      </c>
      <c r="BG152" s="339">
        <f t="shared" si="232"/>
        <v>35424</v>
      </c>
      <c r="BH152" s="339">
        <f t="shared" si="232"/>
        <v>33499</v>
      </c>
      <c r="BI152" s="339">
        <f t="shared" si="232"/>
        <v>31921</v>
      </c>
      <c r="BJ152" s="600">
        <f t="shared" si="232"/>
        <v>31921</v>
      </c>
      <c r="BK152" s="601">
        <f t="shared" si="232"/>
        <v>33218</v>
      </c>
      <c r="BL152" s="601">
        <f t="shared" si="232"/>
        <v>32629</v>
      </c>
      <c r="BM152" s="601">
        <f t="shared" si="232"/>
        <v>33590</v>
      </c>
      <c r="BN152" s="601">
        <f t="shared" si="232"/>
        <v>33168</v>
      </c>
      <c r="BO152" s="600">
        <f t="shared" si="232"/>
        <v>33168</v>
      </c>
      <c r="BP152" s="601">
        <f t="shared" si="232"/>
        <v>32894</v>
      </c>
      <c r="BQ152" s="601">
        <f t="shared" si="232"/>
        <v>32631</v>
      </c>
      <c r="BR152" s="627">
        <f t="shared" si="232"/>
        <v>32465</v>
      </c>
      <c r="BS152" s="627">
        <f t="shared" si="232"/>
        <v>33440</v>
      </c>
      <c r="BT152" s="628">
        <f t="shared" si="232"/>
        <v>33440</v>
      </c>
      <c r="BU152" s="635">
        <f t="shared" si="232"/>
        <v>32922</v>
      </c>
      <c r="BV152" s="635">
        <f t="shared" si="232"/>
        <v>34301</v>
      </c>
      <c r="BW152" s="635">
        <f t="shared" si="232"/>
        <v>33669</v>
      </c>
      <c r="BX152" s="635">
        <f t="shared" si="232"/>
        <v>30561</v>
      </c>
      <c r="BY152" s="628">
        <f t="shared" si="232"/>
        <v>30561</v>
      </c>
      <c r="BZ152" s="635">
        <f>SUM(BZ146:BZ151)</f>
        <v>29078</v>
      </c>
      <c r="CA152" s="635">
        <f t="shared" si="232"/>
        <v>28195</v>
      </c>
      <c r="CB152" s="635">
        <f t="shared" si="232"/>
        <v>26267</v>
      </c>
      <c r="CC152" s="635">
        <f t="shared" si="232"/>
        <v>25764</v>
      </c>
      <c r="CD152" s="628">
        <f t="shared" si="232"/>
        <v>25764</v>
      </c>
      <c r="CE152" s="635">
        <f t="shared" si="232"/>
        <v>25129</v>
      </c>
      <c r="CF152" s="721">
        <f t="shared" si="232"/>
        <v>26838</v>
      </c>
      <c r="CG152" s="809">
        <f>SUM(CG146:CG151)</f>
        <v>26245</v>
      </c>
      <c r="CH152" s="635">
        <f t="shared" si="232"/>
        <v>23220</v>
      </c>
      <c r="CI152" s="714">
        <f t="shared" si="232"/>
        <v>23220</v>
      </c>
      <c r="CJ152" s="635">
        <f t="shared" si="232"/>
        <v>23067</v>
      </c>
      <c r="CK152" s="635">
        <f t="shared" si="232"/>
        <v>22089</v>
      </c>
      <c r="CL152" s="635">
        <f t="shared" si="232"/>
        <v>22152</v>
      </c>
      <c r="CM152" s="635">
        <f t="shared" si="232"/>
        <v>18977</v>
      </c>
      <c r="CN152" s="714">
        <f t="shared" si="232"/>
        <v>18977</v>
      </c>
      <c r="CO152" s="635">
        <f t="shared" si="232"/>
        <v>21617</v>
      </c>
      <c r="CP152" s="721">
        <f t="shared" ca="1" si="232"/>
        <v>22396.051507640859</v>
      </c>
      <c r="CQ152" s="721">
        <f t="shared" ca="1" si="232"/>
        <v>22993.9360930451</v>
      </c>
      <c r="CR152" s="721">
        <f t="shared" ca="1" si="232"/>
        <v>23238.017164268997</v>
      </c>
      <c r="CS152" s="714">
        <f t="shared" ca="1" si="232"/>
        <v>23238.017164268997</v>
      </c>
      <c r="CT152" s="721">
        <f t="shared" ca="1" si="232"/>
        <v>23434.186078420822</v>
      </c>
      <c r="CU152" s="721">
        <f t="shared" ca="1" si="232"/>
        <v>24232.180921188468</v>
      </c>
      <c r="CV152" s="721">
        <f t="shared" ca="1" si="232"/>
        <v>24824.843072430365</v>
      </c>
      <c r="CW152" s="721">
        <f t="shared" ca="1" si="232"/>
        <v>24889.764650142861</v>
      </c>
      <c r="CX152" s="714">
        <f ca="1">SUM(CX146:CX151)</f>
        <v>24889.764650142861</v>
      </c>
      <c r="CY152" s="721">
        <f t="shared" ref="CY152:DH152" ca="1" si="233">SUM(CY146:CY151)</f>
        <v>25053.885007036457</v>
      </c>
      <c r="CZ152" s="721">
        <f t="shared" ca="1" si="233"/>
        <v>25855.293257038851</v>
      </c>
      <c r="DA152" s="721">
        <f t="shared" ca="1" si="233"/>
        <v>26444.139912398052</v>
      </c>
      <c r="DB152" s="721">
        <f t="shared" ca="1" si="233"/>
        <v>26479.214345580935</v>
      </c>
      <c r="DC152" s="714">
        <f ca="1">SUM(DC146:DC151)</f>
        <v>26479.214345580935</v>
      </c>
      <c r="DD152" s="721">
        <f t="shared" ca="1" si="233"/>
        <v>26647.287008800082</v>
      </c>
      <c r="DE152" s="721">
        <f t="shared" ca="1" si="233"/>
        <v>27487.637604601681</v>
      </c>
      <c r="DF152" s="721">
        <f t="shared" ca="1" si="233"/>
        <v>28109.103765786731</v>
      </c>
      <c r="DG152" s="721">
        <f t="shared" ca="1" si="233"/>
        <v>28152.102767979122</v>
      </c>
      <c r="DH152" s="714">
        <f t="shared" ca="1" si="233"/>
        <v>28152.102767979122</v>
      </c>
      <c r="DI152" s="721">
        <f ca="1">SUM(DI146:DI151)</f>
        <v>28333.120765818785</v>
      </c>
      <c r="DJ152" s="721">
        <f ca="1">SUM(DJ146:DJ151)</f>
        <v>29222.525071721262</v>
      </c>
      <c r="DK152" s="721">
        <f ca="1">SUM(DK146:DK151)</f>
        <v>29886.550859400835</v>
      </c>
      <c r="DL152" s="721">
        <f ca="1">SUM(DL146:DL151)</f>
        <v>29946.9031057951</v>
      </c>
      <c r="DM152" s="714">
        <f ca="1">SUM(DM146:DM151)</f>
        <v>29946.9031057951</v>
      </c>
      <c r="DN152" s="208"/>
    </row>
    <row r="153" spans="1:118" ht="15" x14ac:dyDescent="0.2">
      <c r="G153" s="219"/>
      <c r="L153" s="219"/>
      <c r="Q153" s="219"/>
      <c r="V153" s="219"/>
      <c r="AA153" s="219"/>
      <c r="AF153" s="219"/>
      <c r="AK153" s="219"/>
      <c r="AP153" s="219"/>
      <c r="AU153" s="219"/>
      <c r="AZ153" s="219"/>
      <c r="BA153" s="343"/>
      <c r="BB153" s="343"/>
      <c r="BC153" s="343"/>
      <c r="BD153" s="343"/>
      <c r="BE153" s="219"/>
      <c r="BF153" s="343"/>
      <c r="BG153" s="343"/>
      <c r="BH153" s="343"/>
      <c r="BI153" s="343"/>
      <c r="BJ153" s="443"/>
      <c r="BK153" s="603"/>
      <c r="BL153" s="603"/>
      <c r="BM153" s="603"/>
      <c r="BN153" s="603"/>
      <c r="BO153" s="443"/>
      <c r="BP153" s="603"/>
      <c r="BQ153" s="593"/>
      <c r="BR153" s="626"/>
      <c r="BS153" s="626"/>
      <c r="BT153" s="617"/>
      <c r="BU153" s="626"/>
      <c r="BV153" s="626"/>
      <c r="BW153" s="626"/>
      <c r="BX153" s="620"/>
      <c r="BY153" s="617"/>
      <c r="BZ153" s="626"/>
      <c r="CA153" s="626"/>
      <c r="CB153" s="626"/>
      <c r="CC153" s="620"/>
      <c r="CD153" s="617"/>
      <c r="CE153" s="593"/>
      <c r="CF153" s="715"/>
      <c r="CG153" s="807"/>
      <c r="CH153" s="453"/>
      <c r="CI153" s="705"/>
      <c r="CJ153" s="715"/>
      <c r="CK153" s="715"/>
      <c r="CL153" s="715"/>
      <c r="CM153" s="453"/>
      <c r="CN153" s="705"/>
      <c r="CO153" s="715"/>
      <c r="CP153" s="715"/>
      <c r="CQ153" s="715"/>
      <c r="CR153" s="453"/>
      <c r="CS153" s="705"/>
      <c r="CT153" s="715"/>
      <c r="CU153" s="715"/>
      <c r="CV153" s="715"/>
      <c r="CW153" s="453"/>
      <c r="CX153" s="705"/>
      <c r="CY153" s="715"/>
      <c r="CZ153" s="715"/>
      <c r="DA153" s="715"/>
      <c r="DB153" s="453"/>
      <c r="DC153" s="705"/>
      <c r="DD153" s="715"/>
      <c r="DE153" s="715"/>
      <c r="DF153" s="715"/>
      <c r="DG153" s="453"/>
      <c r="DH153" s="705"/>
      <c r="DI153" s="715"/>
      <c r="DJ153" s="715"/>
      <c r="DK153" s="715"/>
      <c r="DL153" s="453"/>
      <c r="DM153" s="705"/>
      <c r="DN153" s="208"/>
    </row>
    <row r="154" spans="1:118" ht="15.75" x14ac:dyDescent="0.25">
      <c r="B154" s="20" t="s">
        <v>338</v>
      </c>
      <c r="C154" s="339"/>
      <c r="D154" s="339"/>
      <c r="E154" s="339"/>
      <c r="F154" s="339"/>
      <c r="G154" s="344"/>
      <c r="H154" s="339">
        <f t="shared" ref="H154:AM154" si="234">H143+H152</f>
        <v>22248</v>
      </c>
      <c r="I154" s="339">
        <f t="shared" si="234"/>
        <v>22387</v>
      </c>
      <c r="J154" s="339">
        <f t="shared" si="234"/>
        <v>22665</v>
      </c>
      <c r="K154" s="339">
        <f t="shared" si="234"/>
        <v>22417</v>
      </c>
      <c r="L154" s="344">
        <f t="shared" si="234"/>
        <v>22417</v>
      </c>
      <c r="M154" s="339">
        <f t="shared" si="234"/>
        <v>23689</v>
      </c>
      <c r="N154" s="339">
        <f t="shared" si="234"/>
        <v>25287</v>
      </c>
      <c r="O154" s="339">
        <f t="shared" si="234"/>
        <v>25300</v>
      </c>
      <c r="P154" s="339">
        <f t="shared" si="234"/>
        <v>24406</v>
      </c>
      <c r="Q154" s="344">
        <f t="shared" si="234"/>
        <v>24406</v>
      </c>
      <c r="R154" s="339">
        <f t="shared" si="234"/>
        <v>26322</v>
      </c>
      <c r="S154" s="339">
        <f t="shared" si="234"/>
        <v>27949</v>
      </c>
      <c r="T154" s="339">
        <f t="shared" si="234"/>
        <v>27407</v>
      </c>
      <c r="U154" s="339">
        <f t="shared" si="234"/>
        <v>27342</v>
      </c>
      <c r="V154" s="344">
        <f t="shared" si="234"/>
        <v>27342</v>
      </c>
      <c r="W154" s="339">
        <f t="shared" si="234"/>
        <v>29167</v>
      </c>
      <c r="X154" s="339">
        <f t="shared" si="234"/>
        <v>29845</v>
      </c>
      <c r="Y154" s="339">
        <f t="shared" si="234"/>
        <v>29300</v>
      </c>
      <c r="Z154" s="339">
        <f t="shared" si="234"/>
        <v>31327</v>
      </c>
      <c r="AA154" s="344">
        <f t="shared" si="234"/>
        <v>31327</v>
      </c>
      <c r="AB154" s="339">
        <f t="shared" si="234"/>
        <v>31614</v>
      </c>
      <c r="AC154" s="339">
        <f t="shared" si="234"/>
        <v>29678</v>
      </c>
      <c r="AD154" s="339">
        <f t="shared" si="234"/>
        <v>29883</v>
      </c>
      <c r="AE154" s="339">
        <f t="shared" si="234"/>
        <v>29427</v>
      </c>
      <c r="AF154" s="344">
        <f t="shared" si="234"/>
        <v>29427</v>
      </c>
      <c r="AG154" s="339">
        <f t="shared" si="234"/>
        <v>29811</v>
      </c>
      <c r="AH154" s="339">
        <f t="shared" si="234"/>
        <v>30350</v>
      </c>
      <c r="AI154" s="339">
        <f t="shared" si="234"/>
        <v>31303</v>
      </c>
      <c r="AJ154" s="339">
        <f t="shared" si="234"/>
        <v>29963</v>
      </c>
      <c r="AK154" s="344">
        <f t="shared" si="234"/>
        <v>29963</v>
      </c>
      <c r="AL154" s="339">
        <f t="shared" si="234"/>
        <v>33120</v>
      </c>
      <c r="AM154" s="339">
        <f t="shared" si="234"/>
        <v>39989</v>
      </c>
      <c r="AN154" s="339">
        <f t="shared" ref="AN154:BE154" si="235">AN143+AN152</f>
        <v>41670</v>
      </c>
      <c r="AO154" s="339">
        <f t="shared" si="235"/>
        <v>43269</v>
      </c>
      <c r="AP154" s="344">
        <f t="shared" si="235"/>
        <v>43269</v>
      </c>
      <c r="AQ154" s="339">
        <f t="shared" si="235"/>
        <v>47004</v>
      </c>
      <c r="AR154" s="339">
        <f t="shared" si="235"/>
        <v>47731</v>
      </c>
      <c r="AS154" s="339">
        <f t="shared" si="235"/>
        <v>48180</v>
      </c>
      <c r="AT154" s="339">
        <f t="shared" si="235"/>
        <v>40519</v>
      </c>
      <c r="AU154" s="344">
        <f t="shared" si="235"/>
        <v>40519</v>
      </c>
      <c r="AV154" s="339">
        <f t="shared" si="235"/>
        <v>43103</v>
      </c>
      <c r="AW154" s="339">
        <f t="shared" si="235"/>
        <v>46054</v>
      </c>
      <c r="AX154" s="339">
        <f t="shared" si="235"/>
        <v>47107</v>
      </c>
      <c r="AY154" s="339">
        <f t="shared" si="235"/>
        <v>48671</v>
      </c>
      <c r="AZ154" s="344">
        <f t="shared" si="235"/>
        <v>48671</v>
      </c>
      <c r="BA154" s="339">
        <f t="shared" si="235"/>
        <v>47403</v>
      </c>
      <c r="BB154" s="339">
        <f t="shared" si="235"/>
        <v>48444</v>
      </c>
      <c r="BC154" s="339">
        <f t="shared" si="235"/>
        <v>54089</v>
      </c>
      <c r="BD154" s="339">
        <f t="shared" si="235"/>
        <v>72921</v>
      </c>
      <c r="BE154" s="344">
        <f t="shared" si="235"/>
        <v>72921</v>
      </c>
      <c r="BF154" s="339">
        <f>BF143+BF152</f>
        <v>76058</v>
      </c>
      <c r="BG154" s="339">
        <f>BG143+BG152</f>
        <v>80090</v>
      </c>
      <c r="BH154" s="339">
        <f>BH143+BH152</f>
        <v>81753</v>
      </c>
      <c r="BI154" s="339">
        <f>BI143+BI152</f>
        <v>79974</v>
      </c>
      <c r="BJ154" s="605">
        <f>BJ143+BJ152</f>
        <v>79974</v>
      </c>
      <c r="BK154" s="601">
        <f t="shared" ref="BK154:CX154" si="236">BK143+BK152</f>
        <v>83897</v>
      </c>
      <c r="BL154" s="601">
        <f t="shared" si="236"/>
        <v>85149</v>
      </c>
      <c r="BM154" s="601">
        <f t="shared" si="236"/>
        <v>86654</v>
      </c>
      <c r="BN154" s="601">
        <f t="shared" si="236"/>
        <v>86174</v>
      </c>
      <c r="BO154" s="605">
        <f t="shared" si="236"/>
        <v>86174</v>
      </c>
      <c r="BP154" s="601">
        <f t="shared" si="236"/>
        <v>88450</v>
      </c>
      <c r="BQ154" s="602">
        <f t="shared" si="236"/>
        <v>89511</v>
      </c>
      <c r="BR154" s="635">
        <f t="shared" si="236"/>
        <v>89432</v>
      </c>
      <c r="BS154" s="635">
        <f t="shared" si="236"/>
        <v>90055</v>
      </c>
      <c r="BT154" s="636">
        <f t="shared" si="236"/>
        <v>90055</v>
      </c>
      <c r="BU154" s="635">
        <f>BU143+BU152</f>
        <v>91289</v>
      </c>
      <c r="BV154" s="635">
        <f t="shared" si="236"/>
        <v>95489</v>
      </c>
      <c r="BW154" s="635">
        <f t="shared" si="236"/>
        <v>96314</v>
      </c>
      <c r="BX154" s="627">
        <f t="shared" si="236"/>
        <v>92023</v>
      </c>
      <c r="BY154" s="636">
        <f t="shared" si="236"/>
        <v>92023</v>
      </c>
      <c r="BZ154" s="635">
        <f t="shared" si="236"/>
        <v>91016</v>
      </c>
      <c r="CA154" s="635">
        <f t="shared" si="236"/>
        <v>93189</v>
      </c>
      <c r="CB154" s="635">
        <f t="shared" si="236"/>
        <v>93008</v>
      </c>
      <c r="CC154" s="627">
        <f t="shared" si="236"/>
        <v>90093</v>
      </c>
      <c r="CD154" s="636">
        <f t="shared" si="236"/>
        <v>90093</v>
      </c>
      <c r="CE154" s="602">
        <f t="shared" si="236"/>
        <v>91263</v>
      </c>
      <c r="CF154" s="721">
        <f t="shared" si="236"/>
        <v>94094</v>
      </c>
      <c r="CG154" s="809">
        <f>CG143+CG152</f>
        <v>93927</v>
      </c>
      <c r="CH154" s="722">
        <f t="shared" si="236"/>
        <v>87270</v>
      </c>
      <c r="CI154" s="723">
        <f t="shared" si="236"/>
        <v>87270</v>
      </c>
      <c r="CJ154" s="721">
        <f t="shared" si="236"/>
        <v>91201</v>
      </c>
      <c r="CK154" s="721">
        <f t="shared" si="236"/>
        <v>91146</v>
      </c>
      <c r="CL154" s="721">
        <f t="shared" si="236"/>
        <v>90515</v>
      </c>
      <c r="CM154" s="722">
        <f t="shared" si="236"/>
        <v>87896</v>
      </c>
      <c r="CN154" s="723">
        <f t="shared" si="236"/>
        <v>87896</v>
      </c>
      <c r="CO154" s="721">
        <f t="shared" si="236"/>
        <v>93282</v>
      </c>
      <c r="CP154" s="721">
        <f t="shared" ca="1" si="236"/>
        <v>86945.760781071949</v>
      </c>
      <c r="CQ154" s="721">
        <f t="shared" ca="1" si="236"/>
        <v>83894.140890820941</v>
      </c>
      <c r="CR154" s="722">
        <f t="shared" ca="1" si="236"/>
        <v>85507.036885263544</v>
      </c>
      <c r="CS154" s="723">
        <f t="shared" ca="1" si="236"/>
        <v>85507.036885263544</v>
      </c>
      <c r="CT154" s="721">
        <f t="shared" ca="1" si="236"/>
        <v>88967.159311783311</v>
      </c>
      <c r="CU154" s="721">
        <f t="shared" ca="1" si="236"/>
        <v>80939.85531654174</v>
      </c>
      <c r="CV154" s="721">
        <f t="shared" ca="1" si="236"/>
        <v>81391.879245131393</v>
      </c>
      <c r="CW154" s="722">
        <f t="shared" ca="1" si="236"/>
        <v>86581.014770285285</v>
      </c>
      <c r="CX154" s="723">
        <f t="shared" ca="1" si="236"/>
        <v>86581.014770285285</v>
      </c>
      <c r="CY154" s="721">
        <f t="shared" ref="CY154:DH154" ca="1" si="237">CY143+CY152</f>
        <v>91361.531915408341</v>
      </c>
      <c r="CZ154" s="721">
        <f t="shared" ca="1" si="237"/>
        <v>83112.812790592332</v>
      </c>
      <c r="DA154" s="721">
        <f t="shared" ca="1" si="237"/>
        <v>83570.348335532079</v>
      </c>
      <c r="DB154" s="722">
        <f t="shared" ca="1" si="237"/>
        <v>88990.071144128131</v>
      </c>
      <c r="DC154" s="723">
        <f t="shared" ca="1" si="237"/>
        <v>88990.071144128131</v>
      </c>
      <c r="DD154" s="721">
        <f t="shared" ca="1" si="237"/>
        <v>93758.308345089376</v>
      </c>
      <c r="DE154" s="721">
        <f t="shared" ca="1" si="237"/>
        <v>85268.295958421731</v>
      </c>
      <c r="DF154" s="721">
        <f t="shared" ca="1" si="237"/>
        <v>85771.057388373374</v>
      </c>
      <c r="DG154" s="722">
        <f t="shared" ca="1" si="237"/>
        <v>91450.089611724339</v>
      </c>
      <c r="DH154" s="723">
        <f t="shared" ca="1" si="237"/>
        <v>91450.089611724339</v>
      </c>
      <c r="DI154" s="721">
        <f ca="1">DI143+DI152</f>
        <v>96217.79287844777</v>
      </c>
      <c r="DJ154" s="721">
        <f ca="1">DJ143+DJ152</f>
        <v>87528.853913175713</v>
      </c>
      <c r="DK154" s="721">
        <f ca="1">DK143+DK152</f>
        <v>88084.451712148846</v>
      </c>
      <c r="DL154" s="722">
        <f ca="1">DL143+DL152</f>
        <v>94020.559212139226</v>
      </c>
      <c r="DM154" s="723">
        <f ca="1">DM143+DM152</f>
        <v>94020.559212139226</v>
      </c>
      <c r="DN154" s="208"/>
    </row>
    <row r="155" spans="1:118" x14ac:dyDescent="0.2">
      <c r="A155" s="207"/>
      <c r="B155" s="207"/>
      <c r="C155" s="207"/>
      <c r="D155" s="207"/>
      <c r="E155" s="207"/>
      <c r="F155" s="207"/>
      <c r="G155" s="207"/>
      <c r="H155" s="207"/>
      <c r="I155" s="207"/>
      <c r="J155" s="207"/>
      <c r="K155" s="207"/>
      <c r="L155" s="207"/>
      <c r="M155" s="207"/>
      <c r="N155" s="207"/>
      <c r="O155" s="207"/>
      <c r="P155" s="207"/>
      <c r="Q155" s="207"/>
      <c r="R155" s="207"/>
      <c r="S155" s="207"/>
      <c r="T155" s="207"/>
      <c r="U155" s="207"/>
      <c r="V155" s="207"/>
      <c r="W155" s="207"/>
      <c r="X155" s="207"/>
      <c r="Y155" s="207"/>
      <c r="Z155" s="207"/>
      <c r="AA155" s="207"/>
      <c r="AB155" s="207"/>
      <c r="AC155" s="207"/>
      <c r="AD155" s="207"/>
      <c r="AE155" s="207"/>
      <c r="AF155" s="207"/>
      <c r="AG155" s="207"/>
      <c r="AH155" s="207"/>
      <c r="AI155" s="207"/>
      <c r="AJ155" s="207"/>
      <c r="AK155" s="207"/>
      <c r="AL155" s="207"/>
      <c r="AM155" s="207"/>
      <c r="AN155" s="207"/>
      <c r="AO155" s="207"/>
      <c r="AP155" s="207"/>
      <c r="AQ155" s="207"/>
      <c r="AR155" s="207"/>
      <c r="AS155" s="207"/>
      <c r="AT155" s="207"/>
      <c r="AU155" s="207"/>
      <c r="AV155" s="207"/>
      <c r="AW155" s="207"/>
      <c r="AX155" s="207"/>
      <c r="AY155" s="207"/>
      <c r="AZ155" s="207"/>
      <c r="BA155" s="207"/>
      <c r="BB155" s="336"/>
      <c r="BC155" s="207"/>
      <c r="BD155" s="207"/>
      <c r="BE155" s="207"/>
      <c r="BF155" s="207"/>
      <c r="BG155" s="207"/>
      <c r="BH155" s="207"/>
      <c r="BI155" s="207"/>
      <c r="BJ155" s="207"/>
      <c r="BK155" s="207"/>
      <c r="BL155" s="207"/>
      <c r="BM155" s="207"/>
      <c r="BN155" s="207"/>
      <c r="BO155" s="207"/>
      <c r="BP155" s="207"/>
      <c r="BQ155" s="207"/>
      <c r="BR155" s="207"/>
      <c r="BS155" s="207"/>
      <c r="BT155" s="207"/>
      <c r="BU155" s="207"/>
      <c r="BV155" s="207"/>
      <c r="BW155" s="207"/>
      <c r="BX155" s="207"/>
      <c r="BY155" s="207"/>
      <c r="BZ155" s="207"/>
      <c r="CA155" s="207"/>
      <c r="CB155" s="207"/>
      <c r="CC155" s="207"/>
      <c r="CD155" s="207"/>
      <c r="CE155" s="207"/>
      <c r="CF155" s="207"/>
      <c r="CG155" s="810"/>
      <c r="CH155" s="207"/>
      <c r="CI155" s="207"/>
      <c r="CJ155" s="207"/>
      <c r="CK155" s="207"/>
      <c r="CL155" s="207"/>
      <c r="CM155" s="207"/>
      <c r="CN155" s="207"/>
      <c r="CO155" s="207"/>
      <c r="CP155" s="207"/>
      <c r="CQ155" s="207"/>
      <c r="CR155" s="207"/>
      <c r="CS155" s="207"/>
      <c r="CT155" s="207"/>
      <c r="CU155" s="207"/>
      <c r="CV155" s="207"/>
      <c r="CW155" s="207"/>
      <c r="CX155" s="207"/>
      <c r="CY155" s="207"/>
      <c r="CZ155" s="207"/>
      <c r="DA155" s="207"/>
      <c r="DB155" s="207"/>
      <c r="DC155" s="207"/>
      <c r="DD155" s="207"/>
      <c r="DE155" s="207"/>
      <c r="DF155" s="207"/>
      <c r="DG155" s="207"/>
      <c r="DH155" s="207"/>
      <c r="DI155" s="207"/>
      <c r="DJ155" s="207"/>
      <c r="DK155" s="207"/>
      <c r="DL155" s="207"/>
      <c r="DM155" s="207"/>
      <c r="DN155" s="207"/>
    </row>
    <row r="156" spans="1:118" x14ac:dyDescent="0.2">
      <c r="A156" s="283" t="s">
        <v>77</v>
      </c>
      <c r="B156" s="207"/>
      <c r="C156" s="345"/>
      <c r="D156" s="345"/>
      <c r="E156" s="345"/>
      <c r="F156" s="345"/>
      <c r="G156" s="345"/>
      <c r="H156" s="345">
        <f t="shared" ref="H156:AM156" si="238">H130-H154</f>
        <v>0</v>
      </c>
      <c r="I156" s="345">
        <f t="shared" si="238"/>
        <v>0</v>
      </c>
      <c r="J156" s="345">
        <f t="shared" si="238"/>
        <v>0</v>
      </c>
      <c r="K156" s="345">
        <f t="shared" si="238"/>
        <v>0</v>
      </c>
      <c r="L156" s="345">
        <f t="shared" si="238"/>
        <v>0</v>
      </c>
      <c r="M156" s="345">
        <f t="shared" si="238"/>
        <v>0</v>
      </c>
      <c r="N156" s="345">
        <f t="shared" si="238"/>
        <v>0</v>
      </c>
      <c r="O156" s="345">
        <f t="shared" si="238"/>
        <v>0</v>
      </c>
      <c r="P156" s="345">
        <f t="shared" si="238"/>
        <v>0</v>
      </c>
      <c r="Q156" s="345">
        <f t="shared" si="238"/>
        <v>0</v>
      </c>
      <c r="R156" s="345">
        <f t="shared" si="238"/>
        <v>0</v>
      </c>
      <c r="S156" s="345">
        <f t="shared" si="238"/>
        <v>0</v>
      </c>
      <c r="T156" s="345">
        <f t="shared" si="238"/>
        <v>0</v>
      </c>
      <c r="U156" s="345">
        <f t="shared" si="238"/>
        <v>0</v>
      </c>
      <c r="V156" s="345">
        <f t="shared" si="238"/>
        <v>0</v>
      </c>
      <c r="W156" s="345">
        <f t="shared" si="238"/>
        <v>0</v>
      </c>
      <c r="X156" s="345">
        <f t="shared" si="238"/>
        <v>0</v>
      </c>
      <c r="Y156" s="345">
        <f t="shared" si="238"/>
        <v>0</v>
      </c>
      <c r="Z156" s="345">
        <f t="shared" si="238"/>
        <v>0</v>
      </c>
      <c r="AA156" s="345">
        <f t="shared" si="238"/>
        <v>0</v>
      </c>
      <c r="AB156" s="345">
        <f t="shared" si="238"/>
        <v>0</v>
      </c>
      <c r="AC156" s="345">
        <f t="shared" si="238"/>
        <v>0</v>
      </c>
      <c r="AD156" s="345">
        <f t="shared" si="238"/>
        <v>0</v>
      </c>
      <c r="AE156" s="345">
        <f t="shared" si="238"/>
        <v>0</v>
      </c>
      <c r="AF156" s="345">
        <f t="shared" si="238"/>
        <v>0</v>
      </c>
      <c r="AG156" s="345">
        <f t="shared" si="238"/>
        <v>0</v>
      </c>
      <c r="AH156" s="345">
        <f t="shared" si="238"/>
        <v>0</v>
      </c>
      <c r="AI156" s="345">
        <f t="shared" si="238"/>
        <v>0</v>
      </c>
      <c r="AJ156" s="345">
        <f t="shared" si="238"/>
        <v>0</v>
      </c>
      <c r="AK156" s="345">
        <f t="shared" si="238"/>
        <v>0</v>
      </c>
      <c r="AL156" s="345">
        <f t="shared" si="238"/>
        <v>0</v>
      </c>
      <c r="AM156" s="345">
        <f t="shared" si="238"/>
        <v>0</v>
      </c>
      <c r="AN156" s="345">
        <f t="shared" ref="AN156:BJ156" si="239">AN130-AN154</f>
        <v>0</v>
      </c>
      <c r="AO156" s="345">
        <f t="shared" si="239"/>
        <v>0</v>
      </c>
      <c r="AP156" s="345">
        <f t="shared" si="239"/>
        <v>0</v>
      </c>
      <c r="AQ156" s="345">
        <f t="shared" si="239"/>
        <v>0</v>
      </c>
      <c r="AR156" s="345">
        <f t="shared" si="239"/>
        <v>0</v>
      </c>
      <c r="AS156" s="345">
        <f t="shared" si="239"/>
        <v>0</v>
      </c>
      <c r="AT156" s="345">
        <f t="shared" si="239"/>
        <v>0</v>
      </c>
      <c r="AU156" s="345">
        <f t="shared" si="239"/>
        <v>0</v>
      </c>
      <c r="AV156" s="345">
        <f t="shared" si="239"/>
        <v>0</v>
      </c>
      <c r="AW156" s="345">
        <f t="shared" si="239"/>
        <v>0</v>
      </c>
      <c r="AX156" s="345">
        <f t="shared" si="239"/>
        <v>0</v>
      </c>
      <c r="AY156" s="345">
        <f t="shared" si="239"/>
        <v>0</v>
      </c>
      <c r="AZ156" s="345">
        <f t="shared" si="239"/>
        <v>0</v>
      </c>
      <c r="BA156" s="345">
        <f t="shared" si="239"/>
        <v>0</v>
      </c>
      <c r="BB156" s="345">
        <f t="shared" si="239"/>
        <v>0</v>
      </c>
      <c r="BC156" s="345">
        <f t="shared" si="239"/>
        <v>0</v>
      </c>
      <c r="BD156" s="345">
        <f t="shared" si="239"/>
        <v>0</v>
      </c>
      <c r="BE156" s="345">
        <f t="shared" si="239"/>
        <v>0</v>
      </c>
      <c r="BF156" s="345">
        <f t="shared" si="239"/>
        <v>0</v>
      </c>
      <c r="BG156" s="345">
        <f t="shared" si="239"/>
        <v>0</v>
      </c>
      <c r="BH156" s="345">
        <f t="shared" si="239"/>
        <v>0</v>
      </c>
      <c r="BI156" s="345">
        <f t="shared" si="239"/>
        <v>0</v>
      </c>
      <c r="BJ156" s="345">
        <f t="shared" si="239"/>
        <v>0</v>
      </c>
      <c r="BK156" s="345">
        <f t="shared" ref="BK156:CX156" si="240">BK130-BK154</f>
        <v>0</v>
      </c>
      <c r="BL156" s="345">
        <f t="shared" si="240"/>
        <v>0</v>
      </c>
      <c r="BM156" s="345">
        <f t="shared" si="240"/>
        <v>0</v>
      </c>
      <c r="BN156" s="345">
        <f t="shared" si="240"/>
        <v>0</v>
      </c>
      <c r="BO156" s="345">
        <f t="shared" si="240"/>
        <v>0</v>
      </c>
      <c r="BP156" s="345">
        <f t="shared" si="240"/>
        <v>0</v>
      </c>
      <c r="BQ156" s="345">
        <f t="shared" si="240"/>
        <v>0</v>
      </c>
      <c r="BR156" s="345">
        <f t="shared" si="240"/>
        <v>0</v>
      </c>
      <c r="BS156" s="345">
        <f t="shared" si="240"/>
        <v>0</v>
      </c>
      <c r="BT156" s="345">
        <f t="shared" si="240"/>
        <v>0</v>
      </c>
      <c r="BU156" s="345">
        <f>BU130-BU154</f>
        <v>0</v>
      </c>
      <c r="BV156" s="345">
        <f t="shared" si="240"/>
        <v>0</v>
      </c>
      <c r="BW156" s="345">
        <f t="shared" si="240"/>
        <v>0</v>
      </c>
      <c r="BX156" s="345">
        <f t="shared" si="240"/>
        <v>0</v>
      </c>
      <c r="BY156" s="345">
        <f t="shared" si="240"/>
        <v>0</v>
      </c>
      <c r="BZ156" s="345">
        <f t="shared" si="240"/>
        <v>0</v>
      </c>
      <c r="CA156" s="345">
        <f t="shared" si="240"/>
        <v>0</v>
      </c>
      <c r="CB156" s="345">
        <f t="shared" si="240"/>
        <v>0</v>
      </c>
      <c r="CC156" s="345">
        <f t="shared" si="240"/>
        <v>0</v>
      </c>
      <c r="CD156" s="345">
        <f t="shared" si="240"/>
        <v>0</v>
      </c>
      <c r="CE156" s="345">
        <f t="shared" si="240"/>
        <v>0</v>
      </c>
      <c r="CF156" s="345">
        <f t="shared" si="240"/>
        <v>0</v>
      </c>
      <c r="CG156" s="811">
        <f>CG130-CG154</f>
        <v>0</v>
      </c>
      <c r="CH156" s="345">
        <f t="shared" si="240"/>
        <v>0</v>
      </c>
      <c r="CI156" s="345">
        <f t="shared" si="240"/>
        <v>0</v>
      </c>
      <c r="CJ156" s="345">
        <f t="shared" si="240"/>
        <v>0</v>
      </c>
      <c r="CK156" s="345">
        <f t="shared" si="240"/>
        <v>0</v>
      </c>
      <c r="CL156" s="345">
        <f t="shared" si="240"/>
        <v>0</v>
      </c>
      <c r="CM156" s="345">
        <f t="shared" si="240"/>
        <v>0</v>
      </c>
      <c r="CN156" s="345">
        <f t="shared" si="240"/>
        <v>0</v>
      </c>
      <c r="CO156" s="345">
        <f t="shared" si="240"/>
        <v>0</v>
      </c>
      <c r="CP156" s="345">
        <f t="shared" ca="1" si="240"/>
        <v>0</v>
      </c>
      <c r="CQ156" s="345">
        <f t="shared" ca="1" si="240"/>
        <v>0</v>
      </c>
      <c r="CR156" s="345">
        <f t="shared" ca="1" si="240"/>
        <v>0</v>
      </c>
      <c r="CS156" s="345">
        <f t="shared" ca="1" si="240"/>
        <v>0</v>
      </c>
      <c r="CT156" s="345">
        <f t="shared" ca="1" si="240"/>
        <v>0</v>
      </c>
      <c r="CU156" s="345">
        <f t="shared" ca="1" si="240"/>
        <v>0</v>
      </c>
      <c r="CV156" s="345">
        <f t="shared" ca="1" si="240"/>
        <v>0</v>
      </c>
      <c r="CW156" s="345">
        <f t="shared" ca="1" si="240"/>
        <v>0</v>
      </c>
      <c r="CX156" s="345">
        <f t="shared" ca="1" si="240"/>
        <v>0</v>
      </c>
      <c r="CY156" s="345">
        <f t="shared" ref="CY156:DH156" ca="1" si="241">CY130-CY154</f>
        <v>0</v>
      </c>
      <c r="CZ156" s="345">
        <f t="shared" ca="1" si="241"/>
        <v>0</v>
      </c>
      <c r="DA156" s="345">
        <f t="shared" ca="1" si="241"/>
        <v>0</v>
      </c>
      <c r="DB156" s="345">
        <f t="shared" ca="1" si="241"/>
        <v>0</v>
      </c>
      <c r="DC156" s="345">
        <f t="shared" ca="1" si="241"/>
        <v>0</v>
      </c>
      <c r="DD156" s="345">
        <f t="shared" ca="1" si="241"/>
        <v>0</v>
      </c>
      <c r="DE156" s="345">
        <f t="shared" ca="1" si="241"/>
        <v>0</v>
      </c>
      <c r="DF156" s="345">
        <f t="shared" ca="1" si="241"/>
        <v>0</v>
      </c>
      <c r="DG156" s="345">
        <f t="shared" ca="1" si="241"/>
        <v>0</v>
      </c>
      <c r="DH156" s="345">
        <f t="shared" ca="1" si="241"/>
        <v>0</v>
      </c>
      <c r="DI156" s="345">
        <f ca="1">DI130-DI154</f>
        <v>0</v>
      </c>
      <c r="DJ156" s="345">
        <f ca="1">DJ130-DJ154</f>
        <v>0</v>
      </c>
      <c r="DK156" s="345">
        <f ca="1">DK130-DK154</f>
        <v>0</v>
      </c>
      <c r="DL156" s="345">
        <f ca="1">DL130-DL154</f>
        <v>0</v>
      </c>
      <c r="DM156" s="345">
        <f ca="1">DM130-DM154</f>
        <v>0</v>
      </c>
      <c r="DN156" s="207"/>
    </row>
    <row r="157" spans="1:118" x14ac:dyDescent="0.2">
      <c r="A157" s="207"/>
      <c r="B157" s="207"/>
      <c r="C157" s="282"/>
      <c r="D157" s="282"/>
      <c r="E157" s="282"/>
      <c r="F157" s="282"/>
      <c r="G157" s="282"/>
      <c r="H157" s="282"/>
      <c r="I157" s="282"/>
      <c r="J157" s="282"/>
      <c r="K157" s="282"/>
      <c r="L157" s="282"/>
      <c r="M157" s="282"/>
      <c r="N157" s="282"/>
      <c r="O157" s="282"/>
      <c r="P157" s="282"/>
      <c r="Q157" s="282"/>
      <c r="R157" s="282"/>
      <c r="S157" s="282"/>
      <c r="T157" s="282"/>
      <c r="U157" s="282"/>
      <c r="V157" s="282"/>
      <c r="W157" s="282"/>
      <c r="X157" s="282"/>
      <c r="Y157" s="282"/>
      <c r="Z157" s="282"/>
      <c r="AA157" s="282"/>
      <c r="AB157" s="282"/>
      <c r="AC157" s="282"/>
      <c r="AD157" s="282"/>
      <c r="AE157" s="282"/>
      <c r="AF157" s="282"/>
      <c r="AG157" s="282"/>
      <c r="AH157" s="282"/>
      <c r="AI157" s="282"/>
      <c r="AJ157" s="282"/>
      <c r="AK157" s="282"/>
      <c r="AL157" s="282"/>
      <c r="AM157" s="282"/>
      <c r="AN157" s="282"/>
      <c r="AO157" s="282"/>
      <c r="AP157" s="282"/>
      <c r="AQ157" s="282"/>
      <c r="AR157" s="282"/>
      <c r="AS157" s="282"/>
      <c r="AT157" s="282"/>
      <c r="AU157" s="282"/>
      <c r="AV157" s="282"/>
      <c r="AW157" s="282"/>
      <c r="AX157" s="282"/>
      <c r="AY157" s="282"/>
      <c r="AZ157" s="282"/>
      <c r="BA157" s="282"/>
      <c r="BB157" s="282"/>
      <c r="BC157" s="285"/>
      <c r="BD157" s="207"/>
      <c r="BE157" s="336"/>
      <c r="BF157" s="207"/>
      <c r="BG157" s="207"/>
      <c r="BH157" s="207"/>
      <c r="BI157" s="207"/>
      <c r="BJ157" s="207"/>
      <c r="BK157" s="207"/>
      <c r="BL157" s="207"/>
      <c r="BM157" s="207"/>
      <c r="BN157" s="207"/>
      <c r="BO157" s="220"/>
      <c r="BP157" s="207"/>
      <c r="BQ157" s="207"/>
      <c r="BR157" s="207"/>
      <c r="BS157" s="207"/>
      <c r="BT157" s="296"/>
      <c r="BU157" s="207"/>
      <c r="BV157" s="207"/>
      <c r="BW157" s="207"/>
      <c r="BX157" s="207"/>
      <c r="BY157" s="207"/>
      <c r="BZ157" s="207"/>
      <c r="CA157" s="207"/>
      <c r="CB157" s="207"/>
      <c r="CC157" s="207"/>
      <c r="CD157" s="207"/>
      <c r="CE157" s="207"/>
      <c r="CF157" s="207"/>
      <c r="CG157" s="207"/>
      <c r="CH157" s="207"/>
      <c r="CI157" s="207"/>
      <c r="CJ157" s="207"/>
      <c r="CK157" s="207"/>
      <c r="CL157" s="207"/>
      <c r="CM157" s="207"/>
      <c r="CN157" s="207"/>
      <c r="CO157" s="207"/>
      <c r="CP157" s="207"/>
      <c r="CQ157" s="207"/>
      <c r="CR157" s="207"/>
      <c r="CS157" s="207"/>
      <c r="CT157" s="207"/>
      <c r="CU157" s="207"/>
      <c r="CV157" s="207"/>
      <c r="CW157" s="207"/>
      <c r="CX157" s="207"/>
      <c r="CY157" s="207"/>
      <c r="CZ157" s="207"/>
      <c r="DA157" s="207"/>
      <c r="DB157" s="207"/>
      <c r="DC157" s="207"/>
      <c r="DD157" s="207"/>
      <c r="DE157" s="207"/>
      <c r="DF157" s="207"/>
      <c r="DG157" s="207"/>
      <c r="DH157" s="207"/>
      <c r="DI157" s="207"/>
      <c r="DJ157" s="207"/>
      <c r="DK157" s="207"/>
      <c r="DL157" s="207"/>
      <c r="DM157" s="207"/>
      <c r="DN157" s="207"/>
    </row>
    <row r="158" spans="1:118" ht="15.75" x14ac:dyDescent="0.25">
      <c r="A158" s="346" t="s">
        <v>78</v>
      </c>
      <c r="B158" s="201"/>
      <c r="C158" s="202">
        <f>C111</f>
        <v>36616</v>
      </c>
      <c r="D158" s="202">
        <f t="shared" ref="D158:BP158" si="242">D111</f>
        <v>36686</v>
      </c>
      <c r="E158" s="202">
        <f t="shared" si="242"/>
        <v>36778</v>
      </c>
      <c r="F158" s="202">
        <f t="shared" si="242"/>
        <v>36869</v>
      </c>
      <c r="G158" s="203" t="str">
        <f t="shared" si="242"/>
        <v>FY2000</v>
      </c>
      <c r="H158" s="202">
        <f t="shared" si="242"/>
        <v>36981</v>
      </c>
      <c r="I158" s="202">
        <f t="shared" si="242"/>
        <v>37051</v>
      </c>
      <c r="J158" s="202">
        <f t="shared" si="242"/>
        <v>37143</v>
      </c>
      <c r="K158" s="202">
        <f t="shared" si="242"/>
        <v>37234</v>
      </c>
      <c r="L158" s="203" t="str">
        <f t="shared" si="242"/>
        <v>FY2001</v>
      </c>
      <c r="M158" s="202">
        <f t="shared" si="242"/>
        <v>37346</v>
      </c>
      <c r="N158" s="202">
        <f t="shared" si="242"/>
        <v>37416</v>
      </c>
      <c r="O158" s="202">
        <f t="shared" si="242"/>
        <v>37508</v>
      </c>
      <c r="P158" s="202">
        <f t="shared" si="242"/>
        <v>37599</v>
      </c>
      <c r="Q158" s="203" t="str">
        <f t="shared" si="242"/>
        <v>FY2002</v>
      </c>
      <c r="R158" s="202">
        <f t="shared" si="242"/>
        <v>37711</v>
      </c>
      <c r="S158" s="202">
        <f t="shared" si="242"/>
        <v>37781</v>
      </c>
      <c r="T158" s="202">
        <f t="shared" si="242"/>
        <v>37873</v>
      </c>
      <c r="U158" s="202">
        <f t="shared" si="242"/>
        <v>37964</v>
      </c>
      <c r="V158" s="203" t="str">
        <f t="shared" si="242"/>
        <v>FY2003</v>
      </c>
      <c r="W158" s="202">
        <f t="shared" si="242"/>
        <v>38077</v>
      </c>
      <c r="X158" s="202">
        <f t="shared" si="242"/>
        <v>38147</v>
      </c>
      <c r="Y158" s="202">
        <f t="shared" si="242"/>
        <v>38239</v>
      </c>
      <c r="Z158" s="202">
        <f t="shared" si="242"/>
        <v>38330</v>
      </c>
      <c r="AA158" s="203" t="str">
        <f t="shared" si="242"/>
        <v>FY2004</v>
      </c>
      <c r="AB158" s="202">
        <f t="shared" si="242"/>
        <v>38442</v>
      </c>
      <c r="AC158" s="202">
        <f t="shared" si="242"/>
        <v>38512</v>
      </c>
      <c r="AD158" s="202">
        <f t="shared" si="242"/>
        <v>38604</v>
      </c>
      <c r="AE158" s="202">
        <f t="shared" si="242"/>
        <v>38695</v>
      </c>
      <c r="AF158" s="203" t="str">
        <f t="shared" si="242"/>
        <v>FY2005</v>
      </c>
      <c r="AG158" s="202">
        <f t="shared" si="242"/>
        <v>38807</v>
      </c>
      <c r="AH158" s="202">
        <f t="shared" si="242"/>
        <v>38877</v>
      </c>
      <c r="AI158" s="202">
        <f t="shared" si="242"/>
        <v>38969</v>
      </c>
      <c r="AJ158" s="202">
        <f t="shared" si="242"/>
        <v>39060</v>
      </c>
      <c r="AK158" s="203" t="str">
        <f t="shared" si="242"/>
        <v>FY2006</v>
      </c>
      <c r="AL158" s="202">
        <f t="shared" si="242"/>
        <v>39172</v>
      </c>
      <c r="AM158" s="202">
        <f t="shared" si="242"/>
        <v>39242</v>
      </c>
      <c r="AN158" s="202">
        <f t="shared" si="242"/>
        <v>39334</v>
      </c>
      <c r="AO158" s="202">
        <f t="shared" si="242"/>
        <v>39425</v>
      </c>
      <c r="AP158" s="203" t="str">
        <f t="shared" si="242"/>
        <v>FY2007</v>
      </c>
      <c r="AQ158" s="202">
        <f t="shared" si="242"/>
        <v>39538</v>
      </c>
      <c r="AR158" s="202">
        <f t="shared" si="242"/>
        <v>39608</v>
      </c>
      <c r="AS158" s="202">
        <f t="shared" si="242"/>
        <v>39700</v>
      </c>
      <c r="AT158" s="202">
        <f t="shared" si="242"/>
        <v>39791</v>
      </c>
      <c r="AU158" s="203" t="str">
        <f t="shared" si="242"/>
        <v>FY2008</v>
      </c>
      <c r="AV158" s="202">
        <f t="shared" si="242"/>
        <v>39903</v>
      </c>
      <c r="AW158" s="202">
        <f t="shared" si="242"/>
        <v>39973</v>
      </c>
      <c r="AX158" s="202">
        <f t="shared" si="242"/>
        <v>40065</v>
      </c>
      <c r="AY158" s="202">
        <f t="shared" si="242"/>
        <v>40156</v>
      </c>
      <c r="AZ158" s="203" t="str">
        <f t="shared" si="242"/>
        <v>FY2009</v>
      </c>
      <c r="BA158" s="202">
        <f t="shared" si="242"/>
        <v>40247</v>
      </c>
      <c r="BB158" s="202">
        <f t="shared" si="242"/>
        <v>40339</v>
      </c>
      <c r="BC158" s="202">
        <f t="shared" si="242"/>
        <v>40431</v>
      </c>
      <c r="BD158" s="202">
        <f t="shared" si="242"/>
        <v>40522</v>
      </c>
      <c r="BE158" s="203" t="str">
        <f t="shared" si="242"/>
        <v>FY2010</v>
      </c>
      <c r="BF158" s="202">
        <f t="shared" si="242"/>
        <v>40613</v>
      </c>
      <c r="BG158" s="202">
        <f t="shared" si="242"/>
        <v>40705</v>
      </c>
      <c r="BH158" s="202">
        <f t="shared" si="242"/>
        <v>40797</v>
      </c>
      <c r="BI158" s="202">
        <f t="shared" si="242"/>
        <v>40888</v>
      </c>
      <c r="BJ158" s="416" t="str">
        <f t="shared" si="242"/>
        <v>FY2011</v>
      </c>
      <c r="BK158" s="414">
        <f t="shared" si="242"/>
        <v>40980</v>
      </c>
      <c r="BL158" s="414">
        <f t="shared" si="242"/>
        <v>41072</v>
      </c>
      <c r="BM158" s="414">
        <f t="shared" si="242"/>
        <v>41164</v>
      </c>
      <c r="BN158" s="414">
        <f t="shared" si="242"/>
        <v>41274</v>
      </c>
      <c r="BO158" s="416" t="str">
        <f t="shared" si="242"/>
        <v>FY2012</v>
      </c>
      <c r="BP158" s="414">
        <f t="shared" si="242"/>
        <v>41346</v>
      </c>
      <c r="BQ158" s="414">
        <f t="shared" ref="BQ158:CX158" si="243">BQ111</f>
        <v>41438</v>
      </c>
      <c r="BR158" s="414">
        <f t="shared" si="243"/>
        <v>41530</v>
      </c>
      <c r="BS158" s="414">
        <f t="shared" si="243"/>
        <v>41621</v>
      </c>
      <c r="BT158" s="416" t="str">
        <f t="shared" si="243"/>
        <v>FY2013</v>
      </c>
      <c r="BU158" s="414">
        <f t="shared" si="243"/>
        <v>41712</v>
      </c>
      <c r="BV158" s="414">
        <f t="shared" si="243"/>
        <v>41804</v>
      </c>
      <c r="BW158" s="414">
        <f t="shared" si="243"/>
        <v>41896</v>
      </c>
      <c r="BX158" s="414">
        <f t="shared" si="243"/>
        <v>41987</v>
      </c>
      <c r="BY158" s="416" t="str">
        <f t="shared" si="243"/>
        <v>FY2014</v>
      </c>
      <c r="BZ158" s="414">
        <f t="shared" si="243"/>
        <v>42078</v>
      </c>
      <c r="CA158" s="414">
        <f t="shared" si="243"/>
        <v>42170</v>
      </c>
      <c r="CB158" s="414">
        <f t="shared" si="243"/>
        <v>42262</v>
      </c>
      <c r="CC158" s="414">
        <f t="shared" si="243"/>
        <v>42353</v>
      </c>
      <c r="CD158" s="416" t="str">
        <f t="shared" si="243"/>
        <v>FY2015</v>
      </c>
      <c r="CE158" s="414">
        <f t="shared" si="243"/>
        <v>42445</v>
      </c>
      <c r="CF158" s="414">
        <f t="shared" si="243"/>
        <v>42537</v>
      </c>
      <c r="CG158" s="414">
        <f t="shared" si="243"/>
        <v>42629</v>
      </c>
      <c r="CH158" s="414">
        <f t="shared" si="243"/>
        <v>42720</v>
      </c>
      <c r="CI158" s="416" t="str">
        <f t="shared" si="243"/>
        <v>FY2016</v>
      </c>
      <c r="CJ158" s="414">
        <f t="shared" si="243"/>
        <v>42811</v>
      </c>
      <c r="CK158" s="414">
        <f t="shared" si="243"/>
        <v>42903</v>
      </c>
      <c r="CL158" s="414">
        <f t="shared" si="243"/>
        <v>42995</v>
      </c>
      <c r="CM158" s="414">
        <f t="shared" si="243"/>
        <v>43086</v>
      </c>
      <c r="CN158" s="416" t="str">
        <f t="shared" si="243"/>
        <v>FY2017</v>
      </c>
      <c r="CO158" s="414">
        <f t="shared" si="243"/>
        <v>43177</v>
      </c>
      <c r="CP158" s="414" t="str">
        <f t="shared" si="243"/>
        <v>Jun-18 E</v>
      </c>
      <c r="CQ158" s="414" t="str">
        <f t="shared" si="243"/>
        <v>Sep-18 E</v>
      </c>
      <c r="CR158" s="414" t="str">
        <f t="shared" si="243"/>
        <v>Dec-18 E</v>
      </c>
      <c r="CS158" s="416" t="str">
        <f t="shared" si="243"/>
        <v>FY2018E</v>
      </c>
      <c r="CT158" s="414" t="str">
        <f t="shared" si="243"/>
        <v>Mar-19 E</v>
      </c>
      <c r="CU158" s="414" t="str">
        <f t="shared" si="243"/>
        <v>Jun-19 E</v>
      </c>
      <c r="CV158" s="414" t="str">
        <f t="shared" si="243"/>
        <v>Sep-19 E</v>
      </c>
      <c r="CW158" s="414" t="str">
        <f t="shared" si="243"/>
        <v>Dec-19 E</v>
      </c>
      <c r="CX158" s="416" t="str">
        <f t="shared" si="243"/>
        <v>FY2019E</v>
      </c>
      <c r="CY158" s="414" t="str">
        <f t="shared" ref="CY158:DH158" si="244">CY111</f>
        <v>Mar-20 E</v>
      </c>
      <c r="CZ158" s="414" t="str">
        <f t="shared" si="244"/>
        <v>Jun-20 E</v>
      </c>
      <c r="DA158" s="414" t="str">
        <f t="shared" si="244"/>
        <v>Sep-20 E</v>
      </c>
      <c r="DB158" s="414" t="str">
        <f t="shared" si="244"/>
        <v>Dec-20 E</v>
      </c>
      <c r="DC158" s="416" t="str">
        <f t="shared" si="244"/>
        <v>FY2020E</v>
      </c>
      <c r="DD158" s="414" t="str">
        <f t="shared" si="244"/>
        <v>Mar-21 E</v>
      </c>
      <c r="DE158" s="414" t="str">
        <f t="shared" si="244"/>
        <v>Jun-21 E</v>
      </c>
      <c r="DF158" s="414" t="str">
        <f t="shared" si="244"/>
        <v>Sep-21 E</v>
      </c>
      <c r="DG158" s="414" t="str">
        <f t="shared" si="244"/>
        <v>Dec-21 E</v>
      </c>
      <c r="DH158" s="416" t="str">
        <f t="shared" si="244"/>
        <v>FY2021E</v>
      </c>
      <c r="DI158" s="414" t="str">
        <f>DI111</f>
        <v>Mar-22 E</v>
      </c>
      <c r="DJ158" s="414" t="str">
        <f>DJ111</f>
        <v>Jun-22 E</v>
      </c>
      <c r="DK158" s="414" t="str">
        <f>DK111</f>
        <v>Sep-22 E</v>
      </c>
      <c r="DL158" s="414" t="str">
        <f>DL111</f>
        <v>Dec-22 E</v>
      </c>
      <c r="DM158" s="416" t="str">
        <f>DM111</f>
        <v>FY2022E</v>
      </c>
      <c r="DN158" s="207"/>
    </row>
    <row r="159" spans="1:118" ht="15" x14ac:dyDescent="0.2">
      <c r="G159" s="219"/>
      <c r="L159" s="219"/>
      <c r="Q159" s="219"/>
      <c r="V159" s="219"/>
      <c r="AA159" s="219"/>
      <c r="AF159" s="219"/>
      <c r="AK159" s="219"/>
      <c r="AP159" s="219"/>
      <c r="AU159" s="219"/>
      <c r="AZ159" s="219"/>
      <c r="BC159" s="207"/>
      <c r="BE159" s="219"/>
      <c r="BJ159" s="443"/>
      <c r="BK159" s="418"/>
      <c r="BL159" s="418"/>
      <c r="BM159" s="418"/>
      <c r="BN159" s="418"/>
      <c r="BO159" s="443"/>
      <c r="BP159" s="418"/>
      <c r="BQ159" s="418"/>
      <c r="BR159" s="418"/>
      <c r="BS159" s="418"/>
      <c r="BT159" s="443"/>
      <c r="BU159" s="418"/>
      <c r="BV159" s="418"/>
      <c r="BW159" s="418"/>
      <c r="BX159" s="418"/>
      <c r="BY159" s="457"/>
      <c r="BZ159" s="418"/>
      <c r="CA159" s="418"/>
      <c r="CB159" s="418"/>
      <c r="CC159" s="418"/>
      <c r="CD159" s="443"/>
      <c r="CE159" s="418"/>
      <c r="CF159" s="418"/>
      <c r="CG159" s="418"/>
      <c r="CH159" s="418"/>
      <c r="CI159" s="443"/>
      <c r="CJ159" s="418"/>
      <c r="CK159" s="418"/>
      <c r="CL159" s="418"/>
      <c r="CM159" s="418"/>
      <c r="CN159" s="443"/>
      <c r="CO159" s="418"/>
      <c r="CP159" s="418"/>
      <c r="CQ159" s="418"/>
      <c r="CR159" s="418"/>
      <c r="CS159" s="443"/>
      <c r="CT159" s="418"/>
      <c r="CU159" s="418"/>
      <c r="CV159" s="418"/>
      <c r="CW159" s="418"/>
      <c r="CX159" s="443"/>
      <c r="CY159" s="418"/>
      <c r="CZ159" s="418"/>
      <c r="DA159" s="418"/>
      <c r="DB159" s="418"/>
      <c r="DC159" s="443"/>
      <c r="DD159" s="418"/>
      <c r="DE159" s="418"/>
      <c r="DF159" s="418"/>
      <c r="DG159" s="418"/>
      <c r="DH159" s="443"/>
      <c r="DI159" s="418"/>
      <c r="DJ159" s="418"/>
      <c r="DK159" s="418"/>
      <c r="DL159" s="418"/>
      <c r="DM159" s="443"/>
      <c r="DN159" s="207"/>
    </row>
    <row r="160" spans="1:118" ht="15.75" x14ac:dyDescent="0.25">
      <c r="A160" s="20" t="s">
        <v>336</v>
      </c>
      <c r="C160" s="343"/>
      <c r="D160" s="343"/>
      <c r="E160" s="343"/>
      <c r="F160" s="343"/>
      <c r="G160" s="219"/>
      <c r="H160" s="343"/>
      <c r="I160" s="343"/>
      <c r="J160" s="343"/>
      <c r="K160" s="343"/>
      <c r="L160" s="219"/>
      <c r="M160" s="343"/>
      <c r="N160" s="343"/>
      <c r="O160" s="343"/>
      <c r="P160" s="343"/>
      <c r="Q160" s="219"/>
      <c r="R160" s="343"/>
      <c r="S160" s="343"/>
      <c r="T160" s="343"/>
      <c r="U160" s="343"/>
      <c r="V160" s="219"/>
      <c r="W160" s="343"/>
      <c r="X160" s="343"/>
      <c r="Y160" s="343"/>
      <c r="Z160" s="343"/>
      <c r="AA160" s="219"/>
      <c r="AB160" s="343"/>
      <c r="AC160" s="343"/>
      <c r="AD160" s="343"/>
      <c r="AE160" s="343"/>
      <c r="AF160" s="219"/>
      <c r="AG160" s="343"/>
      <c r="AH160" s="343"/>
      <c r="AI160" s="343"/>
      <c r="AJ160" s="343"/>
      <c r="AK160" s="219"/>
      <c r="AL160" s="343"/>
      <c r="AM160" s="343"/>
      <c r="AN160" s="343"/>
      <c r="AO160" s="343"/>
      <c r="AP160" s="219"/>
      <c r="AQ160" s="343"/>
      <c r="AR160" s="343"/>
      <c r="AS160" s="343"/>
      <c r="AT160" s="343"/>
      <c r="AU160" s="219"/>
      <c r="AV160" s="343"/>
      <c r="AW160" s="343"/>
      <c r="AX160" s="343"/>
      <c r="AY160" s="343"/>
      <c r="AZ160" s="219"/>
      <c r="BA160" s="343"/>
      <c r="BB160" s="343"/>
      <c r="BC160" s="207"/>
      <c r="BE160" s="347"/>
      <c r="BJ160" s="443"/>
      <c r="BK160" s="418"/>
      <c r="BL160" s="418"/>
      <c r="BM160" s="418"/>
      <c r="BN160" s="418"/>
      <c r="BO160" s="443"/>
      <c r="BP160" s="418"/>
      <c r="BQ160" s="591"/>
      <c r="BR160" s="418"/>
      <c r="BS160" s="418"/>
      <c r="BT160" s="443"/>
      <c r="BU160" s="418"/>
      <c r="BV160" s="418"/>
      <c r="BW160" s="418"/>
      <c r="BX160" s="418"/>
      <c r="BY160" s="443"/>
      <c r="BZ160" s="418"/>
      <c r="CA160" s="418"/>
      <c r="CB160" s="418"/>
      <c r="CC160" s="418"/>
      <c r="CD160" s="443"/>
      <c r="CE160" s="418"/>
      <c r="CF160" s="418"/>
      <c r="CG160" s="418"/>
      <c r="CH160" s="418"/>
      <c r="CI160" s="443"/>
      <c r="CJ160" s="418"/>
      <c r="CK160" s="418"/>
      <c r="CL160" s="418"/>
      <c r="CM160" s="418"/>
      <c r="CN160" s="443"/>
      <c r="CO160" s="418"/>
      <c r="CP160" s="418"/>
      <c r="CQ160" s="418"/>
      <c r="CR160" s="418"/>
      <c r="CS160" s="443"/>
      <c r="CT160" s="418"/>
      <c r="CU160" s="418"/>
      <c r="CV160" s="418"/>
      <c r="CW160" s="418"/>
      <c r="CX160" s="443"/>
      <c r="CY160" s="418"/>
      <c r="CZ160" s="418"/>
      <c r="DA160" s="418"/>
      <c r="DB160" s="418"/>
      <c r="DC160" s="443"/>
      <c r="DD160" s="418"/>
      <c r="DE160" s="418"/>
      <c r="DF160" s="418"/>
      <c r="DG160" s="418"/>
      <c r="DH160" s="443"/>
      <c r="DI160" s="418"/>
      <c r="DJ160" s="418"/>
      <c r="DK160" s="418"/>
      <c r="DL160" s="418"/>
      <c r="DM160" s="443"/>
      <c r="DN160" s="207"/>
    </row>
    <row r="161" spans="1:118" ht="15" x14ac:dyDescent="0.2">
      <c r="A161" s="18" t="s">
        <v>37</v>
      </c>
      <c r="C161" s="328">
        <v>-58</v>
      </c>
      <c r="D161" s="328">
        <v>926</v>
      </c>
      <c r="E161" s="328">
        <v>1067</v>
      </c>
      <c r="F161" s="328">
        <v>242</v>
      </c>
      <c r="G161" s="326"/>
      <c r="H161" s="328">
        <v>863</v>
      </c>
      <c r="I161" s="328">
        <v>1118</v>
      </c>
      <c r="J161" s="328">
        <v>1074</v>
      </c>
      <c r="K161" s="328">
        <v>914</v>
      </c>
      <c r="L161" s="326">
        <v>3969</v>
      </c>
      <c r="M161" s="328">
        <v>-194</v>
      </c>
      <c r="N161" s="328">
        <v>1223</v>
      </c>
      <c r="O161" s="328">
        <v>1091</v>
      </c>
      <c r="P161" s="328">
        <v>930</v>
      </c>
      <c r="Q161" s="326">
        <v>3050</v>
      </c>
      <c r="R161" s="328">
        <v>835</v>
      </c>
      <c r="S161" s="328">
        <v>1362</v>
      </c>
      <c r="T161" s="328">
        <v>1223</v>
      </c>
      <c r="U161" s="328">
        <v>927</v>
      </c>
      <c r="V161" s="326">
        <v>4347</v>
      </c>
      <c r="W161" s="328">
        <v>1127</v>
      </c>
      <c r="X161" s="328">
        <v>1584</v>
      </c>
      <c r="Y161" s="328">
        <v>935</v>
      </c>
      <c r="Z161" s="328">
        <v>1201</v>
      </c>
      <c r="AA161" s="326">
        <v>4847</v>
      </c>
      <c r="AB161" s="328">
        <v>1002</v>
      </c>
      <c r="AC161" s="328">
        <v>1723</v>
      </c>
      <c r="AD161" s="328">
        <v>1283</v>
      </c>
      <c r="AE161" s="328">
        <v>864</v>
      </c>
      <c r="AF161" s="326">
        <v>4872</v>
      </c>
      <c r="AG161" s="328">
        <v>1106</v>
      </c>
      <c r="AH161" s="328">
        <v>1836</v>
      </c>
      <c r="AI161" s="328">
        <v>1460</v>
      </c>
      <c r="AJ161" s="328">
        <v>678</v>
      </c>
      <c r="AK161" s="326">
        <v>5080</v>
      </c>
      <c r="AL161" s="328">
        <v>1262</v>
      </c>
      <c r="AM161" s="328">
        <v>1851</v>
      </c>
      <c r="AN161" s="328">
        <v>1654</v>
      </c>
      <c r="AO161" s="328">
        <v>1214</v>
      </c>
      <c r="AP161" s="326">
        <v>5981</v>
      </c>
      <c r="AQ161" s="328">
        <v>1500</v>
      </c>
      <c r="AR161" s="328">
        <v>1422</v>
      </c>
      <c r="AS161" s="328">
        <v>1890</v>
      </c>
      <c r="AT161" s="328">
        <v>995</v>
      </c>
      <c r="AU161" s="326">
        <v>5807</v>
      </c>
      <c r="AV161" s="328">
        <v>1359</v>
      </c>
      <c r="AW161" s="328">
        <f>3408-AV161</f>
        <v>2049</v>
      </c>
      <c r="AX161" s="328">
        <f>5328-AW161-AV161</f>
        <v>1920</v>
      </c>
      <c r="AY161" s="328">
        <f>AZ161-SUM(AV161:AX161)</f>
        <v>1578</v>
      </c>
      <c r="AZ161" s="326">
        <v>6906</v>
      </c>
      <c r="BA161" s="328">
        <v>1626</v>
      </c>
      <c r="BB161" s="328">
        <f>4008-BA161</f>
        <v>2382</v>
      </c>
      <c r="BC161" s="328">
        <f>6075-BB161-BA161</f>
        <v>2067</v>
      </c>
      <c r="BD161" s="328">
        <f>BE161-SUM(BA161:BC161)</f>
        <v>5784</v>
      </c>
      <c r="BE161" s="326">
        <v>11859</v>
      </c>
      <c r="BF161" s="328">
        <v>1913</v>
      </c>
      <c r="BG161" s="328">
        <f>4717-BF161</f>
        <v>2804</v>
      </c>
      <c r="BH161" s="328">
        <f>6960-BG161-BF161</f>
        <v>2243</v>
      </c>
      <c r="BI161" s="328">
        <f>BJ161-SUM(BF161:BH161)</f>
        <v>1674</v>
      </c>
      <c r="BJ161" s="592">
        <v>8634</v>
      </c>
      <c r="BK161" s="591">
        <v>2067</v>
      </c>
      <c r="BL161" s="591">
        <f>4867-BK161</f>
        <v>2800</v>
      </c>
      <c r="BM161" s="591">
        <f>7196-BL161-BK161</f>
        <v>2329</v>
      </c>
      <c r="BN161" s="591">
        <f>BO161-SUM(BK161:BM161)</f>
        <v>1890</v>
      </c>
      <c r="BO161" s="592">
        <v>9086</v>
      </c>
      <c r="BP161" s="591">
        <v>1769</v>
      </c>
      <c r="BQ161" s="591">
        <f>4463-BP161</f>
        <v>2694</v>
      </c>
      <c r="BR161" s="591">
        <f>6918-BQ161-BP161</f>
        <v>2455</v>
      </c>
      <c r="BS161" s="591">
        <f>BT161-SUM(BP161:BR161)</f>
        <v>1708</v>
      </c>
      <c r="BT161" s="592">
        <v>8626</v>
      </c>
      <c r="BU161" s="593">
        <v>1626</v>
      </c>
      <c r="BV161" s="593">
        <f>4231-BU161</f>
        <v>2605</v>
      </c>
      <c r="BW161" s="593">
        <f>6353-BV161-BU161</f>
        <v>2122</v>
      </c>
      <c r="BX161" s="591">
        <f>BY161-SUM(BU161:BW161)</f>
        <v>771</v>
      </c>
      <c r="BY161" s="592">
        <v>7124</v>
      </c>
      <c r="BZ161" s="593">
        <v>1566</v>
      </c>
      <c r="CA161" s="593">
        <f>4677-BZ161</f>
        <v>3111</v>
      </c>
      <c r="CB161" s="593">
        <f>6130-CA161-BZ161</f>
        <v>1453</v>
      </c>
      <c r="CC161" s="591">
        <f>CD161-SUM(BZ161:CB161)</f>
        <v>1236</v>
      </c>
      <c r="CD161" s="592">
        <v>7366</v>
      </c>
      <c r="CE161" s="591">
        <v>1493</v>
      </c>
      <c r="CF161" s="593">
        <v>3460</v>
      </c>
      <c r="CG161" s="593">
        <f>6003-CF161-CE161</f>
        <v>1050</v>
      </c>
      <c r="CH161" s="591">
        <f>CI161-SUM(CE161:CG161)</f>
        <v>547</v>
      </c>
      <c r="CI161" s="592">
        <v>6550</v>
      </c>
      <c r="CJ161" s="591">
        <v>1184</v>
      </c>
      <c r="CK161" s="591">
        <f>2556-CJ161</f>
        <v>1372</v>
      </c>
      <c r="CL161" s="591">
        <f>4000-CK161-CJ161</f>
        <v>1444</v>
      </c>
      <c r="CM161" s="591">
        <f>CN161-SUM(CJ161:CL161)</f>
        <v>-2818</v>
      </c>
      <c r="CN161" s="592">
        <v>1182</v>
      </c>
      <c r="CO161" s="591">
        <v>1327</v>
      </c>
      <c r="CP161" s="593">
        <f ca="1">CP85-CP75</f>
        <v>2613.4410359427429</v>
      </c>
      <c r="CQ161" s="593">
        <f ca="1">CQ85-CQ75</f>
        <v>2429.9850269136941</v>
      </c>
      <c r="CR161" s="593">
        <f ca="1">CR85-CR75</f>
        <v>1931.3514645210616</v>
      </c>
      <c r="CS161" s="592">
        <f t="shared" ref="CS161:CS171" ca="1" si="245">SUM(CO161:CR161)</f>
        <v>8301.7775273774987</v>
      </c>
      <c r="CT161" s="593">
        <f ca="1">CT85-CT75</f>
        <v>2150.8209665176564</v>
      </c>
      <c r="CU161" s="593">
        <f ca="1">CU85-CU75</f>
        <v>2775.8014479174553</v>
      </c>
      <c r="CV161" s="593">
        <f ca="1">CV85-CV75</f>
        <v>2587.4053025173434</v>
      </c>
      <c r="CW161" s="593">
        <f ca="1">CW85-CW75</f>
        <v>2070.9963766192027</v>
      </c>
      <c r="CX161" s="592">
        <f t="shared" ref="CX161:CX171" ca="1" si="246">SUM(CT161:CW161)</f>
        <v>9585.0240935716574</v>
      </c>
      <c r="CY161" s="593">
        <f ca="1">CY85-CY75</f>
        <v>2306.7729418675858</v>
      </c>
      <c r="CZ161" s="593">
        <f ca="1">CZ85-CZ75</f>
        <v>2966.277649786758</v>
      </c>
      <c r="DA161" s="593">
        <f ca="1">DA85-DA75</f>
        <v>2769.4756163688712</v>
      </c>
      <c r="DB161" s="593">
        <f ca="1">DB85-DB75</f>
        <v>2225.6397302323844</v>
      </c>
      <c r="DC161" s="592">
        <f t="shared" ref="DC161:DC171" ca="1" si="247">SUM(CY161:DB161)</f>
        <v>10268.165938255599</v>
      </c>
      <c r="DD161" s="593">
        <f ca="1">DD85-DD75</f>
        <v>2463.2134579852427</v>
      </c>
      <c r="DE161" s="593">
        <f ca="1">DE85-DE75</f>
        <v>3156.1444256719587</v>
      </c>
      <c r="DF161" s="593">
        <f ca="1">DF85-DF75</f>
        <v>2951.205915840631</v>
      </c>
      <c r="DG161" s="593">
        <f ca="1">DG85-DG75</f>
        <v>2380.6331963682255</v>
      </c>
      <c r="DH161" s="592">
        <f t="shared" ref="DH161:DH171" ca="1" si="248">SUM(DD161:DG161)</f>
        <v>10951.196995866057</v>
      </c>
      <c r="DI161" s="593">
        <f ca="1">DI85-DI75</f>
        <v>2617.2167356298482</v>
      </c>
      <c r="DJ161" s="593">
        <f ca="1">DJ85-DJ75</f>
        <v>3344.5927358945855</v>
      </c>
      <c r="DK161" s="593">
        <f ca="1">DK85-DK75</f>
        <v>3131.235730013886</v>
      </c>
      <c r="DL161" s="593">
        <f ca="1">DL85-DL75</f>
        <v>2533.2934372285345</v>
      </c>
      <c r="DM161" s="592">
        <f t="shared" ref="DM161:DM171" ca="1" si="249">SUM(DI161:DL161)</f>
        <v>11626.338638766854</v>
      </c>
      <c r="DN161" s="207"/>
    </row>
    <row r="162" spans="1:118" ht="15" x14ac:dyDescent="0.2">
      <c r="A162" s="18" t="s">
        <v>79</v>
      </c>
      <c r="C162" s="328">
        <v>217</v>
      </c>
      <c r="D162" s="328">
        <v>226</v>
      </c>
      <c r="E162" s="328">
        <v>129</v>
      </c>
      <c r="F162" s="328">
        <v>201</v>
      </c>
      <c r="G162" s="326"/>
      <c r="H162" s="328">
        <v>186</v>
      </c>
      <c r="I162" s="328">
        <v>199</v>
      </c>
      <c r="J162" s="328">
        <v>186</v>
      </c>
      <c r="K162" s="328">
        <v>232</v>
      </c>
      <c r="L162" s="326">
        <v>803</v>
      </c>
      <c r="M162" s="328">
        <v>195</v>
      </c>
      <c r="N162" s="328">
        <v>203</v>
      </c>
      <c r="O162" s="328">
        <v>201</v>
      </c>
      <c r="P162" s="328">
        <v>207</v>
      </c>
      <c r="Q162" s="326">
        <v>806</v>
      </c>
      <c r="R162" s="328">
        <v>198</v>
      </c>
      <c r="S162" s="328">
        <v>213</v>
      </c>
      <c r="T162" s="328">
        <v>211</v>
      </c>
      <c r="U162" s="328">
        <v>228</v>
      </c>
      <c r="V162" s="326">
        <v>850</v>
      </c>
      <c r="W162" s="328">
        <v>213</v>
      </c>
      <c r="X162" s="328">
        <v>207</v>
      </c>
      <c r="Y162" s="328">
        <v>210</v>
      </c>
      <c r="Z162" s="328">
        <v>263</v>
      </c>
      <c r="AA162" s="326">
        <v>893</v>
      </c>
      <c r="AB162" s="328">
        <v>226</v>
      </c>
      <c r="AC162" s="328">
        <v>223</v>
      </c>
      <c r="AD162" s="328">
        <v>227</v>
      </c>
      <c r="AE162" s="328">
        <v>256</v>
      </c>
      <c r="AF162" s="326">
        <v>932</v>
      </c>
      <c r="AG162" s="328">
        <v>209</v>
      </c>
      <c r="AH162" s="328">
        <v>224</v>
      </c>
      <c r="AI162" s="328">
        <v>233</v>
      </c>
      <c r="AJ162" s="328">
        <v>272</v>
      </c>
      <c r="AK162" s="326">
        <v>938</v>
      </c>
      <c r="AL162" s="328">
        <v>241</v>
      </c>
      <c r="AM162" s="328">
        <v>274</v>
      </c>
      <c r="AN162" s="328">
        <v>279</v>
      </c>
      <c r="AO162" s="328">
        <v>369</v>
      </c>
      <c r="AP162" s="326">
        <v>1163</v>
      </c>
      <c r="AQ162" s="328">
        <v>307</v>
      </c>
      <c r="AR162" s="328">
        <v>330</v>
      </c>
      <c r="AS162" s="328">
        <v>306</v>
      </c>
      <c r="AT162" s="328">
        <v>285</v>
      </c>
      <c r="AU162" s="326">
        <v>1228</v>
      </c>
      <c r="AV162" s="328">
        <v>283</v>
      </c>
      <c r="AW162" s="328">
        <f>585-AV162</f>
        <v>302</v>
      </c>
      <c r="AX162" s="328">
        <f>905-AW162-AV162</f>
        <v>320</v>
      </c>
      <c r="AY162" s="328">
        <f t="shared" ref="AY162:AY171" si="250">AZ162-SUM(AV162:AX162)</f>
        <v>331</v>
      </c>
      <c r="AZ162" s="326">
        <v>1236</v>
      </c>
      <c r="BA162" s="328">
        <v>295</v>
      </c>
      <c r="BB162" s="328">
        <f>611-BA162</f>
        <v>316</v>
      </c>
      <c r="BC162" s="328">
        <f>934-BB162-BA162</f>
        <v>323</v>
      </c>
      <c r="BD162" s="328">
        <f t="shared" ref="BD162:BD171" si="251">BE162-SUM(BA162:BC162)</f>
        <v>509</v>
      </c>
      <c r="BE162" s="326">
        <v>1443</v>
      </c>
      <c r="BF162" s="328">
        <v>486</v>
      </c>
      <c r="BG162" s="328">
        <f>957-BF162</f>
        <v>471</v>
      </c>
      <c r="BH162" s="328">
        <f>1423-BG162-BF162</f>
        <v>466</v>
      </c>
      <c r="BI162" s="328">
        <f t="shared" ref="BI162:BI171" si="252">BJ162-SUM(BF162:BH162)</f>
        <v>531</v>
      </c>
      <c r="BJ162" s="592">
        <v>1954</v>
      </c>
      <c r="BK162" s="591">
        <v>447</v>
      </c>
      <c r="BL162" s="591">
        <f>955-BK162</f>
        <v>508</v>
      </c>
      <c r="BM162" s="591">
        <f>1469-BL162-BK162</f>
        <v>514</v>
      </c>
      <c r="BN162" s="591">
        <f t="shared" ref="BN162:BN171" si="253">BO162-SUM(BK162:BM162)</f>
        <v>513</v>
      </c>
      <c r="BO162" s="592">
        <v>1982</v>
      </c>
      <c r="BP162" s="591">
        <v>473</v>
      </c>
      <c r="BQ162" s="591">
        <f>947-BP162</f>
        <v>474</v>
      </c>
      <c r="BR162" s="591">
        <f>1444-BQ162-BP162</f>
        <v>497</v>
      </c>
      <c r="BS162" s="591">
        <f t="shared" ref="BS162:BS171" si="254">BT162-SUM(BP162:BR162)</f>
        <v>533</v>
      </c>
      <c r="BT162" s="592">
        <v>1977</v>
      </c>
      <c r="BU162" s="593">
        <v>473</v>
      </c>
      <c r="BV162" s="593">
        <f>967-BU162</f>
        <v>494</v>
      </c>
      <c r="BW162" s="593">
        <f>1477-BV162-BU162</f>
        <v>510</v>
      </c>
      <c r="BX162" s="591">
        <f t="shared" ref="BX162:BX171" si="255">BY162-SUM(BU162:BW162)</f>
        <v>499</v>
      </c>
      <c r="BY162" s="592">
        <v>1976</v>
      </c>
      <c r="BZ162" s="593">
        <v>473</v>
      </c>
      <c r="CA162" s="593">
        <f>961-BZ162</f>
        <v>488</v>
      </c>
      <c r="CB162" s="593">
        <f>1443-CA162-BZ162</f>
        <v>482</v>
      </c>
      <c r="CC162" s="591">
        <f t="shared" ref="CC162:CC167" si="256">CD162-SUM(BZ162:CB162)</f>
        <v>527</v>
      </c>
      <c r="CD162" s="592">
        <v>1970</v>
      </c>
      <c r="CE162" s="591">
        <v>458</v>
      </c>
      <c r="CF162" s="593">
        <v>445</v>
      </c>
      <c r="CG162" s="593">
        <f>1323-CF162-CE162</f>
        <v>420</v>
      </c>
      <c r="CH162" s="591">
        <f t="shared" ref="CH162:CH167" si="257">CI162-SUM(CE162:CG162)</f>
        <v>464</v>
      </c>
      <c r="CI162" s="592">
        <v>1787</v>
      </c>
      <c r="CJ162" s="591">
        <v>328</v>
      </c>
      <c r="CK162" s="591">
        <f>629-CJ162</f>
        <v>301</v>
      </c>
      <c r="CL162" s="591">
        <f>926-CK162-CJ162</f>
        <v>297</v>
      </c>
      <c r="CM162" s="591">
        <f t="shared" ref="CM162:CM167" si="258">CN162-SUM(CJ162:CL162)</f>
        <v>334</v>
      </c>
      <c r="CN162" s="592">
        <v>1260</v>
      </c>
      <c r="CO162" s="591">
        <v>270</v>
      </c>
      <c r="CP162" s="593">
        <f>CP217/4*CO126</f>
        <v>246.3653806689924</v>
      </c>
      <c r="CQ162" s="593">
        <f>CQ217/4*CP126</f>
        <v>282.6212373397409</v>
      </c>
      <c r="CR162" s="593">
        <f>CR217/4*CQ126</f>
        <v>340.28601350928068</v>
      </c>
      <c r="CS162" s="592">
        <f t="shared" si="245"/>
        <v>1139.2726315180139</v>
      </c>
      <c r="CT162" s="593">
        <f>CT217/4*CS126</f>
        <v>287.55861459047134</v>
      </c>
      <c r="CU162" s="593">
        <f>CU217/4*CT126</f>
        <v>272.75838156859692</v>
      </c>
      <c r="CV162" s="593">
        <f>CV217/4*CU126</f>
        <v>305.62738660947838</v>
      </c>
      <c r="CW162" s="593">
        <f>CW217/4*CV126</f>
        <v>360.43963945418386</v>
      </c>
      <c r="CX162" s="592">
        <f t="shared" si="246"/>
        <v>1226.3840222227304</v>
      </c>
      <c r="CY162" s="593">
        <f>CY217/4*CX126</f>
        <v>299.27696631322476</v>
      </c>
      <c r="CZ162" s="593">
        <f>CZ217/4*CY126</f>
        <v>283.8711770626021</v>
      </c>
      <c r="DA162" s="593">
        <f>DA217/4*CZ126</f>
        <v>318.07234560493123</v>
      </c>
      <c r="DB162" s="593">
        <f>DB217/4*DA126</f>
        <v>375.12278869819488</v>
      </c>
      <c r="DC162" s="592">
        <f t="shared" si="247"/>
        <v>1276.343277678953</v>
      </c>
      <c r="DD162" s="593">
        <f>DD217/4*DC126</f>
        <v>311.50900354080017</v>
      </c>
      <c r="DE162" s="593">
        <f>DE217/4*DD126</f>
        <v>295.41134151106928</v>
      </c>
      <c r="DF162" s="593">
        <f>DF217/4*DE126</f>
        <v>330.93891674684983</v>
      </c>
      <c r="DG162" s="593">
        <f>DG217/4*DF126</f>
        <v>390.2446831448176</v>
      </c>
      <c r="DH162" s="592">
        <f t="shared" si="248"/>
        <v>1328.1039449435368</v>
      </c>
      <c r="DI162" s="593">
        <f>DI217/4*DH126</f>
        <v>324.04514117949458</v>
      </c>
      <c r="DJ162" s="593">
        <f>DJ217/4*DI126</f>
        <v>307.22035397740819</v>
      </c>
      <c r="DK162" s="593">
        <f>DK217/4*DJ126</f>
        <v>344.08860612437906</v>
      </c>
      <c r="DL162" s="593">
        <f>DL217/4*DK126</f>
        <v>405.67909246165954</v>
      </c>
      <c r="DM162" s="592">
        <f t="shared" si="249"/>
        <v>1381.0331937429414</v>
      </c>
      <c r="DN162" s="207"/>
    </row>
    <row r="163" spans="1:118" ht="15" x14ac:dyDescent="0.2">
      <c r="A163" s="18" t="s">
        <v>80</v>
      </c>
      <c r="C163" s="328"/>
      <c r="D163" s="328"/>
      <c r="E163" s="328"/>
      <c r="F163" s="328"/>
      <c r="G163" s="326"/>
      <c r="H163" s="328">
        <v>0</v>
      </c>
      <c r="I163" s="328">
        <v>0</v>
      </c>
      <c r="J163" s="328">
        <v>0</v>
      </c>
      <c r="K163" s="328">
        <v>41</v>
      </c>
      <c r="L163" s="326">
        <v>41</v>
      </c>
      <c r="M163" s="328">
        <v>109</v>
      </c>
      <c r="N163" s="328">
        <v>108</v>
      </c>
      <c r="O163" s="328">
        <v>94</v>
      </c>
      <c r="P163" s="328">
        <v>54</v>
      </c>
      <c r="Q163" s="326">
        <v>365</v>
      </c>
      <c r="R163" s="328">
        <v>116</v>
      </c>
      <c r="S163" s="328">
        <v>106</v>
      </c>
      <c r="T163" s="328">
        <v>107</v>
      </c>
      <c r="U163" s="328">
        <v>93</v>
      </c>
      <c r="V163" s="326">
        <v>422</v>
      </c>
      <c r="W163" s="328">
        <v>101</v>
      </c>
      <c r="X163" s="328">
        <v>88</v>
      </c>
      <c r="Y163" s="328">
        <v>82</v>
      </c>
      <c r="Z163" s="328">
        <v>74</v>
      </c>
      <c r="AA163" s="326">
        <v>345</v>
      </c>
      <c r="AB163" s="328">
        <v>135</v>
      </c>
      <c r="AC163" s="328">
        <v>80</v>
      </c>
      <c r="AD163" s="328">
        <v>53</v>
      </c>
      <c r="AE163" s="328">
        <v>56</v>
      </c>
      <c r="AF163" s="326">
        <v>324</v>
      </c>
      <c r="AG163" s="328">
        <v>85</v>
      </c>
      <c r="AH163" s="328">
        <v>73</v>
      </c>
      <c r="AI163" s="328">
        <v>79</v>
      </c>
      <c r="AJ163" s="328">
        <v>87</v>
      </c>
      <c r="AK163" s="326">
        <v>324</v>
      </c>
      <c r="AL163" s="328">
        <v>76</v>
      </c>
      <c r="AM163" s="328">
        <v>79</v>
      </c>
      <c r="AN163" s="328">
        <v>86</v>
      </c>
      <c r="AO163" s="328">
        <v>72</v>
      </c>
      <c r="AP163" s="326">
        <v>313</v>
      </c>
      <c r="AQ163" s="328">
        <v>75</v>
      </c>
      <c r="AR163" s="328">
        <v>77</v>
      </c>
      <c r="AS163" s="328">
        <v>71</v>
      </c>
      <c r="AT163" s="328">
        <v>43</v>
      </c>
      <c r="AU163" s="326">
        <v>266</v>
      </c>
      <c r="AV163" s="328">
        <v>53</v>
      </c>
      <c r="AW163" s="328">
        <f>107-AV163</f>
        <v>54</v>
      </c>
      <c r="AX163" s="328">
        <f>142-AW163-AV163</f>
        <v>35</v>
      </c>
      <c r="AY163" s="328">
        <f t="shared" si="250"/>
        <v>99</v>
      </c>
      <c r="AZ163" s="326">
        <v>241</v>
      </c>
      <c r="BA163" s="328">
        <v>53</v>
      </c>
      <c r="BB163" s="328">
        <f>114-BA163</f>
        <v>61</v>
      </c>
      <c r="BC163" s="328">
        <f>185-BB163-BA163</f>
        <v>71</v>
      </c>
      <c r="BD163" s="328">
        <f t="shared" si="251"/>
        <v>195</v>
      </c>
      <c r="BE163" s="326">
        <v>380</v>
      </c>
      <c r="BF163" s="328">
        <v>76</v>
      </c>
      <c r="BG163" s="328">
        <f>181-BF163</f>
        <v>105</v>
      </c>
      <c r="BH163" s="328">
        <f>268-BG163-BF163</f>
        <v>87</v>
      </c>
      <c r="BI163" s="328">
        <f t="shared" si="252"/>
        <v>86</v>
      </c>
      <c r="BJ163" s="592">
        <v>354</v>
      </c>
      <c r="BK163" s="591">
        <v>77</v>
      </c>
      <c r="BL163" s="591">
        <f>166-BK163</f>
        <v>89</v>
      </c>
      <c r="BM163" s="591">
        <f>254-BL163-BK163</f>
        <v>88</v>
      </c>
      <c r="BN163" s="591">
        <f t="shared" si="253"/>
        <v>5</v>
      </c>
      <c r="BO163" s="592">
        <v>259</v>
      </c>
      <c r="BP163" s="591">
        <v>47</v>
      </c>
      <c r="BQ163" s="591">
        <f>92-BP163</f>
        <v>45</v>
      </c>
      <c r="BR163" s="591">
        <f>155-BQ163-BP163</f>
        <v>63</v>
      </c>
      <c r="BS163" s="591">
        <f t="shared" si="254"/>
        <v>72</v>
      </c>
      <c r="BT163" s="592">
        <v>227</v>
      </c>
      <c r="BU163" s="593">
        <v>39</v>
      </c>
      <c r="BV163" s="593">
        <f>112-BU163</f>
        <v>73</v>
      </c>
      <c r="BW163" s="593">
        <f>143-BV163-BU163</f>
        <v>31</v>
      </c>
      <c r="BX163" s="591">
        <f t="shared" si="255"/>
        <v>66</v>
      </c>
      <c r="BY163" s="592">
        <v>209</v>
      </c>
      <c r="BZ163" s="593">
        <v>60</v>
      </c>
      <c r="CA163" s="593">
        <f>117-BZ163</f>
        <v>57</v>
      </c>
      <c r="CB163" s="593">
        <f>171-CA163-BZ163</f>
        <v>54</v>
      </c>
      <c r="CC163" s="591">
        <f t="shared" si="256"/>
        <v>65</v>
      </c>
      <c r="CD163" s="592">
        <v>236</v>
      </c>
      <c r="CE163" s="591">
        <v>69</v>
      </c>
      <c r="CF163" s="593">
        <v>50</v>
      </c>
      <c r="CG163" s="812">
        <f>191-CF163-CE163</f>
        <v>72</v>
      </c>
      <c r="CH163" s="591">
        <f t="shared" si="257"/>
        <v>67</v>
      </c>
      <c r="CI163" s="592">
        <v>258</v>
      </c>
      <c r="CJ163" s="591">
        <v>55</v>
      </c>
      <c r="CK163" s="591">
        <f>114-CJ163</f>
        <v>59</v>
      </c>
      <c r="CL163" s="591">
        <f>167-CK163-CJ163</f>
        <v>53</v>
      </c>
      <c r="CM163" s="591">
        <f t="shared" si="258"/>
        <v>52</v>
      </c>
      <c r="CN163" s="592">
        <v>219</v>
      </c>
      <c r="CO163" s="591">
        <v>72</v>
      </c>
      <c r="CP163" s="594">
        <f>CK163*1.02</f>
        <v>60.18</v>
      </c>
      <c r="CQ163" s="594">
        <f>CL163*1.02</f>
        <v>54.06</v>
      </c>
      <c r="CR163" s="594">
        <f>CM163*1.02</f>
        <v>53.04</v>
      </c>
      <c r="CS163" s="592">
        <f t="shared" si="245"/>
        <v>239.28</v>
      </c>
      <c r="CT163" s="594">
        <f>CO163*1.035</f>
        <v>74.52</v>
      </c>
      <c r="CU163" s="594">
        <f>CP163*1.035</f>
        <v>62.286299999999997</v>
      </c>
      <c r="CV163" s="594">
        <f>CQ163*1.035</f>
        <v>55.952100000000002</v>
      </c>
      <c r="CW163" s="594">
        <f>CR163*1.035</f>
        <v>54.896399999999993</v>
      </c>
      <c r="CX163" s="592">
        <f t="shared" si="246"/>
        <v>247.65479999999999</v>
      </c>
      <c r="CY163" s="594">
        <f>CT163*1.035</f>
        <v>77.128199999999993</v>
      </c>
      <c r="CZ163" s="594">
        <f>CU163*1.035</f>
        <v>64.466320499999995</v>
      </c>
      <c r="DA163" s="594">
        <f>CV163*1.035</f>
        <v>57.9104235</v>
      </c>
      <c r="DB163" s="594">
        <f>CW163*1.035</f>
        <v>56.817773999999986</v>
      </c>
      <c r="DC163" s="592">
        <f t="shared" si="247"/>
        <v>256.32271800000001</v>
      </c>
      <c r="DD163" s="594">
        <f>CY163*1.035</f>
        <v>79.827686999999983</v>
      </c>
      <c r="DE163" s="594">
        <f>CZ163*1.035</f>
        <v>66.722641717499982</v>
      </c>
      <c r="DF163" s="594">
        <f>DA163*1.035</f>
        <v>59.937288322499995</v>
      </c>
      <c r="DG163" s="594">
        <f>DB163*1.035</f>
        <v>58.806396089999978</v>
      </c>
      <c r="DH163" s="592">
        <f t="shared" si="248"/>
        <v>265.29401312999994</v>
      </c>
      <c r="DI163" s="594">
        <f>DD163*1.035</f>
        <v>82.62165604499998</v>
      </c>
      <c r="DJ163" s="594">
        <f>DE163*1.035</f>
        <v>69.057934177612481</v>
      </c>
      <c r="DK163" s="594">
        <f>DF163*1.035</f>
        <v>62.035093413787493</v>
      </c>
      <c r="DL163" s="594">
        <f>DG163*1.035</f>
        <v>60.864619953149976</v>
      </c>
      <c r="DM163" s="592">
        <f t="shared" si="249"/>
        <v>274.57930358954997</v>
      </c>
      <c r="DN163" s="207"/>
    </row>
    <row r="164" spans="1:118" ht="15" x14ac:dyDescent="0.2">
      <c r="A164" s="18" t="s">
        <v>69</v>
      </c>
      <c r="B164" s="207"/>
      <c r="C164" s="328">
        <v>-54</v>
      </c>
      <c r="D164" s="328">
        <v>-21</v>
      </c>
      <c r="E164" s="328">
        <v>32</v>
      </c>
      <c r="F164" s="328">
        <v>46</v>
      </c>
      <c r="G164" s="326"/>
      <c r="H164" s="328">
        <v>-46</v>
      </c>
      <c r="I164" s="328">
        <v>-38</v>
      </c>
      <c r="J164" s="328">
        <v>39</v>
      </c>
      <c r="K164" s="328">
        <v>101</v>
      </c>
      <c r="L164" s="326">
        <v>56</v>
      </c>
      <c r="M164" s="328">
        <v>-62</v>
      </c>
      <c r="N164" s="328">
        <v>-134</v>
      </c>
      <c r="O164" s="328">
        <v>65</v>
      </c>
      <c r="P164" s="328">
        <v>171</v>
      </c>
      <c r="Q164" s="326">
        <v>40</v>
      </c>
      <c r="R164" s="328">
        <v>-103</v>
      </c>
      <c r="S164" s="328">
        <v>-116</v>
      </c>
      <c r="T164" s="328">
        <v>150</v>
      </c>
      <c r="U164" s="328">
        <v>-119</v>
      </c>
      <c r="V164" s="326">
        <v>-188</v>
      </c>
      <c r="W164" s="328">
        <v>-47</v>
      </c>
      <c r="X164" s="328">
        <v>-10</v>
      </c>
      <c r="Y164" s="328">
        <v>13</v>
      </c>
      <c r="Z164" s="328">
        <v>206</v>
      </c>
      <c r="AA164" s="326">
        <v>162</v>
      </c>
      <c r="AB164" s="328">
        <v>-5</v>
      </c>
      <c r="AC164" s="328">
        <v>46</v>
      </c>
      <c r="AD164" s="328">
        <v>-115</v>
      </c>
      <c r="AE164" s="328">
        <v>-14</v>
      </c>
      <c r="AF164" s="326">
        <v>-88</v>
      </c>
      <c r="AG164" s="328">
        <v>-28</v>
      </c>
      <c r="AH164" s="328">
        <v>39</v>
      </c>
      <c r="AI164" s="328">
        <v>-43</v>
      </c>
      <c r="AJ164" s="328">
        <v>-3</v>
      </c>
      <c r="AK164" s="326">
        <v>-35</v>
      </c>
      <c r="AL164" s="328">
        <v>-95</v>
      </c>
      <c r="AM164" s="328">
        <v>51</v>
      </c>
      <c r="AN164" s="328">
        <v>-23</v>
      </c>
      <c r="AO164" s="328">
        <v>176</v>
      </c>
      <c r="AP164" s="326">
        <v>109</v>
      </c>
      <c r="AQ164" s="328">
        <v>-8</v>
      </c>
      <c r="AR164" s="328">
        <v>-214</v>
      </c>
      <c r="AS164" s="328">
        <v>1</v>
      </c>
      <c r="AT164" s="328">
        <v>-139</v>
      </c>
      <c r="AU164" s="326">
        <v>-360</v>
      </c>
      <c r="AV164" s="328">
        <v>-20</v>
      </c>
      <c r="AW164" s="328">
        <f>-83-AV164</f>
        <v>-63</v>
      </c>
      <c r="AX164" s="328">
        <f>26-AW164-AV164</f>
        <v>109</v>
      </c>
      <c r="AY164" s="328">
        <f t="shared" si="250"/>
        <v>327</v>
      </c>
      <c r="AZ164" s="326">
        <v>353</v>
      </c>
      <c r="BA164" s="328">
        <v>34</v>
      </c>
      <c r="BB164" s="328">
        <f>33-BA164</f>
        <v>-1</v>
      </c>
      <c r="BC164" s="328">
        <f>46-BB164-BA164</f>
        <v>13</v>
      </c>
      <c r="BD164" s="328">
        <f t="shared" si="251"/>
        <v>571</v>
      </c>
      <c r="BE164" s="326">
        <v>617</v>
      </c>
      <c r="BF164" s="328">
        <v>-26</v>
      </c>
      <c r="BG164" s="328">
        <f>178-BF164</f>
        <v>204</v>
      </c>
      <c r="BH164" s="328">
        <f>194-BG164-BF164</f>
        <v>16</v>
      </c>
      <c r="BI164" s="328">
        <f t="shared" si="252"/>
        <v>834</v>
      </c>
      <c r="BJ164" s="592">
        <v>1028</v>
      </c>
      <c r="BK164" s="591">
        <v>-103</v>
      </c>
      <c r="BL164" s="591">
        <f>53-BK164</f>
        <v>156</v>
      </c>
      <c r="BM164" s="591">
        <f>156-BL164-BK164</f>
        <v>103</v>
      </c>
      <c r="BN164" s="591">
        <f t="shared" si="253"/>
        <v>476</v>
      </c>
      <c r="BO164" s="592">
        <v>632</v>
      </c>
      <c r="BP164" s="591">
        <v>157</v>
      </c>
      <c r="BQ164" s="591">
        <f>100-BP164</f>
        <v>-57</v>
      </c>
      <c r="BR164" s="591">
        <f>179-BQ164-BP164</f>
        <v>79</v>
      </c>
      <c r="BS164" s="591">
        <f t="shared" si="254"/>
        <v>469</v>
      </c>
      <c r="BT164" s="592">
        <v>648</v>
      </c>
      <c r="BU164" s="593">
        <v>13</v>
      </c>
      <c r="BV164" s="593">
        <f>+-67-BU164</f>
        <v>-80</v>
      </c>
      <c r="BW164" s="593">
        <f>-179-BV164-BU164</f>
        <v>-112</v>
      </c>
      <c r="BX164" s="591">
        <f t="shared" si="255"/>
        <v>139</v>
      </c>
      <c r="BY164" s="592">
        <v>-40</v>
      </c>
      <c r="BZ164" s="593">
        <v>8</v>
      </c>
      <c r="CA164" s="593">
        <f>643-BZ164</f>
        <v>635</v>
      </c>
      <c r="CB164" s="593">
        <f>212-CA164-BZ164</f>
        <v>-431</v>
      </c>
      <c r="CC164" s="591">
        <f t="shared" si="256"/>
        <v>-139</v>
      </c>
      <c r="CD164" s="592">
        <v>73</v>
      </c>
      <c r="CE164" s="591">
        <v>-81</v>
      </c>
      <c r="CF164" s="593">
        <v>-97</v>
      </c>
      <c r="CG164" s="812">
        <f>-98-CF164-CE164</f>
        <v>80</v>
      </c>
      <c r="CH164" s="591">
        <f t="shared" si="257"/>
        <v>-758</v>
      </c>
      <c r="CI164" s="592">
        <v>-856</v>
      </c>
      <c r="CJ164" s="591">
        <v>-34</v>
      </c>
      <c r="CK164" s="591">
        <f>620-CJ164</f>
        <v>654</v>
      </c>
      <c r="CL164" s="591">
        <f>606-CK164-CJ164</f>
        <v>-14</v>
      </c>
      <c r="CM164" s="591">
        <f t="shared" si="258"/>
        <v>-1862</v>
      </c>
      <c r="CN164" s="592">
        <v>-1256</v>
      </c>
      <c r="CO164" s="591">
        <v>-199</v>
      </c>
      <c r="CP164" s="593">
        <f>CP142-CO142</f>
        <v>337.52948553578926</v>
      </c>
      <c r="CQ164" s="593">
        <f>CQ142-CP142</f>
        <v>-132.56791214782334</v>
      </c>
      <c r="CR164" s="593">
        <f>CR142-CQ142</f>
        <v>-46.239314433069922</v>
      </c>
      <c r="CS164" s="592">
        <f t="shared" si="245"/>
        <v>-40.277741045103994</v>
      </c>
      <c r="CT164" s="593">
        <f>CT142-CS142</f>
        <v>-73.044159706512346</v>
      </c>
      <c r="CU164" s="593">
        <f>CU142-CT142</f>
        <v>358.96511492681429</v>
      </c>
      <c r="CV164" s="593">
        <f>CV142-CU142</f>
        <v>-135.33735674604668</v>
      </c>
      <c r="CW164" s="593">
        <f>CW142-CV142</f>
        <v>-42.785871238113486</v>
      </c>
      <c r="CX164" s="592">
        <f t="shared" si="246"/>
        <v>107.79772723614178</v>
      </c>
      <c r="CY164" s="593">
        <f>CY142-CX142</f>
        <v>-83.545435700486451</v>
      </c>
      <c r="CZ164" s="593">
        <f>CZ142-CY142</f>
        <v>372.51892368486915</v>
      </c>
      <c r="DA164" s="593">
        <f>DA142-CZ142</f>
        <v>-138.18356231826056</v>
      </c>
      <c r="DB164" s="593">
        <f>DB142-DA142</f>
        <v>-39.186737487917981</v>
      </c>
      <c r="DC164" s="592">
        <f t="shared" si="247"/>
        <v>111.60318817820416</v>
      </c>
      <c r="DD164" s="593">
        <f>DD142-DC142</f>
        <v>-105.72313821891748</v>
      </c>
      <c r="DE164" s="593">
        <f>DE142-DD142</f>
        <v>385.63370454755113</v>
      </c>
      <c r="DF164" s="593">
        <f>DF142-DE142</f>
        <v>-140.15186315759183</v>
      </c>
      <c r="DG164" s="593">
        <f>DG142-DF142</f>
        <v>-34.657126026301739</v>
      </c>
      <c r="DH164" s="592">
        <f t="shared" si="248"/>
        <v>105.10157714474008</v>
      </c>
      <c r="DI164" s="593">
        <f>DI142-DH142</f>
        <v>-122.84127414628938</v>
      </c>
      <c r="DJ164" s="593">
        <f>DJ142-DI142</f>
        <v>398.91024426594004</v>
      </c>
      <c r="DK164" s="593">
        <f>DK142-DJ142</f>
        <v>-142.44968611589684</v>
      </c>
      <c r="DL164" s="593">
        <f>DL142-DK142</f>
        <v>-31.052080397845657</v>
      </c>
      <c r="DM164" s="592">
        <f t="shared" si="249"/>
        <v>102.56720360590816</v>
      </c>
      <c r="DN164" s="207"/>
    </row>
    <row r="165" spans="1:118" ht="15" x14ac:dyDescent="0.2">
      <c r="A165" s="18" t="s">
        <v>339</v>
      </c>
      <c r="B165" s="207"/>
      <c r="C165" s="328">
        <v>87</v>
      </c>
      <c r="D165" s="328">
        <v>-19</v>
      </c>
      <c r="E165" s="328">
        <v>-40</v>
      </c>
      <c r="F165" s="328">
        <v>352</v>
      </c>
      <c r="G165" s="326"/>
      <c r="H165" s="328">
        <v>53</v>
      </c>
      <c r="I165" s="328">
        <v>-49</v>
      </c>
      <c r="J165" s="328">
        <v>-87</v>
      </c>
      <c r="K165" s="328">
        <v>29</v>
      </c>
      <c r="L165" s="326">
        <v>-54</v>
      </c>
      <c r="M165" s="328">
        <v>-57</v>
      </c>
      <c r="N165" s="328">
        <v>-116</v>
      </c>
      <c r="O165" s="328">
        <v>-79</v>
      </c>
      <c r="P165" s="328">
        <v>-4</v>
      </c>
      <c r="Q165" s="326">
        <v>-256</v>
      </c>
      <c r="R165" s="328">
        <v>-35</v>
      </c>
      <c r="S165" s="328">
        <v>-134</v>
      </c>
      <c r="T165" s="328">
        <v>-77</v>
      </c>
      <c r="U165" s="328">
        <v>-48</v>
      </c>
      <c r="V165" s="326">
        <v>-294</v>
      </c>
      <c r="W165" s="328">
        <v>-53</v>
      </c>
      <c r="X165" s="328">
        <v>-172</v>
      </c>
      <c r="Y165" s="328">
        <v>-134</v>
      </c>
      <c r="Z165" s="328">
        <v>-117</v>
      </c>
      <c r="AA165" s="326">
        <v>-476</v>
      </c>
      <c r="AB165" s="328">
        <v>-35</v>
      </c>
      <c r="AC165" s="328">
        <v>-176</v>
      </c>
      <c r="AD165" s="328">
        <v>-164</v>
      </c>
      <c r="AE165" s="328">
        <v>-71</v>
      </c>
      <c r="AF165" s="326">
        <v>-446</v>
      </c>
      <c r="AG165" s="328">
        <v>-74</v>
      </c>
      <c r="AH165" s="328">
        <v>-132</v>
      </c>
      <c r="AI165" s="328">
        <v>-214</v>
      </c>
      <c r="AJ165" s="328">
        <v>544</v>
      </c>
      <c r="AK165" s="326">
        <v>124</v>
      </c>
      <c r="AL165" s="328">
        <v>-1</v>
      </c>
      <c r="AM165" s="328">
        <v>-81</v>
      </c>
      <c r="AN165" s="328">
        <v>-249</v>
      </c>
      <c r="AO165" s="328">
        <v>-121</v>
      </c>
      <c r="AP165" s="326">
        <v>-452</v>
      </c>
      <c r="AQ165" s="328">
        <v>-122</v>
      </c>
      <c r="AR165" s="328">
        <v>978</v>
      </c>
      <c r="AS165" s="328">
        <v>-218</v>
      </c>
      <c r="AT165" s="328">
        <v>490</v>
      </c>
      <c r="AU165" s="326">
        <v>1128</v>
      </c>
      <c r="AV165" s="328">
        <v>-3</v>
      </c>
      <c r="AW165" s="328">
        <f>-191-AV165</f>
        <v>-188</v>
      </c>
      <c r="AX165" s="328">
        <f>-428-AW165-AV165</f>
        <v>-237</v>
      </c>
      <c r="AY165" s="328">
        <f t="shared" si="250"/>
        <v>69</v>
      </c>
      <c r="AZ165" s="326">
        <v>-359</v>
      </c>
      <c r="BA165" s="328">
        <v>-118</v>
      </c>
      <c r="BB165" s="328">
        <f>-246-BA165</f>
        <v>-128</v>
      </c>
      <c r="BC165" s="328">
        <f>-567-BB165-BA165</f>
        <v>-321</v>
      </c>
      <c r="BD165" s="328">
        <f t="shared" si="251"/>
        <v>-104</v>
      </c>
      <c r="BE165" s="326">
        <v>-671</v>
      </c>
      <c r="BF165" s="328">
        <v>-92</v>
      </c>
      <c r="BG165" s="328">
        <f>-26-BF165</f>
        <v>66</v>
      </c>
      <c r="BH165" s="328">
        <f>-172-BG165-BF165</f>
        <v>-146</v>
      </c>
      <c r="BI165" s="328">
        <f t="shared" si="252"/>
        <v>-97</v>
      </c>
      <c r="BJ165" s="592">
        <v>-269</v>
      </c>
      <c r="BK165" s="591">
        <v>-133</v>
      </c>
      <c r="BL165" s="591">
        <f>-143-BK165</f>
        <v>-10</v>
      </c>
      <c r="BM165" s="591">
        <f>-338-BL165-BK165</f>
        <v>-195</v>
      </c>
      <c r="BN165" s="591">
        <f t="shared" si="253"/>
        <v>-88</v>
      </c>
      <c r="BO165" s="592">
        <v>-426</v>
      </c>
      <c r="BP165" s="591">
        <v>-77</v>
      </c>
      <c r="BQ165" s="591">
        <f>-132-BP165</f>
        <v>-55</v>
      </c>
      <c r="BR165" s="591">
        <f>-270-BQ165-BP165</f>
        <v>-138</v>
      </c>
      <c r="BS165" s="591">
        <f t="shared" si="254"/>
        <v>69</v>
      </c>
      <c r="BT165" s="592">
        <v>-201</v>
      </c>
      <c r="BU165" s="593">
        <v>-65</v>
      </c>
      <c r="BV165" s="593">
        <f>+-124-BU165</f>
        <v>-59</v>
      </c>
      <c r="BW165" s="593">
        <f>-259-BV165-BU165</f>
        <v>-135</v>
      </c>
      <c r="BX165" s="591">
        <f t="shared" si="255"/>
        <v>-112</v>
      </c>
      <c r="BY165" s="592">
        <v>-371</v>
      </c>
      <c r="BZ165" s="593">
        <v>8</v>
      </c>
      <c r="CA165" s="593">
        <f>+-44-BZ165</f>
        <v>-52</v>
      </c>
      <c r="CB165" s="593">
        <f>-150-CA165-BZ165</f>
        <v>-106</v>
      </c>
      <c r="CC165" s="591">
        <f t="shared" si="256"/>
        <v>28</v>
      </c>
      <c r="CD165" s="592">
        <v>-122</v>
      </c>
      <c r="CE165" s="591">
        <v>-79</v>
      </c>
      <c r="CF165" s="593">
        <v>-145</v>
      </c>
      <c r="CG165" s="812">
        <f>-417-CF165-CE165</f>
        <v>-193</v>
      </c>
      <c r="CH165" s="591">
        <f t="shared" si="257"/>
        <v>-32</v>
      </c>
      <c r="CI165" s="592">
        <v>-449</v>
      </c>
      <c r="CJ165" s="591">
        <v>-89</v>
      </c>
      <c r="CK165" s="591">
        <f>-303-CJ165</f>
        <v>-214</v>
      </c>
      <c r="CL165" s="591">
        <f>-559-CK165-CJ165</f>
        <v>-256</v>
      </c>
      <c r="CM165" s="591">
        <f t="shared" si="258"/>
        <v>-69</v>
      </c>
      <c r="CN165" s="592">
        <v>-628</v>
      </c>
      <c r="CO165" s="591">
        <v>-43</v>
      </c>
      <c r="CP165" s="593">
        <f>(CO123-CP123)</f>
        <v>0</v>
      </c>
      <c r="CQ165" s="593">
        <f>(CP123-CQ123)</f>
        <v>0</v>
      </c>
      <c r="CR165" s="593">
        <f>(CQ123-CR123)</f>
        <v>0</v>
      </c>
      <c r="CS165" s="592">
        <f t="shared" si="245"/>
        <v>-43</v>
      </c>
      <c r="CT165" s="593">
        <f>(CS123-CT123)</f>
        <v>0</v>
      </c>
      <c r="CU165" s="593">
        <f>(CT123-CU123)</f>
        <v>0</v>
      </c>
      <c r="CV165" s="593">
        <f>(CU123-CV123)</f>
        <v>0</v>
      </c>
      <c r="CW165" s="593">
        <f>(CV123-CW123)</f>
        <v>0</v>
      </c>
      <c r="CX165" s="592">
        <f t="shared" si="246"/>
        <v>0</v>
      </c>
      <c r="CY165" s="593">
        <f>(CX123-CY123)</f>
        <v>0</v>
      </c>
      <c r="CZ165" s="593">
        <f>(CY123-CZ123)</f>
        <v>0</v>
      </c>
      <c r="DA165" s="593">
        <f>(CZ123-DA123)</f>
        <v>0</v>
      </c>
      <c r="DB165" s="593">
        <f>(DA123-DB123)</f>
        <v>0</v>
      </c>
      <c r="DC165" s="592">
        <f t="shared" si="247"/>
        <v>0</v>
      </c>
      <c r="DD165" s="593">
        <f>(DC123-DD123)</f>
        <v>0</v>
      </c>
      <c r="DE165" s="593">
        <f>(DD123-DE123)</f>
        <v>0</v>
      </c>
      <c r="DF165" s="593">
        <f>(DE123-DF123)</f>
        <v>0</v>
      </c>
      <c r="DG165" s="593">
        <f>(DF123-DG123)</f>
        <v>0</v>
      </c>
      <c r="DH165" s="592">
        <f t="shared" si="248"/>
        <v>0</v>
      </c>
      <c r="DI165" s="593">
        <f>(DH123-DI123)</f>
        <v>0</v>
      </c>
      <c r="DJ165" s="593">
        <f>(DI123-DJ123)</f>
        <v>0</v>
      </c>
      <c r="DK165" s="593">
        <f>(DJ123-DK123)</f>
        <v>0</v>
      </c>
      <c r="DL165" s="593">
        <f>(DK123-DL123)</f>
        <v>0</v>
      </c>
      <c r="DM165" s="592">
        <f t="shared" si="249"/>
        <v>0</v>
      </c>
      <c r="DN165" s="207"/>
    </row>
    <row r="166" spans="1:118" ht="15" x14ac:dyDescent="0.2">
      <c r="A166" s="18" t="s">
        <v>330</v>
      </c>
      <c r="B166" s="207"/>
      <c r="C166" s="328">
        <v>70</v>
      </c>
      <c r="D166" s="328">
        <v>-13</v>
      </c>
      <c r="E166" s="328">
        <v>53</v>
      </c>
      <c r="F166" s="328">
        <v>86</v>
      </c>
      <c r="G166" s="326"/>
      <c r="H166" s="328">
        <v>-57</v>
      </c>
      <c r="I166" s="328">
        <v>64</v>
      </c>
      <c r="J166" s="328">
        <v>-54</v>
      </c>
      <c r="K166" s="328">
        <v>-13</v>
      </c>
      <c r="L166" s="326">
        <v>-60</v>
      </c>
      <c r="M166" s="328">
        <v>56</v>
      </c>
      <c r="N166" s="328">
        <v>-40</v>
      </c>
      <c r="O166" s="328">
        <v>-28</v>
      </c>
      <c r="P166" s="328">
        <v>-64</v>
      </c>
      <c r="Q166" s="326">
        <v>-76</v>
      </c>
      <c r="R166" s="328">
        <v>-58</v>
      </c>
      <c r="S166" s="328">
        <v>-50</v>
      </c>
      <c r="T166" s="328">
        <v>-13</v>
      </c>
      <c r="U166" s="328">
        <v>42</v>
      </c>
      <c r="V166" s="326">
        <v>-79</v>
      </c>
      <c r="W166" s="328">
        <v>2</v>
      </c>
      <c r="X166" s="328">
        <v>-6</v>
      </c>
      <c r="Y166" s="328">
        <v>-31</v>
      </c>
      <c r="Z166" s="328">
        <v>-24</v>
      </c>
      <c r="AA166" s="326">
        <v>-59</v>
      </c>
      <c r="AB166" s="328">
        <v>73</v>
      </c>
      <c r="AC166" s="328">
        <v>-47</v>
      </c>
      <c r="AD166" s="328">
        <v>67</v>
      </c>
      <c r="AE166" s="328">
        <v>-46</v>
      </c>
      <c r="AF166" s="326">
        <v>47</v>
      </c>
      <c r="AG166" s="328">
        <v>48</v>
      </c>
      <c r="AH166" s="328">
        <v>-30</v>
      </c>
      <c r="AI166" s="328">
        <v>29</v>
      </c>
      <c r="AJ166" s="328">
        <v>5</v>
      </c>
      <c r="AK166" s="326">
        <v>52</v>
      </c>
      <c r="AL166" s="328">
        <v>-2</v>
      </c>
      <c r="AM166" s="328">
        <v>-23</v>
      </c>
      <c r="AN166" s="328">
        <v>31</v>
      </c>
      <c r="AO166" s="328">
        <v>3</v>
      </c>
      <c r="AP166" s="326">
        <v>9</v>
      </c>
      <c r="AQ166" s="328">
        <v>-18</v>
      </c>
      <c r="AR166" s="328">
        <v>-25</v>
      </c>
      <c r="AS166" s="328">
        <v>4</v>
      </c>
      <c r="AT166" s="328">
        <v>-3</v>
      </c>
      <c r="AU166" s="326">
        <v>-42</v>
      </c>
      <c r="AV166" s="328">
        <v>42</v>
      </c>
      <c r="AW166" s="328">
        <f>1-AV166</f>
        <v>-41</v>
      </c>
      <c r="AX166" s="328">
        <f>15-AW166-AV166</f>
        <v>14</v>
      </c>
      <c r="AY166" s="328">
        <f t="shared" si="250"/>
        <v>46</v>
      </c>
      <c r="AZ166" s="326">
        <v>61</v>
      </c>
      <c r="BA166" s="328">
        <v>93</v>
      </c>
      <c r="BB166" s="328">
        <f>67-BA166</f>
        <v>-26</v>
      </c>
      <c r="BC166" s="328">
        <f>109-BB166-BA166</f>
        <v>42</v>
      </c>
      <c r="BD166" s="328">
        <f t="shared" si="251"/>
        <v>42</v>
      </c>
      <c r="BE166" s="326">
        <v>151</v>
      </c>
      <c r="BF166" s="328">
        <v>17</v>
      </c>
      <c r="BG166" s="328">
        <f>88-BF166</f>
        <v>71</v>
      </c>
      <c r="BH166" s="328">
        <f>35-BG166-BF166</f>
        <v>-53</v>
      </c>
      <c r="BI166" s="328">
        <f t="shared" si="252"/>
        <v>-28</v>
      </c>
      <c r="BJ166" s="592">
        <v>7</v>
      </c>
      <c r="BK166" s="591">
        <v>-66</v>
      </c>
      <c r="BL166" s="591">
        <f>-82-BK166</f>
        <v>-16</v>
      </c>
      <c r="BM166" s="591">
        <f>-106-BL166-BK166</f>
        <v>-24</v>
      </c>
      <c r="BN166" s="591">
        <f t="shared" si="253"/>
        <v>-24</v>
      </c>
      <c r="BO166" s="592">
        <v>-130</v>
      </c>
      <c r="BP166" s="591">
        <v>184</v>
      </c>
      <c r="BQ166" s="591">
        <f>159-BP166</f>
        <v>-25</v>
      </c>
      <c r="BR166" s="591">
        <f>140-BQ166-BP166</f>
        <v>-19</v>
      </c>
      <c r="BS166" s="591">
        <f t="shared" si="254"/>
        <v>28</v>
      </c>
      <c r="BT166" s="592">
        <v>168</v>
      </c>
      <c r="BU166" s="593">
        <v>280</v>
      </c>
      <c r="BV166" s="593">
        <f>260-BU166</f>
        <v>-20</v>
      </c>
      <c r="BW166" s="593">
        <f>305-BV166-BU166</f>
        <v>45</v>
      </c>
      <c r="BX166" s="591">
        <f t="shared" si="255"/>
        <v>110</v>
      </c>
      <c r="BY166" s="592">
        <v>415</v>
      </c>
      <c r="BZ166" s="593">
        <v>-46</v>
      </c>
      <c r="CA166" s="593">
        <f>-144-BZ166</f>
        <v>-98</v>
      </c>
      <c r="CB166" s="593">
        <f>-76-CA166-BZ166</f>
        <v>68</v>
      </c>
      <c r="CC166" s="591">
        <f t="shared" si="256"/>
        <v>-61</v>
      </c>
      <c r="CD166" s="592">
        <v>-137</v>
      </c>
      <c r="CE166" s="591">
        <v>93</v>
      </c>
      <c r="CF166" s="593">
        <v>25</v>
      </c>
      <c r="CG166" s="812">
        <f>193-CF166-CE166</f>
        <v>75</v>
      </c>
      <c r="CH166" s="591">
        <f t="shared" si="257"/>
        <v>-35</v>
      </c>
      <c r="CI166" s="592">
        <v>158</v>
      </c>
      <c r="CJ166" s="591">
        <v>72</v>
      </c>
      <c r="CK166" s="591">
        <f>33-CJ166</f>
        <v>-39</v>
      </c>
      <c r="CL166" s="591">
        <f>322-CK166-CJ166</f>
        <v>289</v>
      </c>
      <c r="CM166" s="591">
        <f t="shared" si="258"/>
        <v>-41</v>
      </c>
      <c r="CN166" s="592">
        <v>281</v>
      </c>
      <c r="CO166" s="591">
        <v>-19</v>
      </c>
      <c r="CP166" s="594">
        <v>0</v>
      </c>
      <c r="CQ166" s="594">
        <v>0</v>
      </c>
      <c r="CR166" s="594">
        <v>0</v>
      </c>
      <c r="CS166" s="592">
        <f t="shared" si="245"/>
        <v>-19</v>
      </c>
      <c r="CT166" s="594">
        <v>0</v>
      </c>
      <c r="CU166" s="594">
        <v>0</v>
      </c>
      <c r="CV166" s="594">
        <v>0</v>
      </c>
      <c r="CW166" s="594">
        <v>0</v>
      </c>
      <c r="CX166" s="592">
        <f t="shared" si="246"/>
        <v>0</v>
      </c>
      <c r="CY166" s="594">
        <v>0</v>
      </c>
      <c r="CZ166" s="594">
        <v>0</v>
      </c>
      <c r="DA166" s="594">
        <v>0</v>
      </c>
      <c r="DB166" s="594">
        <v>0</v>
      </c>
      <c r="DC166" s="592">
        <f t="shared" si="247"/>
        <v>0</v>
      </c>
      <c r="DD166" s="594">
        <v>0</v>
      </c>
      <c r="DE166" s="594">
        <v>0</v>
      </c>
      <c r="DF166" s="594">
        <v>0</v>
      </c>
      <c r="DG166" s="594">
        <v>0</v>
      </c>
      <c r="DH166" s="592">
        <f t="shared" si="248"/>
        <v>0</v>
      </c>
      <c r="DI166" s="594">
        <v>0</v>
      </c>
      <c r="DJ166" s="594">
        <v>0</v>
      </c>
      <c r="DK166" s="594">
        <v>0</v>
      </c>
      <c r="DL166" s="594">
        <v>0</v>
      </c>
      <c r="DM166" s="592">
        <f t="shared" si="249"/>
        <v>0</v>
      </c>
      <c r="DN166" s="207"/>
    </row>
    <row r="167" spans="1:118" ht="15" x14ac:dyDescent="0.2">
      <c r="A167" s="18" t="s">
        <v>331</v>
      </c>
      <c r="B167" s="207"/>
      <c r="C167" s="328"/>
      <c r="D167" s="328"/>
      <c r="E167" s="328"/>
      <c r="F167" s="328">
        <v>-127</v>
      </c>
      <c r="G167" s="326"/>
      <c r="H167" s="328">
        <v>0</v>
      </c>
      <c r="I167" s="328">
        <v>0</v>
      </c>
      <c r="J167" s="328">
        <v>-33</v>
      </c>
      <c r="K167" s="328">
        <v>-52</v>
      </c>
      <c r="L167" s="326">
        <v>-85</v>
      </c>
      <c r="M167" s="328">
        <v>-8</v>
      </c>
      <c r="N167" s="328">
        <v>0</v>
      </c>
      <c r="O167" s="328">
        <v>0</v>
      </c>
      <c r="P167" s="328">
        <v>11</v>
      </c>
      <c r="Q167" s="326">
        <v>3</v>
      </c>
      <c r="R167" s="328">
        <v>-18</v>
      </c>
      <c r="S167" s="328">
        <v>4</v>
      </c>
      <c r="T167" s="328">
        <v>-16</v>
      </c>
      <c r="U167" s="328">
        <v>17</v>
      </c>
      <c r="V167" s="326">
        <v>-13</v>
      </c>
      <c r="W167" s="328">
        <v>-5</v>
      </c>
      <c r="X167" s="328">
        <v>-61</v>
      </c>
      <c r="Y167" s="328">
        <v>0</v>
      </c>
      <c r="Z167" s="328">
        <v>22</v>
      </c>
      <c r="AA167" s="326">
        <v>-44</v>
      </c>
      <c r="AB167" s="328">
        <v>-23</v>
      </c>
      <c r="AC167" s="328">
        <v>-4</v>
      </c>
      <c r="AD167" s="328">
        <v>0</v>
      </c>
      <c r="AE167" s="328">
        <v>-5</v>
      </c>
      <c r="AF167" s="326">
        <v>-32</v>
      </c>
      <c r="AG167" s="328">
        <v>0</v>
      </c>
      <c r="AH167" s="328">
        <v>-124</v>
      </c>
      <c r="AI167" s="328">
        <v>-3</v>
      </c>
      <c r="AJ167" s="328">
        <v>-176</v>
      </c>
      <c r="AK167" s="326">
        <v>-303</v>
      </c>
      <c r="AL167" s="328">
        <v>-138</v>
      </c>
      <c r="AM167" s="328">
        <v>-1</v>
      </c>
      <c r="AN167" s="328">
        <v>-74</v>
      </c>
      <c r="AO167" s="328">
        <v>-31</v>
      </c>
      <c r="AP167" s="326">
        <v>-244</v>
      </c>
      <c r="AQ167" s="328">
        <v>-8</v>
      </c>
      <c r="AR167" s="328">
        <v>-103</v>
      </c>
      <c r="AS167" s="328">
        <v>-17</v>
      </c>
      <c r="AT167" s="328">
        <v>-2</v>
      </c>
      <c r="AU167" s="326">
        <v>-130</v>
      </c>
      <c r="AV167" s="328">
        <v>-5</v>
      </c>
      <c r="AW167" s="328">
        <f>-15-AV167</f>
        <v>-10</v>
      </c>
      <c r="AX167" s="328">
        <f>-33-AW167-AV167</f>
        <v>-18</v>
      </c>
      <c r="AY167" s="328">
        <f t="shared" si="250"/>
        <v>-10</v>
      </c>
      <c r="AZ167" s="326">
        <v>-43</v>
      </c>
      <c r="BA167" s="328">
        <v>-14</v>
      </c>
      <c r="BB167" s="328">
        <f>-19-BA167</f>
        <v>-5</v>
      </c>
      <c r="BC167" s="328">
        <f>-48-BB167-BA167</f>
        <v>-29</v>
      </c>
      <c r="BD167" s="328">
        <f t="shared" si="251"/>
        <v>-597</v>
      </c>
      <c r="BE167" s="326">
        <v>-645</v>
      </c>
      <c r="BF167" s="328">
        <v>-110</v>
      </c>
      <c r="BG167" s="328">
        <f>-109-BF167</f>
        <v>1</v>
      </c>
      <c r="BH167" s="328">
        <f>-104-BG167-BF167</f>
        <v>5</v>
      </c>
      <c r="BI167" s="328">
        <f t="shared" si="252"/>
        <v>-116</v>
      </c>
      <c r="BJ167" s="592">
        <v>-220</v>
      </c>
      <c r="BK167" s="591">
        <v>-14</v>
      </c>
      <c r="BL167" s="591">
        <f>-106-BK167</f>
        <v>-92</v>
      </c>
      <c r="BM167" s="591">
        <f>-108-BL167-BK167</f>
        <v>-2</v>
      </c>
      <c r="BN167" s="591">
        <f t="shared" si="253"/>
        <v>10</v>
      </c>
      <c r="BO167" s="592">
        <v>-98</v>
      </c>
      <c r="BP167" s="591">
        <v>-1</v>
      </c>
      <c r="BQ167" s="591">
        <f>-23-BP167</f>
        <v>-22</v>
      </c>
      <c r="BR167" s="591">
        <f>-670-BQ167-BP167</f>
        <v>-647</v>
      </c>
      <c r="BS167" s="591">
        <f t="shared" si="254"/>
        <v>0</v>
      </c>
      <c r="BT167" s="592">
        <v>-670</v>
      </c>
      <c r="BU167" s="593">
        <v>0</v>
      </c>
      <c r="BV167" s="593">
        <v>140</v>
      </c>
      <c r="BW167" s="593">
        <f>410-BV167-BU167</f>
        <v>270</v>
      </c>
      <c r="BX167" s="591">
        <f t="shared" si="255"/>
        <v>421</v>
      </c>
      <c r="BY167" s="592">
        <v>831</v>
      </c>
      <c r="BZ167" s="593">
        <v>33</v>
      </c>
      <c r="CA167" s="593">
        <f>-1346-BZ167</f>
        <v>-1379</v>
      </c>
      <c r="CB167" s="593">
        <f>-550-CA167-BZ167</f>
        <v>796</v>
      </c>
      <c r="CC167" s="591">
        <f t="shared" si="256"/>
        <v>176</v>
      </c>
      <c r="CD167" s="592">
        <v>-374</v>
      </c>
      <c r="CE167" s="591">
        <v>362</v>
      </c>
      <c r="CF167" s="593">
        <v>-1124</v>
      </c>
      <c r="CG167" s="812">
        <f>364-CF167-CE167</f>
        <v>1126</v>
      </c>
      <c r="CH167" s="591">
        <f t="shared" si="257"/>
        <v>782</v>
      </c>
      <c r="CI167" s="592">
        <v>1146</v>
      </c>
      <c r="CJ167" s="591">
        <v>497</v>
      </c>
      <c r="CK167" s="591">
        <f>259-CJ167</f>
        <v>-238</v>
      </c>
      <c r="CL167" s="591">
        <f>942-CK167-CJ167</f>
        <v>683</v>
      </c>
      <c r="CM167" s="591">
        <f t="shared" si="258"/>
        <v>517</v>
      </c>
      <c r="CN167" s="592">
        <v>1459</v>
      </c>
      <c r="CO167" s="591">
        <f>85+34</f>
        <v>119</v>
      </c>
      <c r="CP167" s="594">
        <v>0</v>
      </c>
      <c r="CQ167" s="594">
        <v>0</v>
      </c>
      <c r="CR167" s="594">
        <v>0</v>
      </c>
      <c r="CS167" s="592">
        <f t="shared" si="245"/>
        <v>119</v>
      </c>
      <c r="CT167" s="594">
        <v>0</v>
      </c>
      <c r="CU167" s="594">
        <v>0</v>
      </c>
      <c r="CV167" s="594">
        <v>0</v>
      </c>
      <c r="CW167" s="594">
        <v>0</v>
      </c>
      <c r="CX167" s="592">
        <f t="shared" si="246"/>
        <v>0</v>
      </c>
      <c r="CY167" s="594">
        <v>0</v>
      </c>
      <c r="CZ167" s="594">
        <v>0</v>
      </c>
      <c r="DA167" s="594">
        <v>0</v>
      </c>
      <c r="DB167" s="594">
        <v>0</v>
      </c>
      <c r="DC167" s="592">
        <f t="shared" si="247"/>
        <v>0</v>
      </c>
      <c r="DD167" s="594">
        <v>0</v>
      </c>
      <c r="DE167" s="594">
        <v>0</v>
      </c>
      <c r="DF167" s="594">
        <v>0</v>
      </c>
      <c r="DG167" s="594">
        <v>0</v>
      </c>
      <c r="DH167" s="592">
        <f t="shared" si="248"/>
        <v>0</v>
      </c>
      <c r="DI167" s="594">
        <v>0</v>
      </c>
      <c r="DJ167" s="594">
        <v>0</v>
      </c>
      <c r="DK167" s="594">
        <v>0</v>
      </c>
      <c r="DL167" s="594">
        <v>0</v>
      </c>
      <c r="DM167" s="592">
        <f t="shared" si="249"/>
        <v>0</v>
      </c>
      <c r="DN167" s="207"/>
    </row>
    <row r="168" spans="1:118" ht="15" hidden="1" outlineLevel="1" x14ac:dyDescent="0.2">
      <c r="A168" s="207" t="s">
        <v>335</v>
      </c>
      <c r="B168" s="207"/>
      <c r="C168" s="328"/>
      <c r="D168" s="328"/>
      <c r="E168" s="328"/>
      <c r="F168" s="328"/>
      <c r="G168" s="326"/>
      <c r="H168" s="328">
        <v>0</v>
      </c>
      <c r="I168" s="328">
        <v>0</v>
      </c>
      <c r="J168" s="328">
        <v>10</v>
      </c>
      <c r="K168" s="328">
        <v>0</v>
      </c>
      <c r="L168" s="326">
        <v>10</v>
      </c>
      <c r="M168" s="328">
        <v>926</v>
      </c>
      <c r="N168" s="328">
        <v>0</v>
      </c>
      <c r="O168" s="328">
        <v>0</v>
      </c>
      <c r="P168" s="328">
        <v>0</v>
      </c>
      <c r="Q168" s="326">
        <v>926</v>
      </c>
      <c r="R168" s="328">
        <v>0</v>
      </c>
      <c r="S168" s="328">
        <v>0</v>
      </c>
      <c r="T168" s="328">
        <v>0</v>
      </c>
      <c r="U168" s="328">
        <v>0</v>
      </c>
      <c r="V168" s="326">
        <v>0</v>
      </c>
      <c r="W168" s="328">
        <v>0</v>
      </c>
      <c r="X168" s="328">
        <v>0</v>
      </c>
      <c r="Y168" s="328">
        <v>0</v>
      </c>
      <c r="Z168" s="328">
        <v>0</v>
      </c>
      <c r="AA168" s="326">
        <v>0</v>
      </c>
      <c r="AB168" s="328">
        <v>0</v>
      </c>
      <c r="AC168" s="328">
        <v>0</v>
      </c>
      <c r="AD168" s="328">
        <v>0</v>
      </c>
      <c r="AE168" s="328">
        <v>0</v>
      </c>
      <c r="AF168" s="326">
        <v>0</v>
      </c>
      <c r="AG168" s="328">
        <v>0</v>
      </c>
      <c r="AH168" s="328">
        <v>0</v>
      </c>
      <c r="AI168" s="328">
        <v>0</v>
      </c>
      <c r="AJ168" s="328">
        <v>0</v>
      </c>
      <c r="AK168" s="326">
        <v>0</v>
      </c>
      <c r="AL168" s="328">
        <v>0</v>
      </c>
      <c r="AM168" s="328">
        <v>0</v>
      </c>
      <c r="AN168" s="328">
        <v>0</v>
      </c>
      <c r="AO168" s="328">
        <v>0</v>
      </c>
      <c r="AP168" s="326">
        <v>0</v>
      </c>
      <c r="AQ168" s="328">
        <v>0</v>
      </c>
      <c r="AR168" s="328">
        <v>0</v>
      </c>
      <c r="AS168" s="328">
        <v>0</v>
      </c>
      <c r="AT168" s="328">
        <v>0</v>
      </c>
      <c r="AU168" s="326">
        <v>0</v>
      </c>
      <c r="AV168" s="328">
        <v>0</v>
      </c>
      <c r="AW168" s="328">
        <v>0</v>
      </c>
      <c r="AX168" s="328">
        <v>0</v>
      </c>
      <c r="AY168" s="328">
        <v>0</v>
      </c>
      <c r="AZ168" s="326">
        <v>0</v>
      </c>
      <c r="BA168" s="328">
        <v>0</v>
      </c>
      <c r="BB168" s="328">
        <v>0</v>
      </c>
      <c r="BC168" s="328">
        <v>0</v>
      </c>
      <c r="BD168" s="328">
        <v>0</v>
      </c>
      <c r="BE168" s="326">
        <f>SUM(BA168:BD168)</f>
        <v>0</v>
      </c>
      <c r="BF168" s="328">
        <v>0</v>
      </c>
      <c r="BG168" s="328">
        <v>0</v>
      </c>
      <c r="BH168" s="328">
        <v>0</v>
      </c>
      <c r="BI168" s="328">
        <v>0</v>
      </c>
      <c r="BJ168" s="592">
        <f>SUM(BF168:BI168)</f>
        <v>0</v>
      </c>
      <c r="BK168" s="591">
        <v>0</v>
      </c>
      <c r="BL168" s="591">
        <v>0</v>
      </c>
      <c r="BM168" s="591">
        <v>0</v>
      </c>
      <c r="BN168" s="591">
        <v>0</v>
      </c>
      <c r="BO168" s="592">
        <f>SUM(BK168:BN168)</f>
        <v>0</v>
      </c>
      <c r="BP168" s="591">
        <v>0</v>
      </c>
      <c r="BQ168" s="591">
        <v>0</v>
      </c>
      <c r="BR168" s="591">
        <v>0</v>
      </c>
      <c r="BS168" s="591">
        <v>0</v>
      </c>
      <c r="BT168" s="592">
        <f>SUM(BP168:BS168)</f>
        <v>0</v>
      </c>
      <c r="BU168" s="593">
        <v>0</v>
      </c>
      <c r="BV168" s="593">
        <v>0</v>
      </c>
      <c r="BW168" s="593">
        <v>0</v>
      </c>
      <c r="BX168" s="591">
        <v>0</v>
      </c>
      <c r="BY168" s="592">
        <f>SUM(BU168:BX168)</f>
        <v>0</v>
      </c>
      <c r="BZ168" s="593">
        <v>0</v>
      </c>
      <c r="CA168" s="593">
        <v>0</v>
      </c>
      <c r="CB168" s="593">
        <v>0</v>
      </c>
      <c r="CC168" s="591">
        <v>0</v>
      </c>
      <c r="CD168" s="592">
        <f>SUM(BZ168:CC168)</f>
        <v>0</v>
      </c>
      <c r="CE168" s="591">
        <v>0</v>
      </c>
      <c r="CF168" s="593">
        <v>0</v>
      </c>
      <c r="CG168" s="812">
        <v>0</v>
      </c>
      <c r="CH168" s="591">
        <v>0</v>
      </c>
      <c r="CI168" s="592">
        <f t="shared" ref="CI168" si="259">SUM(CE168:CH168)</f>
        <v>0</v>
      </c>
      <c r="CJ168" s="591">
        <v>0</v>
      </c>
      <c r="CK168" s="591">
        <v>0</v>
      </c>
      <c r="CL168" s="591">
        <v>0</v>
      </c>
      <c r="CM168" s="591">
        <v>0</v>
      </c>
      <c r="CN168" s="592">
        <v>0</v>
      </c>
      <c r="CO168" s="591">
        <v>0</v>
      </c>
      <c r="CP168" s="594">
        <v>0</v>
      </c>
      <c r="CQ168" s="594">
        <v>0</v>
      </c>
      <c r="CR168" s="594">
        <v>0</v>
      </c>
      <c r="CS168" s="592">
        <f t="shared" si="245"/>
        <v>0</v>
      </c>
      <c r="CT168" s="594">
        <v>0</v>
      </c>
      <c r="CU168" s="594">
        <v>0</v>
      </c>
      <c r="CV168" s="594">
        <v>0</v>
      </c>
      <c r="CW168" s="594">
        <v>0</v>
      </c>
      <c r="CX168" s="592">
        <f t="shared" si="246"/>
        <v>0</v>
      </c>
      <c r="CY168" s="594">
        <v>0</v>
      </c>
      <c r="CZ168" s="594">
        <v>0</v>
      </c>
      <c r="DA168" s="594">
        <v>0</v>
      </c>
      <c r="DB168" s="594">
        <v>0</v>
      </c>
      <c r="DC168" s="592">
        <f t="shared" si="247"/>
        <v>0</v>
      </c>
      <c r="DD168" s="594">
        <v>0</v>
      </c>
      <c r="DE168" s="594">
        <v>0</v>
      </c>
      <c r="DF168" s="594">
        <v>0</v>
      </c>
      <c r="DG168" s="594">
        <v>0</v>
      </c>
      <c r="DH168" s="592">
        <f t="shared" si="248"/>
        <v>0</v>
      </c>
      <c r="DI168" s="594">
        <v>0</v>
      </c>
      <c r="DJ168" s="594">
        <v>0</v>
      </c>
      <c r="DK168" s="594">
        <v>0</v>
      </c>
      <c r="DL168" s="594">
        <v>0</v>
      </c>
      <c r="DM168" s="592">
        <f t="shared" si="249"/>
        <v>0</v>
      </c>
      <c r="DN168" s="207"/>
    </row>
    <row r="169" spans="1:118" ht="15" collapsed="1" x14ac:dyDescent="0.2">
      <c r="A169" s="18" t="s">
        <v>332</v>
      </c>
      <c r="B169" s="207"/>
      <c r="C169" s="328">
        <v>616</v>
      </c>
      <c r="D169" s="328">
        <v>39</v>
      </c>
      <c r="E169" s="328">
        <v>0</v>
      </c>
      <c r="F169" s="328">
        <v>261</v>
      </c>
      <c r="G169" s="326"/>
      <c r="H169" s="328">
        <v>0</v>
      </c>
      <c r="I169" s="328">
        <v>0</v>
      </c>
      <c r="J169" s="328">
        <v>0</v>
      </c>
      <c r="K169" s="328">
        <v>0</v>
      </c>
      <c r="L169" s="326">
        <v>0</v>
      </c>
      <c r="M169" s="328">
        <v>0</v>
      </c>
      <c r="N169" s="328">
        <v>0</v>
      </c>
      <c r="O169" s="328">
        <v>0</v>
      </c>
      <c r="P169" s="328">
        <v>0</v>
      </c>
      <c r="Q169" s="326">
        <v>0</v>
      </c>
      <c r="R169" s="328">
        <v>152</v>
      </c>
      <c r="S169" s="328">
        <v>44</v>
      </c>
      <c r="T169" s="328">
        <v>-32</v>
      </c>
      <c r="U169" s="328">
        <v>166</v>
      </c>
      <c r="V169" s="326">
        <v>330</v>
      </c>
      <c r="W169" s="328">
        <v>0</v>
      </c>
      <c r="X169" s="328">
        <v>88</v>
      </c>
      <c r="Y169" s="328">
        <v>392</v>
      </c>
      <c r="Z169" s="328">
        <v>0</v>
      </c>
      <c r="AA169" s="326">
        <v>480</v>
      </c>
      <c r="AB169" s="328">
        <v>-2</v>
      </c>
      <c r="AC169" s="328">
        <v>2</v>
      </c>
      <c r="AD169" s="328">
        <v>85</v>
      </c>
      <c r="AE169" s="328">
        <v>0</v>
      </c>
      <c r="AF169" s="326">
        <v>85</v>
      </c>
      <c r="AG169" s="328">
        <v>45</v>
      </c>
      <c r="AH169" s="328">
        <v>31</v>
      </c>
      <c r="AI169" s="328">
        <v>39</v>
      </c>
      <c r="AJ169" s="328">
        <v>44</v>
      </c>
      <c r="AK169" s="326">
        <v>159</v>
      </c>
      <c r="AL169" s="328">
        <v>6</v>
      </c>
      <c r="AM169" s="328">
        <v>42</v>
      </c>
      <c r="AN169" s="328">
        <v>81</v>
      </c>
      <c r="AO169" s="328">
        <v>37</v>
      </c>
      <c r="AP169" s="326">
        <v>166</v>
      </c>
      <c r="AQ169" s="328">
        <v>78</v>
      </c>
      <c r="AR169" s="328">
        <v>81</v>
      </c>
      <c r="AS169" s="328">
        <v>-18</v>
      </c>
      <c r="AT169" s="328">
        <v>68</v>
      </c>
      <c r="AU169" s="326">
        <v>209</v>
      </c>
      <c r="AV169" s="328">
        <v>74</v>
      </c>
      <c r="AW169" s="328">
        <f>106-AV169</f>
        <v>32</v>
      </c>
      <c r="AX169" s="328">
        <f>134-AW169-AV169</f>
        <v>28</v>
      </c>
      <c r="AY169" s="328">
        <f t="shared" si="250"/>
        <v>0</v>
      </c>
      <c r="AZ169" s="326">
        <v>134</v>
      </c>
      <c r="BA169" s="328">
        <v>71</v>
      </c>
      <c r="BB169" s="328">
        <f>105-BA169</f>
        <v>34</v>
      </c>
      <c r="BC169" s="328">
        <f>111-BB169-BA169</f>
        <v>6</v>
      </c>
      <c r="BD169" s="328">
        <f t="shared" si="251"/>
        <v>-4560</v>
      </c>
      <c r="BE169" s="326">
        <f>-4713+264</f>
        <v>-4449</v>
      </c>
      <c r="BF169" s="328">
        <v>232</v>
      </c>
      <c r="BG169" s="328">
        <f>217-BF169</f>
        <v>-15</v>
      </c>
      <c r="BH169" s="328">
        <f>188-BG169-BF169</f>
        <v>-29</v>
      </c>
      <c r="BI169" s="328">
        <f t="shared" si="252"/>
        <v>26</v>
      </c>
      <c r="BJ169" s="592">
        <v>214</v>
      </c>
      <c r="BK169" s="591">
        <v>63</v>
      </c>
      <c r="BL169" s="591">
        <f>99-BK169</f>
        <v>36</v>
      </c>
      <c r="BM169" s="591">
        <f>98-BL169-BK169</f>
        <v>-1</v>
      </c>
      <c r="BN169" s="591">
        <f t="shared" si="253"/>
        <v>68</v>
      </c>
      <c r="BO169" s="592">
        <v>166</v>
      </c>
      <c r="BP169" s="591">
        <v>74</v>
      </c>
      <c r="BQ169" s="591">
        <f>83-BP169</f>
        <v>9</v>
      </c>
      <c r="BR169" s="591">
        <f>331-BQ169-BP169</f>
        <v>248</v>
      </c>
      <c r="BS169" s="591">
        <f t="shared" si="254"/>
        <v>134</v>
      </c>
      <c r="BT169" s="592">
        <v>465</v>
      </c>
      <c r="BU169" s="593">
        <v>84</v>
      </c>
      <c r="BV169" s="593">
        <f>120-BU169</f>
        <v>36</v>
      </c>
      <c r="BW169" s="593">
        <f>192-BV169-BU169</f>
        <v>72</v>
      </c>
      <c r="BX169" s="591">
        <f t="shared" si="255"/>
        <v>569</v>
      </c>
      <c r="BY169" s="592">
        <v>761</v>
      </c>
      <c r="BZ169" s="593">
        <v>139</v>
      </c>
      <c r="CA169" s="593">
        <f>609-BZ169</f>
        <v>470</v>
      </c>
      <c r="CB169" s="593">
        <f>697-CA169-BZ169</f>
        <v>88</v>
      </c>
      <c r="CC169" s="591">
        <f>CD169-SUM(BZ169:CB169)</f>
        <v>232</v>
      </c>
      <c r="CD169" s="592">
        <v>929</v>
      </c>
      <c r="CE169" s="591">
        <v>142</v>
      </c>
      <c r="CF169" s="593">
        <v>68</v>
      </c>
      <c r="CG169" s="812">
        <f>277-CF169-CE169</f>
        <v>67</v>
      </c>
      <c r="CH169" s="591">
        <f>CI169-SUM(CE169:CG169)</f>
        <v>370</v>
      </c>
      <c r="CI169" s="592">
        <v>647</v>
      </c>
      <c r="CJ169" s="591">
        <v>269</v>
      </c>
      <c r="CK169" s="591">
        <f>970-CJ169</f>
        <v>701</v>
      </c>
      <c r="CL169" s="591">
        <f>918-CK169-CJ169</f>
        <v>-52</v>
      </c>
      <c r="CM169" s="591">
        <f>CN169-SUM(CJ169:CL169)</f>
        <v>300</v>
      </c>
      <c r="CN169" s="592">
        <v>1218</v>
      </c>
      <c r="CO169" s="591">
        <v>510</v>
      </c>
      <c r="CP169" s="594">
        <v>0</v>
      </c>
      <c r="CQ169" s="594">
        <v>0</v>
      </c>
      <c r="CR169" s="594">
        <v>0</v>
      </c>
      <c r="CS169" s="592">
        <f t="shared" si="245"/>
        <v>510</v>
      </c>
      <c r="CT169" s="594">
        <v>0</v>
      </c>
      <c r="CU169" s="594">
        <v>0</v>
      </c>
      <c r="CV169" s="594">
        <v>0</v>
      </c>
      <c r="CW169" s="594">
        <v>0</v>
      </c>
      <c r="CX169" s="592">
        <f t="shared" si="246"/>
        <v>0</v>
      </c>
      <c r="CY169" s="594">
        <v>0</v>
      </c>
      <c r="CZ169" s="594">
        <v>0</v>
      </c>
      <c r="DA169" s="594">
        <v>0</v>
      </c>
      <c r="DB169" s="594">
        <v>0</v>
      </c>
      <c r="DC169" s="592">
        <f t="shared" si="247"/>
        <v>0</v>
      </c>
      <c r="DD169" s="594">
        <v>0</v>
      </c>
      <c r="DE169" s="594">
        <v>0</v>
      </c>
      <c r="DF169" s="594">
        <v>0</v>
      </c>
      <c r="DG169" s="594">
        <v>0</v>
      </c>
      <c r="DH169" s="592">
        <f t="shared" si="248"/>
        <v>0</v>
      </c>
      <c r="DI169" s="594">
        <v>0</v>
      </c>
      <c r="DJ169" s="594">
        <v>0</v>
      </c>
      <c r="DK169" s="594">
        <v>0</v>
      </c>
      <c r="DL169" s="594">
        <v>0</v>
      </c>
      <c r="DM169" s="592">
        <f t="shared" si="249"/>
        <v>0</v>
      </c>
      <c r="DN169" s="207"/>
    </row>
    <row r="170" spans="1:118" ht="15" x14ac:dyDescent="0.2">
      <c r="A170" s="18" t="s">
        <v>333</v>
      </c>
      <c r="B170" s="207"/>
      <c r="C170" s="328">
        <v>-8</v>
      </c>
      <c r="D170" s="328">
        <v>39</v>
      </c>
      <c r="E170" s="328">
        <v>-109</v>
      </c>
      <c r="F170" s="328">
        <v>197</v>
      </c>
      <c r="G170" s="326"/>
      <c r="H170" s="328">
        <v>50</v>
      </c>
      <c r="I170" s="328">
        <v>-15</v>
      </c>
      <c r="J170" s="328">
        <v>-92</v>
      </c>
      <c r="K170" s="328">
        <v>-51</v>
      </c>
      <c r="L170" s="326">
        <v>-108</v>
      </c>
      <c r="M170" s="328">
        <v>122</v>
      </c>
      <c r="N170" s="328">
        <v>81</v>
      </c>
      <c r="O170" s="328">
        <v>41</v>
      </c>
      <c r="P170" s="328">
        <v>47</v>
      </c>
      <c r="Q170" s="326">
        <v>291</v>
      </c>
      <c r="R170" s="328">
        <v>3</v>
      </c>
      <c r="S170" s="328">
        <v>164</v>
      </c>
      <c r="T170" s="328">
        <v>114</v>
      </c>
      <c r="U170" s="328">
        <v>-32</v>
      </c>
      <c r="V170" s="326">
        <v>249</v>
      </c>
      <c r="W170" s="328">
        <v>83</v>
      </c>
      <c r="X170" s="328">
        <v>75</v>
      </c>
      <c r="Y170" s="328">
        <v>87</v>
      </c>
      <c r="Z170" s="328">
        <v>192</v>
      </c>
      <c r="AA170" s="326">
        <v>437</v>
      </c>
      <c r="AB170" s="328">
        <v>67</v>
      </c>
      <c r="AC170" s="328">
        <v>71</v>
      </c>
      <c r="AD170" s="328">
        <v>30</v>
      </c>
      <c r="AE170" s="328">
        <v>131</v>
      </c>
      <c r="AF170" s="326">
        <v>299</v>
      </c>
      <c r="AG170" s="328">
        <v>49</v>
      </c>
      <c r="AH170" s="328">
        <v>51</v>
      </c>
      <c r="AI170" s="328">
        <v>27</v>
      </c>
      <c r="AJ170" s="328">
        <v>106</v>
      </c>
      <c r="AK170" s="326">
        <v>233</v>
      </c>
      <c r="AL170" s="328">
        <v>44</v>
      </c>
      <c r="AM170" s="328">
        <v>5</v>
      </c>
      <c r="AN170" s="328">
        <v>10</v>
      </c>
      <c r="AO170" s="328">
        <v>40</v>
      </c>
      <c r="AP170" s="326">
        <v>99</v>
      </c>
      <c r="AQ170" s="328">
        <v>11</v>
      </c>
      <c r="AR170" s="328">
        <v>23</v>
      </c>
      <c r="AS170" s="328">
        <v>23</v>
      </c>
      <c r="AT170" s="328">
        <v>96</v>
      </c>
      <c r="AU170" s="326">
        <v>153</v>
      </c>
      <c r="AV170" s="328">
        <v>100</v>
      </c>
      <c r="AW170" s="328">
        <f>141-AV170</f>
        <v>41</v>
      </c>
      <c r="AX170" s="328">
        <f>187-AW170-AV170</f>
        <v>46</v>
      </c>
      <c r="AY170" s="328">
        <f t="shared" si="250"/>
        <v>34</v>
      </c>
      <c r="AZ170" s="326">
        <v>221</v>
      </c>
      <c r="BA170" s="328">
        <v>73</v>
      </c>
      <c r="BB170" s="328">
        <f>75-BA170</f>
        <v>2</v>
      </c>
      <c r="BC170" s="328">
        <f>87-BB170-BA170</f>
        <v>12</v>
      </c>
      <c r="BD170" s="328">
        <f t="shared" si="251"/>
        <v>390</v>
      </c>
      <c r="BE170" s="326">
        <v>477</v>
      </c>
      <c r="BF170" s="328">
        <v>20</v>
      </c>
      <c r="BG170" s="328">
        <f>-389-BF170</f>
        <v>-409</v>
      </c>
      <c r="BH170" s="328">
        <f>-316-BG170-BF170</f>
        <v>73</v>
      </c>
      <c r="BI170" s="328">
        <f t="shared" si="252"/>
        <v>-19</v>
      </c>
      <c r="BJ170" s="592">
        <v>-335</v>
      </c>
      <c r="BK170" s="591">
        <v>1</v>
      </c>
      <c r="BL170" s="591">
        <f>32-BK170</f>
        <v>31</v>
      </c>
      <c r="BM170" s="591">
        <f>61-BL170-BK170</f>
        <v>29</v>
      </c>
      <c r="BN170" s="591">
        <f t="shared" si="253"/>
        <v>193</v>
      </c>
      <c r="BO170" s="592">
        <v>254</v>
      </c>
      <c r="BP170" s="591">
        <v>36</v>
      </c>
      <c r="BQ170" s="591">
        <f>22-BP170</f>
        <v>-14</v>
      </c>
      <c r="BR170" s="591">
        <f>137-BQ170-BP170</f>
        <v>115</v>
      </c>
      <c r="BS170" s="591">
        <f t="shared" si="254"/>
        <v>97</v>
      </c>
      <c r="BT170" s="592">
        <v>234</v>
      </c>
      <c r="BU170" s="593">
        <v>46</v>
      </c>
      <c r="BV170" s="593">
        <f>6-BU170</f>
        <v>-40</v>
      </c>
      <c r="BW170" s="593">
        <f>38-BV170-BU170</f>
        <v>32</v>
      </c>
      <c r="BX170" s="591">
        <f t="shared" si="255"/>
        <v>111</v>
      </c>
      <c r="BY170" s="592">
        <v>149</v>
      </c>
      <c r="BZ170" s="593">
        <v>522</v>
      </c>
      <c r="CA170" s="593">
        <f>609-BZ170</f>
        <v>87</v>
      </c>
      <c r="CB170" s="593">
        <f>859-CA170-BZ170</f>
        <v>250</v>
      </c>
      <c r="CC170" s="591">
        <f>CD170-SUM(BZ170:CB170)</f>
        <v>-115</v>
      </c>
      <c r="CD170" s="592">
        <v>744</v>
      </c>
      <c r="CE170" s="591">
        <v>-173</v>
      </c>
      <c r="CF170" s="593">
        <v>48</v>
      </c>
      <c r="CG170" s="812">
        <f>-205-CF170-CE170</f>
        <v>-80</v>
      </c>
      <c r="CH170" s="591">
        <f>CI170-SUM(CE170:CG170)</f>
        <v>-19</v>
      </c>
      <c r="CI170" s="592">
        <v>-224</v>
      </c>
      <c r="CJ170" s="591">
        <v>16</v>
      </c>
      <c r="CK170" s="591">
        <f>-68-CJ170</f>
        <v>-84</v>
      </c>
      <c r="CL170" s="591">
        <f>-9-CK170-CJ170</f>
        <v>59</v>
      </c>
      <c r="CM170" s="591">
        <f>CN170-SUM(CJ170:CL170)</f>
        <v>-260</v>
      </c>
      <c r="CN170" s="592">
        <v>-269</v>
      </c>
      <c r="CO170" s="591">
        <v>-112</v>
      </c>
      <c r="CP170" s="593">
        <f>(CP151-CO151)</f>
        <v>30.104999999999791</v>
      </c>
      <c r="CQ170" s="593">
        <f>(CQ151-CP151)</f>
        <v>30.556574999999839</v>
      </c>
      <c r="CR170" s="593">
        <f>(CR151-CQ151)</f>
        <v>31.014923624999938</v>
      </c>
      <c r="CS170" s="592">
        <f t="shared" si="245"/>
        <v>-20.323501375000433</v>
      </c>
      <c r="CT170" s="593">
        <f>(CT151-CS151)</f>
        <v>31.480147479374864</v>
      </c>
      <c r="CU170" s="593">
        <f>(CU151-CT151)</f>
        <v>31.95234969156536</v>
      </c>
      <c r="CV170" s="593">
        <f>(CV151-CU151)</f>
        <v>32.431634936938735</v>
      </c>
      <c r="CW170" s="593">
        <f>(CW151-CV151)</f>
        <v>32.918109460993037</v>
      </c>
      <c r="CX170" s="592">
        <f t="shared" si="246"/>
        <v>128.782241568872</v>
      </c>
      <c r="CY170" s="593">
        <f>(CY151-CX151)</f>
        <v>33.411881102907955</v>
      </c>
      <c r="CZ170" s="593">
        <f>(CZ151-CY151)</f>
        <v>33.913059319451349</v>
      </c>
      <c r="DA170" s="593">
        <f>(DA151-CZ151)</f>
        <v>34.421755209243202</v>
      </c>
      <c r="DB170" s="593">
        <f>(DB151-DA151)</f>
        <v>34.938081537382004</v>
      </c>
      <c r="DC170" s="592">
        <f t="shared" si="247"/>
        <v>136.68477716898451</v>
      </c>
      <c r="DD170" s="593">
        <f>(DD151-DC151)</f>
        <v>35.462152760442677</v>
      </c>
      <c r="DE170" s="593">
        <f>(DE151-DD151)</f>
        <v>35.994085051849197</v>
      </c>
      <c r="DF170" s="593">
        <f>(DF151-DE151)</f>
        <v>36.533996327626937</v>
      </c>
      <c r="DG170" s="593">
        <f>(DG151-DF151)</f>
        <v>37.082006272541548</v>
      </c>
      <c r="DH170" s="592">
        <f t="shared" si="248"/>
        <v>145.07224041246036</v>
      </c>
      <c r="DI170" s="593">
        <f>(DI151-DH151)</f>
        <v>37.638236366629371</v>
      </c>
      <c r="DJ170" s="593">
        <f>(DJ151-DI151)</f>
        <v>38.202809912128942</v>
      </c>
      <c r="DK170" s="593">
        <f>(DK151-DJ151)</f>
        <v>38.775852060810848</v>
      </c>
      <c r="DL170" s="593">
        <f>(DL151-DK151)</f>
        <v>39.357489841723236</v>
      </c>
      <c r="DM170" s="592">
        <f t="shared" si="249"/>
        <v>153.9743881812924</v>
      </c>
      <c r="DN170" s="207"/>
    </row>
    <row r="171" spans="1:118" ht="15" x14ac:dyDescent="0.2">
      <c r="A171" s="18" t="s">
        <v>334</v>
      </c>
      <c r="B171" s="207"/>
      <c r="C171" s="348">
        <v>-701</v>
      </c>
      <c r="D171" s="330">
        <v>-115</v>
      </c>
      <c r="E171" s="330">
        <v>216</v>
      </c>
      <c r="F171" s="349">
        <v>-252</v>
      </c>
      <c r="G171" s="331"/>
      <c r="H171" s="348">
        <v>-332</v>
      </c>
      <c r="I171" s="330">
        <v>99</v>
      </c>
      <c r="J171" s="330">
        <v>-85</v>
      </c>
      <c r="K171" s="349">
        <v>-144</v>
      </c>
      <c r="L171" s="331">
        <v>-462</v>
      </c>
      <c r="M171" s="348">
        <v>-126</v>
      </c>
      <c r="N171" s="330">
        <v>-130</v>
      </c>
      <c r="O171" s="330">
        <v>-136</v>
      </c>
      <c r="P171" s="349">
        <v>-15</v>
      </c>
      <c r="Q171" s="331">
        <v>-407</v>
      </c>
      <c r="R171" s="348">
        <v>-491</v>
      </c>
      <c r="S171" s="330">
        <v>-62</v>
      </c>
      <c r="T171" s="330">
        <v>324</v>
      </c>
      <c r="U171" s="349">
        <v>61</v>
      </c>
      <c r="V171" s="331">
        <v>-168</v>
      </c>
      <c r="W171" s="348">
        <v>-261</v>
      </c>
      <c r="X171" s="330">
        <v>3</v>
      </c>
      <c r="Y171" s="330">
        <v>80</v>
      </c>
      <c r="Z171" s="349">
        <v>-439</v>
      </c>
      <c r="AA171" s="331">
        <v>-617</v>
      </c>
      <c r="AB171" s="348">
        <v>-66</v>
      </c>
      <c r="AC171" s="330">
        <v>244</v>
      </c>
      <c r="AD171" s="330">
        <v>280</v>
      </c>
      <c r="AE171" s="349">
        <v>-28</v>
      </c>
      <c r="AF171" s="331">
        <v>430</v>
      </c>
      <c r="AG171" s="348">
        <v>-733</v>
      </c>
      <c r="AH171" s="330">
        <v>87</v>
      </c>
      <c r="AI171" s="330">
        <v>265</v>
      </c>
      <c r="AJ171" s="349">
        <v>-234</v>
      </c>
      <c r="AK171" s="331">
        <v>-615</v>
      </c>
      <c r="AL171" s="348">
        <v>-444</v>
      </c>
      <c r="AM171" s="330">
        <v>149</v>
      </c>
      <c r="AN171" s="330">
        <v>367</v>
      </c>
      <c r="AO171" s="349">
        <v>-66</v>
      </c>
      <c r="AP171" s="331">
        <v>6</v>
      </c>
      <c r="AQ171" s="348">
        <v>-695</v>
      </c>
      <c r="AR171" s="330">
        <v>-471</v>
      </c>
      <c r="AS171" s="330">
        <v>408</v>
      </c>
      <c r="AT171" s="349">
        <v>70</v>
      </c>
      <c r="AU171" s="331">
        <v>-688</v>
      </c>
      <c r="AV171" s="348">
        <v>-1010</v>
      </c>
      <c r="AW171" s="330">
        <f>-397-AV171</f>
        <v>613</v>
      </c>
      <c r="AX171" s="330">
        <f>-6-AW171-AV171</f>
        <v>391</v>
      </c>
      <c r="AY171" s="349">
        <f t="shared" si="250"/>
        <v>-558</v>
      </c>
      <c r="AZ171" s="331">
        <v>-564</v>
      </c>
      <c r="BA171" s="348">
        <v>-787</v>
      </c>
      <c r="BB171" s="330">
        <f>-438-BA171</f>
        <v>349</v>
      </c>
      <c r="BC171" s="330">
        <f>292-BB171-BA171</f>
        <v>730</v>
      </c>
      <c r="BD171" s="349">
        <f t="shared" si="251"/>
        <v>78</v>
      </c>
      <c r="BE171" s="331">
        <v>370</v>
      </c>
      <c r="BF171" s="348">
        <v>-2058</v>
      </c>
      <c r="BG171" s="330">
        <f>-2172-BF171</f>
        <v>-114</v>
      </c>
      <c r="BH171" s="330">
        <f>-1676-BG171-BF171</f>
        <v>496</v>
      </c>
      <c r="BI171" s="349">
        <f t="shared" si="252"/>
        <v>-217</v>
      </c>
      <c r="BJ171" s="595">
        <v>-1893</v>
      </c>
      <c r="BK171" s="596">
        <v>-1846</v>
      </c>
      <c r="BL171" s="597">
        <f>-1663-BK171</f>
        <v>183</v>
      </c>
      <c r="BM171" s="597">
        <f>-842-BL171-BK171</f>
        <v>821</v>
      </c>
      <c r="BN171" s="598">
        <f t="shared" si="253"/>
        <v>-238</v>
      </c>
      <c r="BO171" s="595">
        <v>-1080</v>
      </c>
      <c r="BP171" s="596">
        <v>-2184</v>
      </c>
      <c r="BQ171" s="597">
        <f>-1755-BP171</f>
        <v>429</v>
      </c>
      <c r="BR171" s="597">
        <f>-652-BQ171-BP171</f>
        <v>1103</v>
      </c>
      <c r="BS171" s="598">
        <f t="shared" si="254"/>
        <v>-280</v>
      </c>
      <c r="BT171" s="595">
        <v>-932</v>
      </c>
      <c r="BU171" s="599">
        <v>-1430</v>
      </c>
      <c r="BV171" s="599">
        <f>-1175-BU171</f>
        <v>255</v>
      </c>
      <c r="BW171" s="599">
        <f>-501-BV171-BU171</f>
        <v>674</v>
      </c>
      <c r="BX171" s="598">
        <f t="shared" si="255"/>
        <v>62</v>
      </c>
      <c r="BY171" s="595">
        <v>-439</v>
      </c>
      <c r="BZ171" s="599">
        <v>-1189</v>
      </c>
      <c r="CA171" s="599">
        <f>-964-BZ171</f>
        <v>225</v>
      </c>
      <c r="CB171" s="599">
        <f>-346-CA171-BZ171</f>
        <v>618</v>
      </c>
      <c r="CC171" s="598">
        <f>CD171-SUM(BZ171:CB171)</f>
        <v>189</v>
      </c>
      <c r="CD171" s="595">
        <v>-157</v>
      </c>
      <c r="CE171" s="599">
        <v>-1680</v>
      </c>
      <c r="CF171" s="599">
        <v>486</v>
      </c>
      <c r="CG171" s="813">
        <f>-908-CF171-CE171</f>
        <v>286</v>
      </c>
      <c r="CH171" s="598">
        <f>CI171-SUM(CE171:CG171)</f>
        <v>687</v>
      </c>
      <c r="CI171" s="595">
        <v>-221</v>
      </c>
      <c r="CJ171" s="599">
        <v>-1510</v>
      </c>
      <c r="CK171" s="599">
        <f>-1419-CJ171</f>
        <v>91</v>
      </c>
      <c r="CL171" s="599">
        <f>-1395-CK171-CJ171</f>
        <v>24</v>
      </c>
      <c r="CM171" s="598">
        <f>CN171-SUM(CJ171:CL171)</f>
        <v>4924</v>
      </c>
      <c r="CN171" s="595">
        <v>3529</v>
      </c>
      <c r="CO171" s="599">
        <v>-1312</v>
      </c>
      <c r="CP171" s="599">
        <f>(CO118-CP118)+(CO119-CP119)+(CO120-CP120)+(CP134-CO134)+(CP137-CO137)+(CP141-CO141)</f>
        <v>-16.628151562737912</v>
      </c>
      <c r="CQ171" s="599">
        <f>(CP118-CQ118)+(CP119-CQ119)+(CP120-CQ120)+(CQ134-CP134)+(CQ137-CP137)+(CQ141-CP141)</f>
        <v>400.71150481747304</v>
      </c>
      <c r="CR171" s="599">
        <f>(CQ118-CR118)+(CQ119-CR119)+(CQ120-CR120)+(CR134-CQ134)+(CR137-CQ137)+(CR141-CQ141)</f>
        <v>-703.8497551658993</v>
      </c>
      <c r="CS171" s="595">
        <f t="shared" si="245"/>
        <v>-1631.7664019111642</v>
      </c>
      <c r="CT171" s="599">
        <f>(CS118-CT118)+(CS119-CT119)+(CS120-CT120)+(CT134-CS134)+(CT137-CS137)+(CT141-CS141)</f>
        <v>-616.32509951574434</v>
      </c>
      <c r="CU171" s="599">
        <f>(CT118-CU118)+(CT119-CU119)+(CT120-CU120)+(CU134-CT134)+(CU137-CT137)+(CU141-CT141)</f>
        <v>-125.51351899292422</v>
      </c>
      <c r="CV171" s="599">
        <f>(CU118-CV118)+(CU119-CV119)+(CU120-CV120)+(CV134-CU134)+(CV137-CU137)+(CV141-CU141)</f>
        <v>478.37818538495389</v>
      </c>
      <c r="CW171" s="599">
        <f>(CV118-CW118)+(CV119-CW119)+(CV120-CW120)+(CW134-CV134)+(CW137-CV137)+(CW141-CV141)</f>
        <v>-590.26284666376159</v>
      </c>
      <c r="CX171" s="595">
        <f t="shared" si="246"/>
        <v>-853.72327978747626</v>
      </c>
      <c r="CY171" s="599">
        <f>(CX118-CY118)+(CX119-CY119)+(CX120-CY120)+(CY134-CX134)+(CY137-CX137)+(CY141-CX141)</f>
        <v>-727.44457799287829</v>
      </c>
      <c r="CZ171" s="599">
        <f>(CY118-CZ118)+(CY119-CZ119)+(CY120-CZ120)+(CZ134-CY134)+(CZ137-CY137)+(CZ141-CY141)</f>
        <v>-256.21832304035706</v>
      </c>
      <c r="DA171" s="599">
        <f>(CZ118-DA118)+(CZ119-DA119)+(CZ120-DA120)+(DA134-CZ134)+(DA137-CZ137)+(DA141-CZ141)</f>
        <v>559.48134390978737</v>
      </c>
      <c r="DB171" s="599">
        <f>(DA118-DB118)+(DA119-DB119)+(DA120-DB120)+(DB134-DA134)+(DB137-DA137)+(DB141-DA141)</f>
        <v>-476.42817791440211</v>
      </c>
      <c r="DC171" s="595">
        <f t="shared" si="247"/>
        <v>-900.6097350378501</v>
      </c>
      <c r="DD171" s="599">
        <f>(DC118-DD118)+(DC119-DD119)+(DC120-DD120)+(DD134-DC134)+(DD137-DC137)+(DD141-DC141)</f>
        <v>-851.41865363679108</v>
      </c>
      <c r="DE171" s="599">
        <f>(DD118-DE118)+(DD119-DE119)+(DD120-DE120)+(DE134-DD134)+(DE137-DD137)+(DE141-DD141)</f>
        <v>-394.20775558146033</v>
      </c>
      <c r="DF171" s="599">
        <f>(DE118-DF118)+(DE119-DF119)+(DE120-DF120)+(DF134-DE134)+(DF137-DE137)+(DF141-DE141)</f>
        <v>641.72114235181198</v>
      </c>
      <c r="DG171" s="599">
        <f>(DF118-DG118)+(DF119-DG119)+(DF120-DG120)+(DG134-DF134)+(DG137-DF137)+(DG141-DF141)</f>
        <v>-357.70469107063218</v>
      </c>
      <c r="DH171" s="595">
        <f t="shared" si="248"/>
        <v>-961.60995793707161</v>
      </c>
      <c r="DI171" s="599">
        <f>(DH118-DI118)+(DH119-DI119)+(DH120-DI120)+(DI134-DH134)+(DI137-DH137)+(DI141-DH141)</f>
        <v>-974.77911711644447</v>
      </c>
      <c r="DJ171" s="599">
        <f>(DI118-DJ118)+(DI119-DJ119)+(DI120-DJ120)+(DJ134-DI134)+(DJ137-DI137)+(DJ141-DI141)</f>
        <v>-540.3999807926084</v>
      </c>
      <c r="DK171" s="599">
        <f>(DJ118-DK118)+(DJ119-DK119)+(DJ120-DK120)+(DK134-DJ134)+(DK137-DJ137)+(DK141-DJ141)</f>
        <v>725.57184495793547</v>
      </c>
      <c r="DL171" s="599">
        <f>(DK118-DL118)+(DK119-DL119)+(DK120-DL120)+(DL134-DK134)+(DL137-DK137)+(DL141-DK141)</f>
        <v>-235.37449066205954</v>
      </c>
      <c r="DM171" s="595">
        <f t="shared" si="249"/>
        <v>-1024.9817436131771</v>
      </c>
      <c r="DN171" s="207"/>
    </row>
    <row r="172" spans="1:118" ht="15.75" x14ac:dyDescent="0.25">
      <c r="A172" s="20"/>
      <c r="B172" s="20" t="s">
        <v>344</v>
      </c>
      <c r="C172" s="339">
        <v>169</v>
      </c>
      <c r="D172" s="339">
        <v>1062</v>
      </c>
      <c r="E172" s="339">
        <v>1348</v>
      </c>
      <c r="F172" s="339">
        <v>1006</v>
      </c>
      <c r="G172" s="340"/>
      <c r="H172" s="339">
        <v>717</v>
      </c>
      <c r="I172" s="339">
        <v>1378</v>
      </c>
      <c r="J172" s="339">
        <v>958</v>
      </c>
      <c r="K172" s="339">
        <v>1057</v>
      </c>
      <c r="L172" s="340">
        <v>4110</v>
      </c>
      <c r="M172" s="339">
        <v>961</v>
      </c>
      <c r="N172" s="339">
        <v>1195</v>
      </c>
      <c r="O172" s="339">
        <v>1249</v>
      </c>
      <c r="P172" s="339">
        <v>1337</v>
      </c>
      <c r="Q172" s="340">
        <v>4742</v>
      </c>
      <c r="R172" s="339">
        <v>599</v>
      </c>
      <c r="S172" s="339">
        <v>1531</v>
      </c>
      <c r="T172" s="339">
        <v>1991</v>
      </c>
      <c r="U172" s="339">
        <v>1335</v>
      </c>
      <c r="V172" s="340">
        <v>5456</v>
      </c>
      <c r="W172" s="339">
        <v>1160</v>
      </c>
      <c r="X172" s="339">
        <v>1796</v>
      </c>
      <c r="Y172" s="339">
        <v>1634</v>
      </c>
      <c r="Z172" s="339">
        <v>1378</v>
      </c>
      <c r="AA172" s="340">
        <v>5968</v>
      </c>
      <c r="AB172" s="339">
        <v>1372</v>
      </c>
      <c r="AC172" s="339">
        <v>2162</v>
      </c>
      <c r="AD172" s="339">
        <v>1746</v>
      </c>
      <c r="AE172" s="339">
        <v>1143</v>
      </c>
      <c r="AF172" s="340">
        <v>6423</v>
      </c>
      <c r="AG172" s="339">
        <v>707</v>
      </c>
      <c r="AH172" s="339">
        <v>2055</v>
      </c>
      <c r="AI172" s="339">
        <v>1872</v>
      </c>
      <c r="AJ172" s="339">
        <v>1323</v>
      </c>
      <c r="AK172" s="340">
        <v>5957</v>
      </c>
      <c r="AL172" s="339">
        <v>949</v>
      </c>
      <c r="AM172" s="339">
        <v>2346</v>
      </c>
      <c r="AN172" s="339">
        <v>2162</v>
      </c>
      <c r="AO172" s="339">
        <v>1693</v>
      </c>
      <c r="AP172" s="340">
        <v>7150</v>
      </c>
      <c r="AQ172" s="339">
        <v>1120</v>
      </c>
      <c r="AR172" s="339">
        <v>2098</v>
      </c>
      <c r="AS172" s="339">
        <v>2450</v>
      </c>
      <c r="AT172" s="339">
        <v>1903</v>
      </c>
      <c r="AU172" s="340">
        <v>7571</v>
      </c>
      <c r="AV172" s="339">
        <f t="shared" ref="AV172:BT172" si="260">SUM(AV161:AV171)</f>
        <v>873</v>
      </c>
      <c r="AW172" s="339">
        <f t="shared" si="260"/>
        <v>2789</v>
      </c>
      <c r="AX172" s="339">
        <f t="shared" si="260"/>
        <v>2608</v>
      </c>
      <c r="AY172" s="339">
        <f t="shared" si="260"/>
        <v>1916</v>
      </c>
      <c r="AZ172" s="340">
        <f t="shared" si="260"/>
        <v>8186</v>
      </c>
      <c r="BA172" s="339">
        <f t="shared" si="260"/>
        <v>1326</v>
      </c>
      <c r="BB172" s="339">
        <f t="shared" si="260"/>
        <v>2984</v>
      </c>
      <c r="BC172" s="339">
        <f t="shared" si="260"/>
        <v>2914</v>
      </c>
      <c r="BD172" s="339">
        <f t="shared" si="260"/>
        <v>2308</v>
      </c>
      <c r="BE172" s="340">
        <f t="shared" si="260"/>
        <v>9532</v>
      </c>
      <c r="BF172" s="339">
        <f t="shared" si="260"/>
        <v>458</v>
      </c>
      <c r="BG172" s="339">
        <f t="shared" si="260"/>
        <v>3184</v>
      </c>
      <c r="BH172" s="339">
        <f t="shared" si="260"/>
        <v>3158</v>
      </c>
      <c r="BI172" s="339">
        <f t="shared" si="260"/>
        <v>2674</v>
      </c>
      <c r="BJ172" s="600">
        <f t="shared" si="260"/>
        <v>9474</v>
      </c>
      <c r="BK172" s="601">
        <f t="shared" si="260"/>
        <v>493</v>
      </c>
      <c r="BL172" s="601">
        <f t="shared" si="260"/>
        <v>3685</v>
      </c>
      <c r="BM172" s="601">
        <f t="shared" si="260"/>
        <v>3662</v>
      </c>
      <c r="BN172" s="601">
        <f t="shared" si="260"/>
        <v>2805</v>
      </c>
      <c r="BO172" s="600">
        <f t="shared" si="260"/>
        <v>10645</v>
      </c>
      <c r="BP172" s="601">
        <f>SUM(BP161:BP171)</f>
        <v>478</v>
      </c>
      <c r="BQ172" s="601">
        <f t="shared" si="260"/>
        <v>3478</v>
      </c>
      <c r="BR172" s="601">
        <f t="shared" si="260"/>
        <v>3756</v>
      </c>
      <c r="BS172" s="601">
        <f t="shared" si="260"/>
        <v>2830</v>
      </c>
      <c r="BT172" s="600">
        <f t="shared" si="260"/>
        <v>10542</v>
      </c>
      <c r="BU172" s="602">
        <f t="shared" ref="BU172:BZ172" si="261">SUM(BU161:BU171)</f>
        <v>1066</v>
      </c>
      <c r="BV172" s="602">
        <f t="shared" si="261"/>
        <v>3404</v>
      </c>
      <c r="BW172" s="602">
        <f t="shared" si="261"/>
        <v>3509</v>
      </c>
      <c r="BX172" s="602">
        <f t="shared" si="261"/>
        <v>2636</v>
      </c>
      <c r="BY172" s="600">
        <f t="shared" si="261"/>
        <v>10615</v>
      </c>
      <c r="BZ172" s="602">
        <f t="shared" si="261"/>
        <v>1574</v>
      </c>
      <c r="CA172" s="602">
        <f>SUM(CA161:CA171)</f>
        <v>3544</v>
      </c>
      <c r="CB172" s="602">
        <f>SUM(CB161:CB171)</f>
        <v>3272</v>
      </c>
      <c r="CC172" s="602">
        <f>SUM(CC161:CC171)</f>
        <v>2138</v>
      </c>
      <c r="CD172" s="600">
        <f>SUM(CD161:CD171)</f>
        <v>10528</v>
      </c>
      <c r="CE172" s="602">
        <f t="shared" ref="CE172:CX172" si="262">SUM(CE161:CE171)</f>
        <v>604</v>
      </c>
      <c r="CF172" s="602">
        <f>SUM(CF161:CF171)</f>
        <v>3216</v>
      </c>
      <c r="CG172" s="814">
        <f>SUM(CG161:CG171)</f>
        <v>2903</v>
      </c>
      <c r="CH172" s="602">
        <f>SUM(CH161:CH171)</f>
        <v>2073</v>
      </c>
      <c r="CI172" s="600">
        <f t="shared" si="262"/>
        <v>8796</v>
      </c>
      <c r="CJ172" s="602">
        <f t="shared" si="262"/>
        <v>788</v>
      </c>
      <c r="CK172" s="602">
        <f t="shared" si="262"/>
        <v>2603</v>
      </c>
      <c r="CL172" s="602">
        <f t="shared" si="262"/>
        <v>2527</v>
      </c>
      <c r="CM172" s="602">
        <f t="shared" si="262"/>
        <v>1077</v>
      </c>
      <c r="CN172" s="600">
        <f t="shared" si="262"/>
        <v>6995</v>
      </c>
      <c r="CO172" s="602">
        <f t="shared" si="262"/>
        <v>613</v>
      </c>
      <c r="CP172" s="602">
        <f t="shared" ca="1" si="262"/>
        <v>3270.9927505847863</v>
      </c>
      <c r="CQ172" s="602">
        <f t="shared" ca="1" si="262"/>
        <v>3065.3664319230847</v>
      </c>
      <c r="CR172" s="602">
        <f t="shared" ca="1" si="262"/>
        <v>1605.6033320563729</v>
      </c>
      <c r="CS172" s="600">
        <f t="shared" ca="1" si="262"/>
        <v>8554.9625145642458</v>
      </c>
      <c r="CT172" s="602">
        <f t="shared" ca="1" si="262"/>
        <v>1855.0104693652459</v>
      </c>
      <c r="CU172" s="602">
        <f t="shared" ca="1" si="262"/>
        <v>3376.2500751115081</v>
      </c>
      <c r="CV172" s="602">
        <f t="shared" ca="1" si="262"/>
        <v>3324.4572527026676</v>
      </c>
      <c r="CW172" s="602">
        <f t="shared" ca="1" si="262"/>
        <v>1886.2018076325048</v>
      </c>
      <c r="CX172" s="600">
        <f t="shared" ca="1" si="262"/>
        <v>10441.919604811925</v>
      </c>
      <c r="CY172" s="602">
        <f t="shared" ref="CY172:DH172" ca="1" si="263">SUM(CY161:CY171)</f>
        <v>1905.599975590354</v>
      </c>
      <c r="CZ172" s="602">
        <f t="shared" ca="1" si="263"/>
        <v>3464.828807313324</v>
      </c>
      <c r="DA172" s="602">
        <f t="shared" ca="1" si="263"/>
        <v>3601.1779222745727</v>
      </c>
      <c r="DB172" s="602">
        <f t="shared" ca="1" si="263"/>
        <v>2176.9034590656411</v>
      </c>
      <c r="DC172" s="600">
        <f t="shared" ca="1" si="263"/>
        <v>11148.510164243889</v>
      </c>
      <c r="DD172" s="602">
        <f t="shared" ca="1" si="263"/>
        <v>1932.870509430777</v>
      </c>
      <c r="DE172" s="602">
        <f t="shared" ca="1" si="263"/>
        <v>3545.6984429184681</v>
      </c>
      <c r="DF172" s="602">
        <f t="shared" ca="1" si="263"/>
        <v>3880.1853964318279</v>
      </c>
      <c r="DG172" s="602">
        <f t="shared" ca="1" si="263"/>
        <v>2474.4044647786504</v>
      </c>
      <c r="DH172" s="600">
        <f t="shared" ca="1" si="263"/>
        <v>11833.158813559725</v>
      </c>
      <c r="DI172" s="602">
        <f ca="1">SUM(DI161:DI171)</f>
        <v>1963.9013779582383</v>
      </c>
      <c r="DJ172" s="602">
        <f ca="1">SUM(DJ161:DJ171)</f>
        <v>3617.5840974350667</v>
      </c>
      <c r="DK172" s="602">
        <f ca="1">SUM(DK161:DK171)</f>
        <v>4159.2574404549023</v>
      </c>
      <c r="DL172" s="602">
        <f ca="1">SUM(DL161:DL171)</f>
        <v>2772.7680684251618</v>
      </c>
      <c r="DM172" s="600">
        <f ca="1">SUM(DM161:DM171)</f>
        <v>12513.510984273369</v>
      </c>
      <c r="DN172" s="227"/>
    </row>
    <row r="173" spans="1:118" ht="15" x14ac:dyDescent="0.2">
      <c r="C173" s="343"/>
      <c r="D173" s="343"/>
      <c r="E173" s="343"/>
      <c r="F173" s="343"/>
      <c r="G173" s="350"/>
      <c r="H173" s="343"/>
      <c r="I173" s="343"/>
      <c r="J173" s="343"/>
      <c r="K173" s="343"/>
      <c r="L173" s="350"/>
      <c r="M173" s="343"/>
      <c r="N173" s="343"/>
      <c r="O173" s="343"/>
      <c r="P173" s="343"/>
      <c r="Q173" s="350"/>
      <c r="R173" s="343"/>
      <c r="S173" s="343"/>
      <c r="T173" s="343"/>
      <c r="U173" s="343"/>
      <c r="V173" s="350"/>
      <c r="W173" s="343"/>
      <c r="X173" s="343"/>
      <c r="Y173" s="343"/>
      <c r="Z173" s="343"/>
      <c r="AA173" s="350"/>
      <c r="AB173" s="343"/>
      <c r="AC173" s="343"/>
      <c r="AD173" s="343"/>
      <c r="AE173" s="343"/>
      <c r="AF173" s="350"/>
      <c r="AG173" s="343"/>
      <c r="AH173" s="343"/>
      <c r="AI173" s="343"/>
      <c r="AJ173" s="343"/>
      <c r="AK173" s="350"/>
      <c r="AL173" s="343"/>
      <c r="AM173" s="343"/>
      <c r="AN173" s="343"/>
      <c r="AO173" s="343"/>
      <c r="AP173" s="350"/>
      <c r="AQ173" s="343"/>
      <c r="AR173" s="343"/>
      <c r="AS173" s="343"/>
      <c r="AT173" s="343"/>
      <c r="AU173" s="350"/>
      <c r="AV173" s="343"/>
      <c r="AW173" s="343"/>
      <c r="AX173" s="343"/>
      <c r="AY173" s="343"/>
      <c r="AZ173" s="350"/>
      <c r="BA173" s="343"/>
      <c r="BB173" s="343"/>
      <c r="BC173" s="343"/>
      <c r="BD173" s="343"/>
      <c r="BE173" s="350"/>
      <c r="BF173" s="343"/>
      <c r="BG173" s="343"/>
      <c r="BH173" s="343"/>
      <c r="BI173" s="343"/>
      <c r="BJ173" s="457"/>
      <c r="BK173" s="603"/>
      <c r="BL173" s="603"/>
      <c r="BM173" s="603"/>
      <c r="BN173" s="603"/>
      <c r="BO173" s="604"/>
      <c r="BP173" s="603"/>
      <c r="BQ173" s="603"/>
      <c r="BR173" s="603"/>
      <c r="BS173" s="603"/>
      <c r="BT173" s="604"/>
      <c r="BU173" s="482"/>
      <c r="BV173" s="482"/>
      <c r="BW173" s="482"/>
      <c r="BX173" s="482"/>
      <c r="BY173" s="457"/>
      <c r="BZ173" s="482"/>
      <c r="CA173" s="487"/>
      <c r="CB173" s="487"/>
      <c r="CC173" s="487"/>
      <c r="CD173" s="457"/>
      <c r="CE173" s="487"/>
      <c r="CF173" s="487"/>
      <c r="CG173" s="815"/>
      <c r="CH173" s="487"/>
      <c r="CI173" s="604"/>
      <c r="CJ173" s="487"/>
      <c r="CK173" s="487"/>
      <c r="CL173" s="487"/>
      <c r="CM173" s="487"/>
      <c r="CN173" s="604"/>
      <c r="CO173" s="487"/>
      <c r="CP173" s="487"/>
      <c r="CQ173" s="487"/>
      <c r="CR173" s="487"/>
      <c r="CS173" s="604"/>
      <c r="CT173" s="487"/>
      <c r="CU173" s="487"/>
      <c r="CV173" s="487"/>
      <c r="CW173" s="487"/>
      <c r="CX173" s="604"/>
      <c r="CY173" s="487"/>
      <c r="CZ173" s="487"/>
      <c r="DA173" s="487"/>
      <c r="DB173" s="487"/>
      <c r="DC173" s="604"/>
      <c r="DD173" s="487"/>
      <c r="DE173" s="487"/>
      <c r="DF173" s="487"/>
      <c r="DG173" s="487"/>
      <c r="DH173" s="604"/>
      <c r="DI173" s="487"/>
      <c r="DJ173" s="487"/>
      <c r="DK173" s="487"/>
      <c r="DL173" s="487"/>
      <c r="DM173" s="604"/>
      <c r="DN173" s="207"/>
    </row>
    <row r="174" spans="1:118" ht="15.75" x14ac:dyDescent="0.25">
      <c r="A174" s="286" t="s">
        <v>337</v>
      </c>
      <c r="G174" s="326"/>
      <c r="L174" s="326"/>
      <c r="Q174" s="326"/>
      <c r="V174" s="326"/>
      <c r="AA174" s="326"/>
      <c r="AF174" s="326"/>
      <c r="AK174" s="326"/>
      <c r="AP174" s="326"/>
      <c r="AU174" s="326"/>
      <c r="AZ174" s="326"/>
      <c r="BD174" s="207"/>
      <c r="BE174" s="219"/>
      <c r="BF174" s="207"/>
      <c r="BG174" s="207"/>
      <c r="BH174" s="207"/>
      <c r="BI174" s="207"/>
      <c r="BJ174" s="443"/>
      <c r="BK174" s="422"/>
      <c r="BL174" s="422"/>
      <c r="BM174" s="422"/>
      <c r="BN174" s="422"/>
      <c r="BO174" s="443"/>
      <c r="BP174" s="422"/>
      <c r="BQ174" s="422"/>
      <c r="BR174" s="422"/>
      <c r="BS174" s="422"/>
      <c r="BT174" s="443"/>
      <c r="BU174" s="422"/>
      <c r="BV174" s="422"/>
      <c r="BW174" s="422"/>
      <c r="BX174" s="422"/>
      <c r="BY174" s="443"/>
      <c r="BZ174" s="422"/>
      <c r="CA174" s="422"/>
      <c r="CB174" s="422"/>
      <c r="CC174" s="422"/>
      <c r="CD174" s="443"/>
      <c r="CE174" s="422"/>
      <c r="CF174" s="422"/>
      <c r="CG174" s="816"/>
      <c r="CH174" s="422"/>
      <c r="CI174" s="443"/>
      <c r="CJ174" s="422"/>
      <c r="CK174" s="422"/>
      <c r="CL174" s="422"/>
      <c r="CM174" s="422"/>
      <c r="CN174" s="443"/>
      <c r="CO174" s="422"/>
      <c r="CP174" s="422"/>
      <c r="CQ174" s="422"/>
      <c r="CR174" s="422"/>
      <c r="CS174" s="443"/>
      <c r="CT174" s="422"/>
      <c r="CU174" s="422"/>
      <c r="CV174" s="422"/>
      <c r="CW174" s="422"/>
      <c r="CX174" s="443"/>
      <c r="CY174" s="422"/>
      <c r="CZ174" s="422"/>
      <c r="DA174" s="422"/>
      <c r="DB174" s="422"/>
      <c r="DC174" s="443"/>
      <c r="DD174" s="422"/>
      <c r="DE174" s="422"/>
      <c r="DF174" s="422"/>
      <c r="DG174" s="422"/>
      <c r="DH174" s="443"/>
      <c r="DI174" s="422"/>
      <c r="DJ174" s="422"/>
      <c r="DK174" s="422"/>
      <c r="DL174" s="422"/>
      <c r="DM174" s="443"/>
      <c r="DN174" s="207"/>
    </row>
    <row r="175" spans="1:118" ht="15" x14ac:dyDescent="0.2">
      <c r="A175" s="223" t="s">
        <v>350</v>
      </c>
      <c r="C175" s="328">
        <v>-73</v>
      </c>
      <c r="D175" s="328">
        <v>-210</v>
      </c>
      <c r="E175" s="328">
        <v>-1</v>
      </c>
      <c r="F175" s="328">
        <v>-113</v>
      </c>
      <c r="G175" s="326"/>
      <c r="H175" s="328">
        <v>-217</v>
      </c>
      <c r="I175" s="328">
        <v>-24</v>
      </c>
      <c r="J175" s="328">
        <v>-67</v>
      </c>
      <c r="K175" s="328">
        <v>-343</v>
      </c>
      <c r="L175" s="326">
        <v>-651</v>
      </c>
      <c r="M175" s="328">
        <v>-215</v>
      </c>
      <c r="N175" s="328">
        <v>-52</v>
      </c>
      <c r="O175" s="328">
        <v>-148</v>
      </c>
      <c r="P175" s="328">
        <v>-129</v>
      </c>
      <c r="Q175" s="326">
        <v>-544</v>
      </c>
      <c r="R175" s="328">
        <v>-130</v>
      </c>
      <c r="S175" s="328">
        <v>-75</v>
      </c>
      <c r="T175" s="328">
        <v>-101</v>
      </c>
      <c r="U175" s="328">
        <v>-53</v>
      </c>
      <c r="V175" s="326">
        <v>-359</v>
      </c>
      <c r="W175" s="328">
        <v>-126</v>
      </c>
      <c r="X175" s="328">
        <v>-4</v>
      </c>
      <c r="Y175" s="328">
        <v>-113</v>
      </c>
      <c r="Z175" s="328">
        <v>-24</v>
      </c>
      <c r="AA175" s="326">
        <v>-267</v>
      </c>
      <c r="AB175" s="328">
        <v>-7</v>
      </c>
      <c r="AC175" s="328">
        <v>-264</v>
      </c>
      <c r="AD175" s="328">
        <v>-364</v>
      </c>
      <c r="AE175" s="328">
        <v>-2</v>
      </c>
      <c r="AF175" s="326">
        <v>-637</v>
      </c>
      <c r="AG175" s="328">
        <v>-243</v>
      </c>
      <c r="AH175" s="328">
        <v>-42</v>
      </c>
      <c r="AI175" s="328">
        <v>-499</v>
      </c>
      <c r="AJ175" s="328">
        <v>-117</v>
      </c>
      <c r="AK175" s="326">
        <v>-901</v>
      </c>
      <c r="AL175" s="328">
        <v>-767</v>
      </c>
      <c r="AM175" s="328">
        <v>-2882</v>
      </c>
      <c r="AN175" s="328">
        <v>-286</v>
      </c>
      <c r="AO175" s="328">
        <v>-1718</v>
      </c>
      <c r="AP175" s="326">
        <v>-5653</v>
      </c>
      <c r="AQ175" s="328">
        <v>-238</v>
      </c>
      <c r="AR175" s="328">
        <v>-383</v>
      </c>
      <c r="AS175" s="328">
        <v>-34</v>
      </c>
      <c r="AT175" s="328">
        <v>-104</v>
      </c>
      <c r="AU175" s="326">
        <v>-759</v>
      </c>
      <c r="AV175" s="328">
        <v>-179</v>
      </c>
      <c r="AW175" s="328">
        <f>-248-AV175</f>
        <v>-69</v>
      </c>
      <c r="AX175" s="328">
        <f>-286-AW175-AV175</f>
        <v>-38</v>
      </c>
      <c r="AY175" s="328">
        <f t="shared" ref="AY175:AY180" si="264">AZ175-SUM(AV175:AX175)</f>
        <v>-14</v>
      </c>
      <c r="AZ175" s="326">
        <v>-300</v>
      </c>
      <c r="BA175" s="328">
        <v>-6</v>
      </c>
      <c r="BB175" s="328">
        <f>-144-BA175</f>
        <v>-138</v>
      </c>
      <c r="BC175" s="328">
        <f>-1798-BB175-BA175</f>
        <v>-1654</v>
      </c>
      <c r="BD175" s="328">
        <f t="shared" ref="BD175:BD180" si="265">BE175-SUM(BA175:BC175)</f>
        <v>-1260</v>
      </c>
      <c r="BE175" s="326">
        <f>-2511+4032-4579</f>
        <v>-3058</v>
      </c>
      <c r="BF175" s="328">
        <v>-189</v>
      </c>
      <c r="BG175" s="328">
        <f>-260-BF175</f>
        <v>-71</v>
      </c>
      <c r="BH175" s="328">
        <f>-310-BG175-BF175</f>
        <v>-50</v>
      </c>
      <c r="BI175" s="328">
        <f t="shared" ref="BI175:BI180" si="266">BJ175-SUM(BF175:BH175)</f>
        <v>923</v>
      </c>
      <c r="BJ175" s="592">
        <f>-4057+5647-977</f>
        <v>613</v>
      </c>
      <c r="BK175" s="593">
        <v>-121</v>
      </c>
      <c r="BL175" s="593">
        <f>-756-BK175</f>
        <v>-635</v>
      </c>
      <c r="BM175" s="593">
        <f>-1166-BL175-BK175</f>
        <v>-410</v>
      </c>
      <c r="BN175" s="591">
        <f t="shared" ref="BN175:BN180" si="267">BO175-SUM(BK175:BM175)</f>
        <v>-369</v>
      </c>
      <c r="BO175" s="592">
        <v>-1535</v>
      </c>
      <c r="BP175" s="593">
        <v>0</v>
      </c>
      <c r="BQ175" s="593">
        <f>-308-BP175</f>
        <v>-308</v>
      </c>
      <c r="BR175" s="593">
        <f>-326-BQ175-BP175</f>
        <v>-18</v>
      </c>
      <c r="BS175" s="591">
        <f t="shared" ref="BS175:BS180" si="268">BT175-SUM(BP175:BR175)</f>
        <v>-27</v>
      </c>
      <c r="BT175" s="592">
        <v>-353</v>
      </c>
      <c r="BU175" s="593">
        <v>-85</v>
      </c>
      <c r="BV175" s="593">
        <f>+-332-BU175</f>
        <v>-247</v>
      </c>
      <c r="BW175" s="593">
        <f>-343-BV175-BU175</f>
        <v>-11</v>
      </c>
      <c r="BX175" s="591">
        <f t="shared" ref="BX175:BX180" si="269">BY175-SUM(BU175:BW175)</f>
        <v>-46</v>
      </c>
      <c r="BY175" s="592">
        <v>-389</v>
      </c>
      <c r="BZ175" s="593">
        <v>-603</v>
      </c>
      <c r="CA175" s="593">
        <f>+-2284-BZ175</f>
        <v>-1681</v>
      </c>
      <c r="CB175" s="593">
        <f>-2489-CA175-BZ175</f>
        <v>-205</v>
      </c>
      <c r="CC175" s="591">
        <f t="shared" ref="CC175:CC180" si="270">CD175-SUM(BZ175:CB175)</f>
        <v>-2</v>
      </c>
      <c r="CD175" s="592">
        <v>-2491</v>
      </c>
      <c r="CE175" s="591">
        <v>-688</v>
      </c>
      <c r="CF175" s="593">
        <v>-35</v>
      </c>
      <c r="CG175" s="812">
        <f>-767-CF175-CE175</f>
        <v>-44</v>
      </c>
      <c r="CH175" s="591">
        <f t="shared" ref="CH175:CH180" si="271">CI175-SUM(CE175:CG175)</f>
        <v>-71</v>
      </c>
      <c r="CI175" s="592">
        <v>-838</v>
      </c>
      <c r="CJ175" s="591">
        <v>-337</v>
      </c>
      <c r="CK175" s="591">
        <f>-520-CJ175</f>
        <v>-183</v>
      </c>
      <c r="CL175" s="591">
        <f>-538-CK175-CJ175</f>
        <v>-18</v>
      </c>
      <c r="CM175" s="591">
        <f t="shared" ref="CM175:CM180" si="272">CN175-SUM(CJ175:CL175)</f>
        <v>-3362</v>
      </c>
      <c r="CN175" s="592">
        <v>-3900</v>
      </c>
      <c r="CO175" s="591">
        <v>-183</v>
      </c>
      <c r="CP175" s="593">
        <f>(CO124-CP124)</f>
        <v>0</v>
      </c>
      <c r="CQ175" s="593">
        <f>(CP124-CQ124)</f>
        <v>0</v>
      </c>
      <c r="CR175" s="593">
        <f>(CQ124-CR124)</f>
        <v>0</v>
      </c>
      <c r="CS175" s="592">
        <f t="shared" ref="CS175:CS180" si="273">SUM(CO175:CR175)</f>
        <v>-183</v>
      </c>
      <c r="CT175" s="593">
        <f>(CS124-CT124)</f>
        <v>0</v>
      </c>
      <c r="CU175" s="593">
        <f>(CT124-CU124)</f>
        <v>0</v>
      </c>
      <c r="CV175" s="593">
        <f>(CU124-CV124)</f>
        <v>0</v>
      </c>
      <c r="CW175" s="593">
        <f>(CV124-CW124)</f>
        <v>0</v>
      </c>
      <c r="CX175" s="592">
        <f t="shared" ref="CX175:CX180" si="274">SUM(CT175:CW175)</f>
        <v>0</v>
      </c>
      <c r="CY175" s="593">
        <f>(CX124-CY124)</f>
        <v>0</v>
      </c>
      <c r="CZ175" s="593">
        <f>(CY124-CZ124)</f>
        <v>0</v>
      </c>
      <c r="DA175" s="593">
        <f>(CZ124-DA124)</f>
        <v>0</v>
      </c>
      <c r="DB175" s="593">
        <f>(DA124-DB124)</f>
        <v>0</v>
      </c>
      <c r="DC175" s="592">
        <f t="shared" ref="DC175:DC180" si="275">SUM(CY175:DB175)</f>
        <v>0</v>
      </c>
      <c r="DD175" s="593">
        <f>(DC124-DD124)</f>
        <v>0</v>
      </c>
      <c r="DE175" s="593">
        <f>(DD124-DE124)</f>
        <v>0</v>
      </c>
      <c r="DF175" s="593">
        <f>(DE124-DF124)</f>
        <v>0</v>
      </c>
      <c r="DG175" s="593">
        <f>(DF124-DG124)</f>
        <v>0</v>
      </c>
      <c r="DH175" s="592">
        <f t="shared" ref="DH175:DH180" si="276">SUM(DD175:DG175)</f>
        <v>0</v>
      </c>
      <c r="DI175" s="593">
        <f>(DH124-DI124)</f>
        <v>0</v>
      </c>
      <c r="DJ175" s="593">
        <f>(DI124-DJ124)</f>
        <v>0</v>
      </c>
      <c r="DK175" s="593">
        <f>(DJ124-DK124)</f>
        <v>0</v>
      </c>
      <c r="DL175" s="593">
        <f>(DK124-DL124)</f>
        <v>0</v>
      </c>
      <c r="DM175" s="592">
        <f t="shared" ref="DM175:DM180" si="277">SUM(DI175:DL175)</f>
        <v>0</v>
      </c>
      <c r="DN175" s="207"/>
    </row>
    <row r="176" spans="1:118" ht="15" x14ac:dyDescent="0.2">
      <c r="A176" s="223" t="s">
        <v>352</v>
      </c>
      <c r="C176" s="328">
        <v>-137</v>
      </c>
      <c r="D176" s="328">
        <v>-117</v>
      </c>
      <c r="E176" s="328">
        <v>-17</v>
      </c>
      <c r="F176" s="328">
        <v>-237</v>
      </c>
      <c r="G176" s="326"/>
      <c r="H176" s="328">
        <v>-184</v>
      </c>
      <c r="I176" s="328">
        <v>-156</v>
      </c>
      <c r="J176" s="328">
        <v>-25</v>
      </c>
      <c r="K176" s="328">
        <v>-91</v>
      </c>
      <c r="L176" s="326">
        <v>-456</v>
      </c>
      <c r="M176" s="328">
        <v>-58</v>
      </c>
      <c r="N176" s="328">
        <v>-4</v>
      </c>
      <c r="O176" s="328">
        <v>-53</v>
      </c>
      <c r="P176" s="328">
        <v>-41</v>
      </c>
      <c r="Q176" s="326">
        <v>-156</v>
      </c>
      <c r="R176" s="328">
        <v>-20</v>
      </c>
      <c r="S176" s="328">
        <v>-35</v>
      </c>
      <c r="T176" s="328">
        <v>-135</v>
      </c>
      <c r="U176" s="328">
        <v>13</v>
      </c>
      <c r="V176" s="326">
        <v>-177</v>
      </c>
      <c r="W176" s="328">
        <v>-20</v>
      </c>
      <c r="X176" s="328">
        <v>-12</v>
      </c>
      <c r="Y176" s="328">
        <v>-21</v>
      </c>
      <c r="Z176" s="328">
        <v>7</v>
      </c>
      <c r="AA176" s="326">
        <v>-46</v>
      </c>
      <c r="AB176" s="328">
        <v>-2</v>
      </c>
      <c r="AC176" s="328">
        <v>-13</v>
      </c>
      <c r="AD176" s="328">
        <v>-52</v>
      </c>
      <c r="AE176" s="328">
        <v>14</v>
      </c>
      <c r="AF176" s="326">
        <v>-53</v>
      </c>
      <c r="AG176" s="328">
        <v>-20</v>
      </c>
      <c r="AH176" s="328">
        <v>-18</v>
      </c>
      <c r="AI176" s="328">
        <v>-37</v>
      </c>
      <c r="AJ176" s="328">
        <v>-7</v>
      </c>
      <c r="AK176" s="326">
        <v>-82</v>
      </c>
      <c r="AL176" s="328">
        <v>-9</v>
      </c>
      <c r="AM176" s="328">
        <v>-32</v>
      </c>
      <c r="AN176" s="328">
        <v>12</v>
      </c>
      <c r="AO176" s="328">
        <v>-70</v>
      </c>
      <c r="AP176" s="326">
        <v>-99</v>
      </c>
      <c r="AQ176" s="328">
        <v>-42</v>
      </c>
      <c r="AR176" s="328">
        <v>-98</v>
      </c>
      <c r="AS176" s="328">
        <v>-72</v>
      </c>
      <c r="AT176" s="328">
        <v>-28</v>
      </c>
      <c r="AU176" s="326">
        <v>-240</v>
      </c>
      <c r="AV176" s="328">
        <v>-6</v>
      </c>
      <c r="AW176" s="328">
        <f>-17-AV176</f>
        <v>-11</v>
      </c>
      <c r="AX176" s="328">
        <f>-20-AW176-AV176</f>
        <v>-3</v>
      </c>
      <c r="AY176" s="328">
        <f t="shared" si="264"/>
        <v>-2132</v>
      </c>
      <c r="AZ176" s="326">
        <v>-2152</v>
      </c>
      <c r="BA176" s="328">
        <v>-915</v>
      </c>
      <c r="BB176" s="328">
        <f>-1431-BA176</f>
        <v>-516</v>
      </c>
      <c r="BC176" s="328">
        <f>-65-BB176-BA176</f>
        <v>1366</v>
      </c>
      <c r="BD176" s="328">
        <f t="shared" si="265"/>
        <v>-67</v>
      </c>
      <c r="BE176" s="326">
        <v>-132</v>
      </c>
      <c r="BF176" s="328">
        <f>-1398+1050</f>
        <v>-348</v>
      </c>
      <c r="BG176" s="328">
        <f>-3901+2908-BF176</f>
        <v>-645</v>
      </c>
      <c r="BH176" s="328">
        <f>-4036+3026-BG176-BF176</f>
        <v>-17</v>
      </c>
      <c r="BI176" s="328">
        <f t="shared" si="266"/>
        <v>223</v>
      </c>
      <c r="BJ176" s="592">
        <v>-787</v>
      </c>
      <c r="BK176" s="593">
        <f>-1900+518-2763</f>
        <v>-4145</v>
      </c>
      <c r="BL176" s="593">
        <f>-4843+1092-3778-BK176</f>
        <v>-3384</v>
      </c>
      <c r="BM176" s="593">
        <f>2745-7015-4756-BL176-BK176</f>
        <v>-1497</v>
      </c>
      <c r="BN176" s="591">
        <f t="shared" si="267"/>
        <v>-208</v>
      </c>
      <c r="BO176" s="592">
        <f>-9590+5622-5266</f>
        <v>-9234</v>
      </c>
      <c r="BP176" s="593">
        <f>-3506+2225-28</f>
        <v>-1309</v>
      </c>
      <c r="BQ176" s="593">
        <f>-7077+5224-BP176</f>
        <v>-544</v>
      </c>
      <c r="BR176" s="593">
        <f>-11451+9601-BQ176-BP176</f>
        <v>3</v>
      </c>
      <c r="BS176" s="591">
        <f t="shared" si="268"/>
        <v>-141</v>
      </c>
      <c r="BT176" s="592">
        <f>-14782+12791</f>
        <v>-1991</v>
      </c>
      <c r="BU176" s="593">
        <f>-4369+2595</f>
        <v>-1774</v>
      </c>
      <c r="BV176" s="593">
        <f>+-7895+6192-BU176</f>
        <v>71</v>
      </c>
      <c r="BW176" s="593">
        <f>-14098+9558-BV176-BU176</f>
        <v>-2837</v>
      </c>
      <c r="BX176" s="591">
        <f t="shared" si="269"/>
        <v>-274</v>
      </c>
      <c r="BY176" s="592">
        <f>-17800+12986</f>
        <v>-4814</v>
      </c>
      <c r="BZ176" s="593">
        <f>-4003+3746</f>
        <v>-257</v>
      </c>
      <c r="CA176" s="593">
        <f>+-6981+6316-BZ176</f>
        <v>-408</v>
      </c>
      <c r="CB176" s="593">
        <f>-12006+10403-CA176-BZ176</f>
        <v>-938</v>
      </c>
      <c r="CC176" s="591">
        <f t="shared" si="270"/>
        <v>-149</v>
      </c>
      <c r="CD176" s="592">
        <f>-15831+14079</f>
        <v>-1752</v>
      </c>
      <c r="CE176" s="591">
        <f>-4763+6010</f>
        <v>1247</v>
      </c>
      <c r="CF176" s="593">
        <v>-774</v>
      </c>
      <c r="CG176" s="812">
        <f>13210-12733-CF176-CE176</f>
        <v>4</v>
      </c>
      <c r="CH176" s="591">
        <f t="shared" si="271"/>
        <v>648</v>
      </c>
      <c r="CI176" s="592">
        <f>16624-15499</f>
        <v>1125</v>
      </c>
      <c r="CJ176" s="591">
        <f>-3551+4176</f>
        <v>625</v>
      </c>
      <c r="CK176" s="591">
        <f>-10047+8337-CJ176</f>
        <v>-2335</v>
      </c>
      <c r="CL176" s="591">
        <f>-12925+12161-CK176-CJ176</f>
        <v>946</v>
      </c>
      <c r="CM176" s="591">
        <f t="shared" si="272"/>
        <v>155</v>
      </c>
      <c r="CN176" s="592">
        <f>-16520+15911</f>
        <v>-609</v>
      </c>
      <c r="CO176" s="591">
        <f>-2669+4379</f>
        <v>1710</v>
      </c>
      <c r="CP176" s="593">
        <f>(CO116-CP116)+(CO117-CP117)</f>
        <v>0</v>
      </c>
      <c r="CQ176" s="593">
        <f>(CP116-CQ116)+(CP117-CQ117)</f>
        <v>1750</v>
      </c>
      <c r="CR176" s="593">
        <f>(CQ116-CR116)+(CQ117-CR117)</f>
        <v>1750</v>
      </c>
      <c r="CS176" s="592">
        <f t="shared" si="273"/>
        <v>5210</v>
      </c>
      <c r="CT176" s="593">
        <f>(CS116-CT116)+(CS117-CT117)</f>
        <v>0</v>
      </c>
      <c r="CU176" s="593">
        <f>(CT116-CU116)+(CT117-CU117)</f>
        <v>0</v>
      </c>
      <c r="CV176" s="593">
        <f>(CU116-CV116)+(CU117-CV117)</f>
        <v>0</v>
      </c>
      <c r="CW176" s="593">
        <f>(CV116-CW116)+(CV117-CW117)</f>
        <v>0</v>
      </c>
      <c r="CX176" s="592">
        <f t="shared" si="274"/>
        <v>0</v>
      </c>
      <c r="CY176" s="593">
        <f>(CX116-CY116)+(CX117-CY117)</f>
        <v>0</v>
      </c>
      <c r="CZ176" s="593">
        <f>(CY116-CZ116)+(CY117-CZ117)</f>
        <v>0</v>
      </c>
      <c r="DA176" s="593">
        <f>(CZ116-DA116)+(CZ117-DA117)</f>
        <v>0</v>
      </c>
      <c r="DB176" s="593">
        <f>(DA116-DB116)+(DA117-DB117)</f>
        <v>0</v>
      </c>
      <c r="DC176" s="592">
        <f t="shared" si="275"/>
        <v>0</v>
      </c>
      <c r="DD176" s="593">
        <f>(DC116-DD116)+(DC117-DD117)</f>
        <v>0</v>
      </c>
      <c r="DE176" s="593">
        <f>(DD116-DE116)+(DD117-DE117)</f>
        <v>0</v>
      </c>
      <c r="DF176" s="593">
        <f>(DE116-DF116)+(DE117-DF117)</f>
        <v>0</v>
      </c>
      <c r="DG176" s="593">
        <f>(DF116-DG116)+(DF117-DG117)</f>
        <v>0</v>
      </c>
      <c r="DH176" s="592">
        <f t="shared" si="276"/>
        <v>0</v>
      </c>
      <c r="DI176" s="593">
        <f>(DH116-DI116)+(DH117-DI117)</f>
        <v>0</v>
      </c>
      <c r="DJ176" s="593">
        <f>(DI116-DJ116)+(DI117-DJ117)</f>
        <v>0</v>
      </c>
      <c r="DK176" s="593">
        <f>(DJ116-DK116)+(DJ117-DK117)</f>
        <v>0</v>
      </c>
      <c r="DL176" s="593">
        <f>(DK116-DL116)+(DK117-DL117)</f>
        <v>0</v>
      </c>
      <c r="DM176" s="592">
        <f t="shared" si="277"/>
        <v>0</v>
      </c>
      <c r="DN176" s="207"/>
    </row>
    <row r="177" spans="1:118" ht="15" x14ac:dyDescent="0.2">
      <c r="A177" s="223" t="s">
        <v>351</v>
      </c>
      <c r="C177" s="328">
        <v>24</v>
      </c>
      <c r="D177" s="328">
        <v>6</v>
      </c>
      <c r="E177" s="328">
        <v>81</v>
      </c>
      <c r="F177" s="328">
        <v>179</v>
      </c>
      <c r="G177" s="326"/>
      <c r="H177" s="328">
        <v>16</v>
      </c>
      <c r="I177" s="328">
        <v>124</v>
      </c>
      <c r="J177" s="328">
        <v>39</v>
      </c>
      <c r="K177" s="328">
        <v>276</v>
      </c>
      <c r="L177" s="326">
        <v>455</v>
      </c>
      <c r="M177" s="328">
        <v>74</v>
      </c>
      <c r="N177" s="328">
        <v>-28</v>
      </c>
      <c r="O177" s="328">
        <v>231</v>
      </c>
      <c r="P177" s="328">
        <v>-34</v>
      </c>
      <c r="Q177" s="326">
        <v>243</v>
      </c>
      <c r="R177" s="328">
        <v>130</v>
      </c>
      <c r="S177" s="328">
        <v>0</v>
      </c>
      <c r="T177" s="328">
        <f>172-S177-R177</f>
        <v>42</v>
      </c>
      <c r="U177" s="328">
        <f>V177-SUM(R177:T177)</f>
        <v>-25</v>
      </c>
      <c r="V177" s="326">
        <v>147</v>
      </c>
      <c r="W177" s="328">
        <v>30</v>
      </c>
      <c r="X177" s="328">
        <v>10</v>
      </c>
      <c r="Y177" s="328">
        <v>16</v>
      </c>
      <c r="Z177" s="328">
        <v>105</v>
      </c>
      <c r="AA177" s="326">
        <v>161</v>
      </c>
      <c r="AB177" s="328">
        <v>15</v>
      </c>
      <c r="AC177" s="328">
        <v>4</v>
      </c>
      <c r="AD177" s="328">
        <v>1</v>
      </c>
      <c r="AE177" s="328">
        <v>13</v>
      </c>
      <c r="AF177" s="326">
        <v>33</v>
      </c>
      <c r="AG177" s="328">
        <v>7</v>
      </c>
      <c r="AH177" s="328">
        <v>201</v>
      </c>
      <c r="AI177" s="328">
        <v>2</v>
      </c>
      <c r="AJ177" s="328">
        <v>430</v>
      </c>
      <c r="AK177" s="326">
        <v>640</v>
      </c>
      <c r="AL177" s="328">
        <v>246</v>
      </c>
      <c r="AM177" s="328">
        <v>12</v>
      </c>
      <c r="AN177" s="328">
        <v>8</v>
      </c>
      <c r="AO177" s="328">
        <v>182</v>
      </c>
      <c r="AP177" s="326">
        <v>448</v>
      </c>
      <c r="AQ177" s="328">
        <v>97</v>
      </c>
      <c r="AR177" s="328">
        <v>290</v>
      </c>
      <c r="AS177" s="328">
        <v>67</v>
      </c>
      <c r="AT177" s="328">
        <v>25</v>
      </c>
      <c r="AU177" s="326">
        <v>479</v>
      </c>
      <c r="AV177" s="328">
        <v>37</v>
      </c>
      <c r="AW177" s="328">
        <f>45-AV177</f>
        <v>8</v>
      </c>
      <c r="AX177" s="328">
        <f>102-AW177-AV177</f>
        <v>57</v>
      </c>
      <c r="AY177" s="328">
        <f t="shared" si="264"/>
        <v>138</v>
      </c>
      <c r="AZ177" s="326">
        <v>240</v>
      </c>
      <c r="BA177" s="328">
        <v>14</v>
      </c>
      <c r="BB177" s="328">
        <f>1201-BA177</f>
        <v>1187</v>
      </c>
      <c r="BC177" s="328">
        <f>1050-BB177-BA177</f>
        <v>-151</v>
      </c>
      <c r="BD177" s="328">
        <f t="shared" si="265"/>
        <v>-78</v>
      </c>
      <c r="BE177" s="326">
        <v>972</v>
      </c>
      <c r="BF177" s="328">
        <v>395</v>
      </c>
      <c r="BG177" s="328">
        <f>395-BF177</f>
        <v>0</v>
      </c>
      <c r="BH177" s="328">
        <f>468-BG177-BF177</f>
        <v>73</v>
      </c>
      <c r="BI177" s="328">
        <f t="shared" si="266"/>
        <v>94</v>
      </c>
      <c r="BJ177" s="592">
        <v>562</v>
      </c>
      <c r="BK177" s="593">
        <v>49</v>
      </c>
      <c r="BL177" s="593">
        <f>957-BK177</f>
        <v>908</v>
      </c>
      <c r="BM177" s="593">
        <f>1703-BL177-BK177</f>
        <v>746</v>
      </c>
      <c r="BN177" s="591">
        <f t="shared" si="267"/>
        <v>486</v>
      </c>
      <c r="BO177" s="592">
        <v>2189</v>
      </c>
      <c r="BP177" s="593">
        <v>690</v>
      </c>
      <c r="BQ177" s="593">
        <f>690-BP177</f>
        <v>0</v>
      </c>
      <c r="BR177" s="593">
        <f>869-BQ177-BP177</f>
        <v>179</v>
      </c>
      <c r="BS177" s="591">
        <f t="shared" si="268"/>
        <v>3</v>
      </c>
      <c r="BT177" s="592">
        <f>872</f>
        <v>872</v>
      </c>
      <c r="BU177" s="593">
        <v>0</v>
      </c>
      <c r="BV177" s="593">
        <f>45-BU177</f>
        <v>45</v>
      </c>
      <c r="BW177" s="593">
        <f>73-BV177-BU177</f>
        <v>28</v>
      </c>
      <c r="BX177" s="591">
        <f t="shared" si="269"/>
        <v>75</v>
      </c>
      <c r="BY177" s="592">
        <f>148</f>
        <v>148</v>
      </c>
      <c r="BZ177" s="593">
        <v>229</v>
      </c>
      <c r="CA177" s="593">
        <f>413-BZ177</f>
        <v>184</v>
      </c>
      <c r="CB177" s="593">
        <f>416-CA177-BZ177</f>
        <v>3</v>
      </c>
      <c r="CC177" s="591">
        <f t="shared" si="270"/>
        <v>149</v>
      </c>
      <c r="CD177" s="592">
        <v>565</v>
      </c>
      <c r="CE177" s="591">
        <f>291</f>
        <v>291</v>
      </c>
      <c r="CF177" s="593">
        <v>129</v>
      </c>
      <c r="CG177" s="812">
        <f>745-CF177-CE177</f>
        <v>325</v>
      </c>
      <c r="CH177" s="591">
        <f t="shared" si="271"/>
        <v>290</v>
      </c>
      <c r="CI177" s="592">
        <v>1035</v>
      </c>
      <c r="CJ177" s="591">
        <v>1430</v>
      </c>
      <c r="CK177" s="591">
        <f>2055-CJ177</f>
        <v>625</v>
      </c>
      <c r="CL177" s="591">
        <f>2790-CK177-CJ177</f>
        <v>735</v>
      </c>
      <c r="CM177" s="591">
        <f t="shared" si="272"/>
        <v>1031</v>
      </c>
      <c r="CN177" s="592">
        <v>3821</v>
      </c>
      <c r="CO177" s="591">
        <v>3</v>
      </c>
      <c r="CP177" s="594">
        <v>0</v>
      </c>
      <c r="CQ177" s="594">
        <v>0</v>
      </c>
      <c r="CR177" s="594">
        <v>0</v>
      </c>
      <c r="CS177" s="592">
        <f t="shared" si="273"/>
        <v>3</v>
      </c>
      <c r="CT177" s="594">
        <v>0</v>
      </c>
      <c r="CU177" s="594">
        <v>0</v>
      </c>
      <c r="CV177" s="594">
        <v>0</v>
      </c>
      <c r="CW177" s="594">
        <v>0</v>
      </c>
      <c r="CX177" s="592">
        <f t="shared" si="274"/>
        <v>0</v>
      </c>
      <c r="CY177" s="594">
        <v>0</v>
      </c>
      <c r="CZ177" s="594">
        <v>0</v>
      </c>
      <c r="DA177" s="594">
        <v>0</v>
      </c>
      <c r="DB177" s="594">
        <v>0</v>
      </c>
      <c r="DC177" s="592">
        <f t="shared" si="275"/>
        <v>0</v>
      </c>
      <c r="DD177" s="594">
        <v>0</v>
      </c>
      <c r="DE177" s="594">
        <v>0</v>
      </c>
      <c r="DF177" s="594">
        <v>0</v>
      </c>
      <c r="DG177" s="594">
        <v>0</v>
      </c>
      <c r="DH177" s="592">
        <f t="shared" si="276"/>
        <v>0</v>
      </c>
      <c r="DI177" s="594">
        <v>0</v>
      </c>
      <c r="DJ177" s="594">
        <v>0</v>
      </c>
      <c r="DK177" s="594">
        <v>0</v>
      </c>
      <c r="DL177" s="594">
        <v>0</v>
      </c>
      <c r="DM177" s="592">
        <f t="shared" si="277"/>
        <v>0</v>
      </c>
      <c r="DN177" s="207"/>
    </row>
    <row r="178" spans="1:118" ht="15" x14ac:dyDescent="0.2">
      <c r="A178" s="223" t="s">
        <v>341</v>
      </c>
      <c r="C178" s="328">
        <v>-227</v>
      </c>
      <c r="D178" s="328">
        <v>-192</v>
      </c>
      <c r="E178" s="328">
        <v>-152</v>
      </c>
      <c r="F178" s="328">
        <v>-162</v>
      </c>
      <c r="G178" s="326"/>
      <c r="H178" s="328">
        <v>-137</v>
      </c>
      <c r="I178" s="328">
        <v>-176</v>
      </c>
      <c r="J178" s="328">
        <v>-215</v>
      </c>
      <c r="K178" s="328">
        <v>-241</v>
      </c>
      <c r="L178" s="326">
        <v>-769</v>
      </c>
      <c r="M178" s="328">
        <v>-175</v>
      </c>
      <c r="N178" s="328">
        <v>-199</v>
      </c>
      <c r="O178" s="328">
        <v>-208</v>
      </c>
      <c r="P178" s="328">
        <v>-269</v>
      </c>
      <c r="Q178" s="326">
        <v>-851</v>
      </c>
      <c r="R178" s="328">
        <v>-195</v>
      </c>
      <c r="S178" s="328">
        <v>-203</v>
      </c>
      <c r="T178" s="328">
        <v>-167</v>
      </c>
      <c r="U178" s="328">
        <v>-247</v>
      </c>
      <c r="V178" s="326">
        <v>-812</v>
      </c>
      <c r="W178" s="328">
        <v>-170</v>
      </c>
      <c r="X178" s="328">
        <v>-182</v>
      </c>
      <c r="Y178" s="328">
        <v>-168</v>
      </c>
      <c r="Z178" s="328">
        <v>-235</v>
      </c>
      <c r="AA178" s="326">
        <v>-755</v>
      </c>
      <c r="AB178" s="328">
        <v>-165</v>
      </c>
      <c r="AC178" s="328">
        <v>-211</v>
      </c>
      <c r="AD178" s="328">
        <v>-257</v>
      </c>
      <c r="AE178" s="328">
        <v>-266</v>
      </c>
      <c r="AF178" s="326">
        <v>-899</v>
      </c>
      <c r="AG178" s="328">
        <v>-256</v>
      </c>
      <c r="AH178" s="328">
        <v>-370</v>
      </c>
      <c r="AI178" s="328">
        <v>-334</v>
      </c>
      <c r="AJ178" s="328">
        <v>-447</v>
      </c>
      <c r="AK178" s="326">
        <v>-1407</v>
      </c>
      <c r="AL178" s="328">
        <v>-350</v>
      </c>
      <c r="AM178" s="328">
        <v>-420</v>
      </c>
      <c r="AN178" s="328">
        <v>-321</v>
      </c>
      <c r="AO178" s="328">
        <v>-557</v>
      </c>
      <c r="AP178" s="326">
        <v>-1648</v>
      </c>
      <c r="AQ178" s="328">
        <v>-386</v>
      </c>
      <c r="AR178" s="328">
        <v>-510</v>
      </c>
      <c r="AS178" s="328">
        <v>-474</v>
      </c>
      <c r="AT178" s="328">
        <v>-598</v>
      </c>
      <c r="AU178" s="326">
        <v>-1968</v>
      </c>
      <c r="AV178" s="328">
        <v>-467</v>
      </c>
      <c r="AW178" s="328">
        <f>-980-AV178</f>
        <v>-513</v>
      </c>
      <c r="AX178" s="328">
        <f>-1399-AW178-AV178</f>
        <v>-419</v>
      </c>
      <c r="AY178" s="328">
        <f t="shared" si="264"/>
        <v>-594</v>
      </c>
      <c r="AZ178" s="326">
        <v>-1993</v>
      </c>
      <c r="BA178" s="328">
        <v>-393</v>
      </c>
      <c r="BB178" s="328">
        <f>-893-BA178</f>
        <v>-500</v>
      </c>
      <c r="BC178" s="328">
        <f>-1335-BB178-BA178</f>
        <v>-442</v>
      </c>
      <c r="BD178" s="328">
        <f t="shared" si="265"/>
        <v>-880</v>
      </c>
      <c r="BE178" s="326">
        <v>-2215</v>
      </c>
      <c r="BF178" s="328">
        <v>-589</v>
      </c>
      <c r="BG178" s="328">
        <f>-1190-BF178</f>
        <v>-601</v>
      </c>
      <c r="BH178" s="328">
        <f>-1915-BG178-BF178</f>
        <v>-725</v>
      </c>
      <c r="BI178" s="328">
        <f t="shared" si="266"/>
        <v>-1005</v>
      </c>
      <c r="BJ178" s="592">
        <v>-2920</v>
      </c>
      <c r="BK178" s="593">
        <v>-592</v>
      </c>
      <c r="BL178" s="593">
        <f>-1305-BK178</f>
        <v>-713</v>
      </c>
      <c r="BM178" s="593">
        <f>-1971-BL178-BK178</f>
        <v>-666</v>
      </c>
      <c r="BN178" s="591">
        <f t="shared" si="267"/>
        <v>-809</v>
      </c>
      <c r="BO178" s="592">
        <v>-2780</v>
      </c>
      <c r="BP178" s="593">
        <v>-498</v>
      </c>
      <c r="BQ178" s="593">
        <f>-1069-BP178</f>
        <v>-571</v>
      </c>
      <c r="BR178" s="593">
        <f>-1625-BQ178-BP178</f>
        <v>-556</v>
      </c>
      <c r="BS178" s="591">
        <f t="shared" si="268"/>
        <v>-925</v>
      </c>
      <c r="BT178" s="592">
        <v>-2550</v>
      </c>
      <c r="BU178" s="593">
        <v>-449</v>
      </c>
      <c r="BV178" s="593">
        <f>+-1030-BU178</f>
        <v>-581</v>
      </c>
      <c r="BW178" s="593">
        <f>-1618-BV178-BU178</f>
        <v>-588</v>
      </c>
      <c r="BX178" s="591">
        <f t="shared" si="269"/>
        <v>-788</v>
      </c>
      <c r="BY178" s="592">
        <v>-2406</v>
      </c>
      <c r="BZ178" s="593">
        <v>-516</v>
      </c>
      <c r="CA178" s="593">
        <f>+-1114-BZ178</f>
        <v>-598</v>
      </c>
      <c r="CB178" s="593">
        <f>-1670-CA178-BZ178</f>
        <v>-556</v>
      </c>
      <c r="CC178" s="591">
        <f t="shared" si="270"/>
        <v>-883</v>
      </c>
      <c r="CD178" s="592">
        <v>-2553</v>
      </c>
      <c r="CE178" s="591">
        <v>-536</v>
      </c>
      <c r="CF178" s="593">
        <v>-549</v>
      </c>
      <c r="CG178" s="812">
        <f>-1561-CF178-CE178</f>
        <v>-476</v>
      </c>
      <c r="CH178" s="591">
        <f t="shared" si="271"/>
        <v>-701</v>
      </c>
      <c r="CI178" s="592">
        <v>-2262</v>
      </c>
      <c r="CJ178" s="591">
        <v>-442</v>
      </c>
      <c r="CK178" s="591">
        <f>-832-CJ178</f>
        <v>-390</v>
      </c>
      <c r="CL178" s="591">
        <f>-1194-CK178-CJ178</f>
        <v>-362</v>
      </c>
      <c r="CM178" s="591">
        <f t="shared" si="272"/>
        <v>-481</v>
      </c>
      <c r="CN178" s="592">
        <v>-1675</v>
      </c>
      <c r="CO178" s="591">
        <v>-274</v>
      </c>
      <c r="CP178" s="593">
        <f>-CP216*CP5</f>
        <v>-521.52487632634279</v>
      </c>
      <c r="CQ178" s="593">
        <f>-CQ216*CQ5</f>
        <v>-492.78398182635908</v>
      </c>
      <c r="CR178" s="593">
        <f>-CR216*CR5</f>
        <v>-614.4204973861896</v>
      </c>
      <c r="CS178" s="592">
        <f t="shared" si="273"/>
        <v>-1902.7293555388915</v>
      </c>
      <c r="CT178" s="593">
        <f>-CT216*CT5</f>
        <v>-382.67393963120736</v>
      </c>
      <c r="CU178" s="593">
        <f>-CU216*CU5</f>
        <v>-365.09440212784807</v>
      </c>
      <c r="CV178" s="593">
        <f>-CV216*CV5</f>
        <v>-345.22723706780982</v>
      </c>
      <c r="CW178" s="593">
        <f>-CW216*CW5</f>
        <v>-489.40932925418366</v>
      </c>
      <c r="CX178" s="592">
        <f t="shared" si="274"/>
        <v>-1582.4049080810489</v>
      </c>
      <c r="CY178" s="593">
        <f>-CY216*CY5</f>
        <v>-398.18969414871447</v>
      </c>
      <c r="CZ178" s="593">
        <f>-CZ216*CZ5</f>
        <v>-379.76495074846702</v>
      </c>
      <c r="DA178" s="593">
        <f>-DA216*DA5</f>
        <v>-359.4405782978115</v>
      </c>
      <c r="DB178" s="593">
        <f>-DB216*DB5</f>
        <v>-510.57546699433129</v>
      </c>
      <c r="DC178" s="592">
        <f t="shared" si="275"/>
        <v>-1647.9706901893242</v>
      </c>
      <c r="DD178" s="593">
        <f>-DD216*DD5</f>
        <v>-412.45027472890888</v>
      </c>
      <c r="DE178" s="593">
        <f>-DE216*DE5</f>
        <v>-393.33570796262131</v>
      </c>
      <c r="DF178" s="593">
        <f>-DF216*DF5</f>
        <v>-372.67585612137776</v>
      </c>
      <c r="DG178" s="593">
        <f>-DG216*DG5</f>
        <v>-530.50853964992757</v>
      </c>
      <c r="DH178" s="592">
        <f t="shared" si="276"/>
        <v>-1708.9703784628355</v>
      </c>
      <c r="DI178" s="593">
        <f>-DI216*DI5</f>
        <v>-426.48089412052929</v>
      </c>
      <c r="DJ178" s="593">
        <f>-DJ216*DJ5</f>
        <v>-406.7370249612282</v>
      </c>
      <c r="DK178" s="593">
        <f>-DK216*DK5</f>
        <v>-385.69928313659625</v>
      </c>
      <c r="DL178" s="593">
        <f>-DL216*DL5</f>
        <v>-549.96095489525112</v>
      </c>
      <c r="DM178" s="592">
        <f t="shared" si="277"/>
        <v>-1768.8781571136051</v>
      </c>
      <c r="DN178" s="207"/>
    </row>
    <row r="179" spans="1:118" ht="15" x14ac:dyDescent="0.2">
      <c r="A179" s="223" t="s">
        <v>342</v>
      </c>
      <c r="C179" s="328">
        <v>3</v>
      </c>
      <c r="D179" s="328">
        <v>8</v>
      </c>
      <c r="E179" s="328">
        <v>6</v>
      </c>
      <c r="F179" s="328">
        <v>28</v>
      </c>
      <c r="G179" s="326"/>
      <c r="H179" s="328">
        <v>17</v>
      </c>
      <c r="I179" s="328">
        <v>38</v>
      </c>
      <c r="J179" s="328">
        <v>15</v>
      </c>
      <c r="K179" s="328">
        <v>21</v>
      </c>
      <c r="L179" s="326">
        <v>91</v>
      </c>
      <c r="M179" s="328">
        <v>22</v>
      </c>
      <c r="N179" s="328">
        <v>13</v>
      </c>
      <c r="O179" s="328">
        <v>20</v>
      </c>
      <c r="P179" s="328">
        <v>14</v>
      </c>
      <c r="Q179" s="326">
        <v>69</v>
      </c>
      <c r="R179" s="328">
        <v>7</v>
      </c>
      <c r="S179" s="328">
        <v>40</v>
      </c>
      <c r="T179" s="328">
        <f>54-S179-R179</f>
        <v>7</v>
      </c>
      <c r="U179" s="328">
        <f>V179-SUM(R179:T179)</f>
        <v>33</v>
      </c>
      <c r="V179" s="326">
        <v>87</v>
      </c>
      <c r="W179" s="328">
        <v>22</v>
      </c>
      <c r="X179" s="328">
        <v>22</v>
      </c>
      <c r="Y179" s="328">
        <v>13</v>
      </c>
      <c r="Z179" s="328">
        <v>284</v>
      </c>
      <c r="AA179" s="326">
        <v>341</v>
      </c>
      <c r="AB179" s="328">
        <v>14</v>
      </c>
      <c r="AC179" s="328">
        <v>12</v>
      </c>
      <c r="AD179" s="328">
        <v>62</v>
      </c>
      <c r="AE179" s="328">
        <v>0</v>
      </c>
      <c r="AF179" s="326">
        <v>88</v>
      </c>
      <c r="AG179" s="328">
        <v>12</v>
      </c>
      <c r="AH179" s="328">
        <v>39</v>
      </c>
      <c r="AI179" s="328">
        <v>21</v>
      </c>
      <c r="AJ179" s="328">
        <v>40</v>
      </c>
      <c r="AK179" s="326">
        <v>112</v>
      </c>
      <c r="AL179" s="328">
        <v>89</v>
      </c>
      <c r="AM179" s="328">
        <v>62</v>
      </c>
      <c r="AN179" s="328">
        <v>28</v>
      </c>
      <c r="AO179" s="328">
        <v>60</v>
      </c>
      <c r="AP179" s="326">
        <v>239</v>
      </c>
      <c r="AQ179" s="328">
        <v>14</v>
      </c>
      <c r="AR179" s="328">
        <v>32</v>
      </c>
      <c r="AS179" s="328">
        <v>0</v>
      </c>
      <c r="AT179" s="328">
        <v>83</v>
      </c>
      <c r="AU179" s="326">
        <v>129</v>
      </c>
      <c r="AV179" s="328">
        <v>7</v>
      </c>
      <c r="AW179" s="328">
        <f>32-AV179</f>
        <v>25</v>
      </c>
      <c r="AX179" s="328">
        <f>34-AW179-AV179</f>
        <v>2</v>
      </c>
      <c r="AY179" s="328">
        <f t="shared" si="264"/>
        <v>70</v>
      </c>
      <c r="AZ179" s="326">
        <v>104</v>
      </c>
      <c r="BA179" s="328">
        <v>16</v>
      </c>
      <c r="BB179" s="328">
        <f>65-BA179</f>
        <v>49</v>
      </c>
      <c r="BC179" s="328">
        <f>94-BB179-BA179</f>
        <v>29</v>
      </c>
      <c r="BD179" s="328">
        <f t="shared" si="265"/>
        <v>40</v>
      </c>
      <c r="BE179" s="326">
        <v>134</v>
      </c>
      <c r="BF179" s="328">
        <v>23</v>
      </c>
      <c r="BG179" s="328">
        <f>46-BF179</f>
        <v>23</v>
      </c>
      <c r="BH179" s="328">
        <f>66-BG179-BF179</f>
        <v>20</v>
      </c>
      <c r="BI179" s="328">
        <f t="shared" si="266"/>
        <v>35</v>
      </c>
      <c r="BJ179" s="592">
        <v>101</v>
      </c>
      <c r="BK179" s="593">
        <v>27</v>
      </c>
      <c r="BL179" s="593">
        <f>57-BK179</f>
        <v>30</v>
      </c>
      <c r="BM179" s="593">
        <f>73-BL179-BK179</f>
        <v>16</v>
      </c>
      <c r="BN179" s="591">
        <f t="shared" si="267"/>
        <v>70</v>
      </c>
      <c r="BO179" s="592">
        <v>143</v>
      </c>
      <c r="BP179" s="593">
        <v>35</v>
      </c>
      <c r="BQ179" s="593">
        <f>57-BP179</f>
        <v>22</v>
      </c>
      <c r="BR179" s="593">
        <f>64-BQ179-BP179</f>
        <v>7</v>
      </c>
      <c r="BS179" s="591">
        <f t="shared" si="268"/>
        <v>47</v>
      </c>
      <c r="BT179" s="592">
        <v>111</v>
      </c>
      <c r="BU179" s="593">
        <v>68</v>
      </c>
      <c r="BV179" s="593">
        <f>134-BU179</f>
        <v>66</v>
      </c>
      <c r="BW179" s="593">
        <f>150-BV179-BU179</f>
        <v>16</v>
      </c>
      <c r="BX179" s="591">
        <f t="shared" si="269"/>
        <v>73</v>
      </c>
      <c r="BY179" s="592">
        <v>223</v>
      </c>
      <c r="BZ179" s="593">
        <v>21</v>
      </c>
      <c r="CA179" s="593">
        <f>33-BZ179</f>
        <v>12</v>
      </c>
      <c r="CB179" s="593">
        <f>50-CA179-BZ179</f>
        <v>17</v>
      </c>
      <c r="CC179" s="591">
        <f t="shared" si="270"/>
        <v>35</v>
      </c>
      <c r="CD179" s="592">
        <v>85</v>
      </c>
      <c r="CE179" s="591">
        <v>29</v>
      </c>
      <c r="CF179" s="593">
        <v>12</v>
      </c>
      <c r="CG179" s="812">
        <f>92-CF179-CE179</f>
        <v>51</v>
      </c>
      <c r="CH179" s="591">
        <f t="shared" si="271"/>
        <v>58</v>
      </c>
      <c r="CI179" s="592">
        <v>150</v>
      </c>
      <c r="CJ179" s="591">
        <v>18</v>
      </c>
      <c r="CK179" s="591">
        <f>42-CJ179</f>
        <v>24</v>
      </c>
      <c r="CL179" s="591">
        <f>72-CK179-CJ179</f>
        <v>30</v>
      </c>
      <c r="CM179" s="591">
        <f t="shared" si="272"/>
        <v>32</v>
      </c>
      <c r="CN179" s="592">
        <v>104</v>
      </c>
      <c r="CO179" s="591">
        <v>43</v>
      </c>
      <c r="CP179" s="594">
        <v>0</v>
      </c>
      <c r="CQ179" s="594">
        <v>0</v>
      </c>
      <c r="CR179" s="594">
        <v>0</v>
      </c>
      <c r="CS179" s="592">
        <f t="shared" si="273"/>
        <v>43</v>
      </c>
      <c r="CT179" s="594">
        <v>0</v>
      </c>
      <c r="CU179" s="594">
        <v>0</v>
      </c>
      <c r="CV179" s="594">
        <v>0</v>
      </c>
      <c r="CW179" s="594">
        <v>0</v>
      </c>
      <c r="CX179" s="592">
        <f t="shared" si="274"/>
        <v>0</v>
      </c>
      <c r="CY179" s="594">
        <v>0</v>
      </c>
      <c r="CZ179" s="594">
        <v>0</v>
      </c>
      <c r="DA179" s="594">
        <v>0</v>
      </c>
      <c r="DB179" s="594">
        <v>0</v>
      </c>
      <c r="DC179" s="592">
        <f t="shared" si="275"/>
        <v>0</v>
      </c>
      <c r="DD179" s="594">
        <v>0</v>
      </c>
      <c r="DE179" s="594">
        <v>0</v>
      </c>
      <c r="DF179" s="594">
        <v>0</v>
      </c>
      <c r="DG179" s="594">
        <v>0</v>
      </c>
      <c r="DH179" s="592">
        <f t="shared" si="276"/>
        <v>0</v>
      </c>
      <c r="DI179" s="594">
        <v>0</v>
      </c>
      <c r="DJ179" s="594">
        <v>0</v>
      </c>
      <c r="DK179" s="594">
        <v>0</v>
      </c>
      <c r="DL179" s="594">
        <v>0</v>
      </c>
      <c r="DM179" s="592">
        <f t="shared" si="277"/>
        <v>0</v>
      </c>
      <c r="DN179" s="207"/>
    </row>
    <row r="180" spans="1:118" ht="15" x14ac:dyDescent="0.2">
      <c r="A180" s="223" t="s">
        <v>343</v>
      </c>
      <c r="C180" s="330">
        <v>15</v>
      </c>
      <c r="D180" s="330">
        <v>-19</v>
      </c>
      <c r="E180" s="330">
        <v>66</v>
      </c>
      <c r="F180" s="349">
        <v>76</v>
      </c>
      <c r="G180" s="331"/>
      <c r="H180" s="330">
        <v>106</v>
      </c>
      <c r="I180" s="330">
        <v>-2</v>
      </c>
      <c r="J180" s="330">
        <v>8</v>
      </c>
      <c r="K180" s="349">
        <v>30</v>
      </c>
      <c r="L180" s="331">
        <v>142</v>
      </c>
      <c r="M180" s="330">
        <v>23</v>
      </c>
      <c r="N180" s="330">
        <v>13</v>
      </c>
      <c r="O180" s="330">
        <v>13</v>
      </c>
      <c r="P180" s="349">
        <v>3</v>
      </c>
      <c r="Q180" s="331">
        <v>52</v>
      </c>
      <c r="R180" s="330">
        <v>59</v>
      </c>
      <c r="S180" s="330">
        <v>-42</v>
      </c>
      <c r="T180" s="330">
        <v>12</v>
      </c>
      <c r="U180" s="349">
        <v>149</v>
      </c>
      <c r="V180" s="331">
        <v>178</v>
      </c>
      <c r="W180" s="330">
        <v>45</v>
      </c>
      <c r="X180" s="330">
        <v>10</v>
      </c>
      <c r="Y180" s="330">
        <v>21</v>
      </c>
      <c r="Z180" s="349">
        <v>-13</v>
      </c>
      <c r="AA180" s="331">
        <v>63</v>
      </c>
      <c r="AB180" s="330">
        <v>-14</v>
      </c>
      <c r="AC180" s="330">
        <v>-17</v>
      </c>
      <c r="AD180" s="330">
        <v>41</v>
      </c>
      <c r="AE180" s="349">
        <v>-38</v>
      </c>
      <c r="AF180" s="331">
        <v>-28</v>
      </c>
      <c r="AG180" s="330">
        <v>-3</v>
      </c>
      <c r="AH180" s="330">
        <v>-4</v>
      </c>
      <c r="AI180" s="330">
        <v>2</v>
      </c>
      <c r="AJ180" s="349">
        <v>-57</v>
      </c>
      <c r="AK180" s="331">
        <v>-62</v>
      </c>
      <c r="AL180" s="330">
        <v>-4</v>
      </c>
      <c r="AM180" s="330">
        <v>9</v>
      </c>
      <c r="AN180" s="330">
        <v>-7</v>
      </c>
      <c r="AO180" s="349">
        <v>-4</v>
      </c>
      <c r="AP180" s="331">
        <v>-6</v>
      </c>
      <c r="AQ180" s="330">
        <v>-2</v>
      </c>
      <c r="AR180" s="330">
        <v>-8</v>
      </c>
      <c r="AS180" s="330">
        <v>-47</v>
      </c>
      <c r="AT180" s="349">
        <v>53</v>
      </c>
      <c r="AU180" s="331">
        <v>-4</v>
      </c>
      <c r="AV180" s="330">
        <v>9</v>
      </c>
      <c r="AW180" s="330">
        <f>4-AV180</f>
        <v>-5</v>
      </c>
      <c r="AX180" s="330">
        <f>9-AW180-AV180</f>
        <v>5</v>
      </c>
      <c r="AY180" s="349">
        <f t="shared" si="264"/>
        <v>-57</v>
      </c>
      <c r="AZ180" s="331">
        <v>-48</v>
      </c>
      <c r="BA180" s="330">
        <v>-84</v>
      </c>
      <c r="BB180" s="330">
        <f>-136-BA180</f>
        <v>-52</v>
      </c>
      <c r="BC180" s="330">
        <f>-149-3252+2742-BB180-BA180</f>
        <v>-523</v>
      </c>
      <c r="BD180" s="349">
        <f t="shared" si="265"/>
        <v>553</v>
      </c>
      <c r="BE180" s="331">
        <v>-106</v>
      </c>
      <c r="BF180" s="330">
        <f>-11-328</f>
        <v>-339</v>
      </c>
      <c r="BG180" s="330">
        <f>-7-319-BF180</f>
        <v>13</v>
      </c>
      <c r="BH180" s="330">
        <f>-611-102-BG180-BF180</f>
        <v>-387</v>
      </c>
      <c r="BI180" s="349">
        <f t="shared" si="266"/>
        <v>620</v>
      </c>
      <c r="BJ180" s="595">
        <v>-93</v>
      </c>
      <c r="BK180" s="599">
        <v>-101</v>
      </c>
      <c r="BL180" s="599">
        <f>16-BK180</f>
        <v>117</v>
      </c>
      <c r="BM180" s="599">
        <f>-12-BL180-BK180</f>
        <v>-28</v>
      </c>
      <c r="BN180" s="598">
        <f t="shared" si="267"/>
        <v>-175</v>
      </c>
      <c r="BO180" s="595">
        <v>-187</v>
      </c>
      <c r="BP180" s="599">
        <v>-136</v>
      </c>
      <c r="BQ180" s="599">
        <f>-225-BP180</f>
        <v>-89</v>
      </c>
      <c r="BR180" s="599">
        <f>-115-BQ180-BP180</f>
        <v>110</v>
      </c>
      <c r="BS180" s="598">
        <f t="shared" si="268"/>
        <v>-188</v>
      </c>
      <c r="BT180" s="595">
        <v>-303</v>
      </c>
      <c r="BU180" s="599">
        <v>27</v>
      </c>
      <c r="BV180" s="599">
        <f>-242-BU180</f>
        <v>-269</v>
      </c>
      <c r="BW180" s="599">
        <f>-280-BV180-BU180</f>
        <v>-38</v>
      </c>
      <c r="BX180" s="598">
        <f t="shared" si="269"/>
        <v>12</v>
      </c>
      <c r="BY180" s="595">
        <v>-268</v>
      </c>
      <c r="BZ180" s="599">
        <v>314</v>
      </c>
      <c r="CA180" s="599">
        <f>-139-BZ180</f>
        <v>-453</v>
      </c>
      <c r="CB180" s="599">
        <f>-117-CA180-BZ180</f>
        <v>22</v>
      </c>
      <c r="CC180" s="598">
        <f t="shared" si="270"/>
        <v>77</v>
      </c>
      <c r="CD180" s="595">
        <v>-40</v>
      </c>
      <c r="CE180" s="599">
        <v>5</v>
      </c>
      <c r="CF180" s="599">
        <v>-68</v>
      </c>
      <c r="CG180" s="813">
        <f>-319-CF180-CE180</f>
        <v>-256</v>
      </c>
      <c r="CH180" s="598">
        <f t="shared" si="271"/>
        <v>110</v>
      </c>
      <c r="CI180" s="595">
        <v>-209</v>
      </c>
      <c r="CJ180" s="599">
        <v>-255</v>
      </c>
      <c r="CK180" s="599">
        <f>-259-CJ180</f>
        <v>-4</v>
      </c>
      <c r="CL180" s="599">
        <f>-122-CK180-CJ180</f>
        <v>137</v>
      </c>
      <c r="CM180" s="598">
        <f t="shared" si="272"/>
        <v>-4</v>
      </c>
      <c r="CN180" s="595">
        <v>-126</v>
      </c>
      <c r="CO180" s="599">
        <v>22</v>
      </c>
      <c r="CP180" s="599">
        <f>CO125-CP125+CO127-CP127+CO128-CP128+CO129-CP129</f>
        <v>3837.9005782617623</v>
      </c>
      <c r="CQ180" s="599">
        <f>CP125-CQ125+CP127-CQ127+CP128-CQ128+CP129-CQ129</f>
        <v>-207.60786718388044</v>
      </c>
      <c r="CR180" s="599">
        <f>CQ125-CR125+CQ127-CR127+CQ128-CR128+CQ129-CR129</f>
        <v>-375.1941784983137</v>
      </c>
      <c r="CS180" s="595">
        <f t="shared" si="273"/>
        <v>3277.0985325795682</v>
      </c>
      <c r="CT180" s="599">
        <f>CS125-CT125+CS127-CT127+CS128-CT128+CS129-CT129</f>
        <v>-3541.1611923864039</v>
      </c>
      <c r="CU180" s="599">
        <f>CT125-CU125+CT127-CU127+CT128-CU128+CT129-CU129</f>
        <v>3966.8958440777078</v>
      </c>
      <c r="CV180" s="599">
        <f>CU125-CV125+CU127-CV127+CU128-CV128+CU129-CV129</f>
        <v>-220.19913302321766</v>
      </c>
      <c r="CW180" s="599">
        <f>CV125-CW125+CV127-CW127+CV128-CW128+CV129-CW129</f>
        <v>-400.44338393248108</v>
      </c>
      <c r="CX180" s="595">
        <f t="shared" si="274"/>
        <v>-194.90786526439479</v>
      </c>
      <c r="CY180" s="599">
        <f>CX125-CY125+CX127-CY127+CX128-CY128+CX129-CY129</f>
        <v>-3671.1074249167286</v>
      </c>
      <c r="CZ180" s="599">
        <f>CY125-CZ125+CY127-CZ127+CY128-CZ128+CY129-CZ129</f>
        <v>4129.203444027502</v>
      </c>
      <c r="DA180" s="599">
        <f>CZ125-DA125+CZ127-DA127+CZ128-DA128+CZ129-DA129</f>
        <v>-233.26190116601356</v>
      </c>
      <c r="DB180" s="599">
        <f>DA125-DB125+DA127-DB127+DA128-DB128+DA129-DB129</f>
        <v>-426.62259458735025</v>
      </c>
      <c r="DC180" s="595">
        <f t="shared" si="275"/>
        <v>-201.78847664259047</v>
      </c>
      <c r="DD180" s="599">
        <f>DC125-DD125+DC127-DD127+DC128-DD128+DC129-DD129</f>
        <v>-3767.8934090379289</v>
      </c>
      <c r="DE180" s="599">
        <f>DD125-DE125+DD127-DE127+DD128-DE128+DD129-DE129</f>
        <v>4277.4168572729832</v>
      </c>
      <c r="DF180" s="599">
        <f>DE125-DF125+DE127-DF127+DE128-DF128+DE129-DF129</f>
        <v>-246.42590986981304</v>
      </c>
      <c r="DG180" s="599">
        <f>DF125-DG125+DF127-DG127+DF128-DG128+DF129-DG129</f>
        <v>-453.13052479665203</v>
      </c>
      <c r="DH180" s="595">
        <f t="shared" si="276"/>
        <v>-190.03298643141079</v>
      </c>
      <c r="DI180" s="599">
        <f>DH125-DI125+DH127-DI127+DH128-DI128+DH129-DI129</f>
        <v>-3871.6201749165402</v>
      </c>
      <c r="DJ180" s="599">
        <f>DI125-DJ125+DI127-DJ127+DI128-DJ128+DI129-DJ129</f>
        <v>4422.6929229148991</v>
      </c>
      <c r="DK180" s="599">
        <f>DJ125-DK125+DJ127-DK127+DJ128-DK128+DJ129-DK129</f>
        <v>-258.84981148641418</v>
      </c>
      <c r="DL180" s="599">
        <f>DK125-DL125+DK127-DL127+DK128-DL128+DK129-DL129</f>
        <v>-477.67355048614809</v>
      </c>
      <c r="DM180" s="595">
        <f t="shared" si="277"/>
        <v>-185.45061397420341</v>
      </c>
      <c r="DN180" s="207"/>
    </row>
    <row r="181" spans="1:118" ht="15.75" x14ac:dyDescent="0.25">
      <c r="A181" s="286"/>
      <c r="B181" s="20" t="s">
        <v>345</v>
      </c>
      <c r="C181" s="339">
        <v>-395</v>
      </c>
      <c r="D181" s="339">
        <v>-524</v>
      </c>
      <c r="E181" s="339">
        <v>-17</v>
      </c>
      <c r="F181" s="339">
        <v>-229</v>
      </c>
      <c r="G181" s="340"/>
      <c r="H181" s="339">
        <v>-399</v>
      </c>
      <c r="I181" s="339">
        <v>-196</v>
      </c>
      <c r="J181" s="339">
        <v>-245</v>
      </c>
      <c r="K181" s="339">
        <v>-348</v>
      </c>
      <c r="L181" s="340">
        <v>-1188</v>
      </c>
      <c r="M181" s="339">
        <v>-329</v>
      </c>
      <c r="N181" s="339">
        <v>-257</v>
      </c>
      <c r="O181" s="339">
        <v>-145</v>
      </c>
      <c r="P181" s="339">
        <v>-456</v>
      </c>
      <c r="Q181" s="340">
        <v>-1187</v>
      </c>
      <c r="R181" s="339">
        <v>-149</v>
      </c>
      <c r="S181" s="339">
        <v>-315</v>
      </c>
      <c r="T181" s="339">
        <f>-806-S181-R181</f>
        <v>-342</v>
      </c>
      <c r="U181" s="339">
        <f>V181-SUM(R181:T181)</f>
        <v>-130</v>
      </c>
      <c r="V181" s="340">
        <v>-936</v>
      </c>
      <c r="W181" s="339">
        <v>-219</v>
      </c>
      <c r="X181" s="339">
        <v>-156</v>
      </c>
      <c r="Y181" s="339">
        <v>-252</v>
      </c>
      <c r="Z181" s="339">
        <v>124</v>
      </c>
      <c r="AA181" s="340">
        <v>-503</v>
      </c>
      <c r="AB181" s="339">
        <v>-159</v>
      </c>
      <c r="AC181" s="339">
        <v>-489</v>
      </c>
      <c r="AD181" s="339">
        <v>-569</v>
      </c>
      <c r="AE181" s="339">
        <v>-279</v>
      </c>
      <c r="AF181" s="340">
        <v>-1496</v>
      </c>
      <c r="AG181" s="339">
        <v>-503</v>
      </c>
      <c r="AH181" s="339">
        <v>-194</v>
      </c>
      <c r="AI181" s="339">
        <v>-845</v>
      </c>
      <c r="AJ181" s="339">
        <v>-158</v>
      </c>
      <c r="AK181" s="340">
        <v>-1700</v>
      </c>
      <c r="AL181" s="339">
        <v>-795</v>
      </c>
      <c r="AM181" s="339">
        <v>-3251</v>
      </c>
      <c r="AN181" s="339">
        <v>-566</v>
      </c>
      <c r="AO181" s="339">
        <v>-2107</v>
      </c>
      <c r="AP181" s="340">
        <v>-6719</v>
      </c>
      <c r="AQ181" s="339">
        <v>-557</v>
      </c>
      <c r="AR181" s="339">
        <v>-677</v>
      </c>
      <c r="AS181" s="339">
        <v>-560</v>
      </c>
      <c r="AT181" s="339">
        <v>-569</v>
      </c>
      <c r="AU181" s="340">
        <v>-2363</v>
      </c>
      <c r="AV181" s="339">
        <f t="shared" ref="AV181:BE181" si="278">SUM(AV175:AV180)</f>
        <v>-599</v>
      </c>
      <c r="AW181" s="339">
        <f t="shared" si="278"/>
        <v>-565</v>
      </c>
      <c r="AX181" s="339">
        <f t="shared" si="278"/>
        <v>-396</v>
      </c>
      <c r="AY181" s="339">
        <f t="shared" si="278"/>
        <v>-2589</v>
      </c>
      <c r="AZ181" s="340">
        <f t="shared" si="278"/>
        <v>-4149</v>
      </c>
      <c r="BA181" s="339">
        <f t="shared" si="278"/>
        <v>-1368</v>
      </c>
      <c r="BB181" s="339">
        <f t="shared" si="278"/>
        <v>30</v>
      </c>
      <c r="BC181" s="339">
        <f t="shared" si="278"/>
        <v>-1375</v>
      </c>
      <c r="BD181" s="342">
        <f t="shared" si="278"/>
        <v>-1692</v>
      </c>
      <c r="BE181" s="340">
        <f t="shared" si="278"/>
        <v>-4405</v>
      </c>
      <c r="BF181" s="339">
        <f t="shared" ref="BF181:CX181" si="279">SUM(BF175:BF180)</f>
        <v>-1047</v>
      </c>
      <c r="BG181" s="339">
        <f t="shared" si="279"/>
        <v>-1281</v>
      </c>
      <c r="BH181" s="339">
        <f t="shared" si="279"/>
        <v>-1086</v>
      </c>
      <c r="BI181" s="342">
        <f t="shared" si="279"/>
        <v>890</v>
      </c>
      <c r="BJ181" s="600">
        <f t="shared" si="279"/>
        <v>-2524</v>
      </c>
      <c r="BK181" s="602">
        <f t="shared" si="279"/>
        <v>-4883</v>
      </c>
      <c r="BL181" s="602">
        <f t="shared" si="279"/>
        <v>-3677</v>
      </c>
      <c r="BM181" s="602">
        <f t="shared" si="279"/>
        <v>-1839</v>
      </c>
      <c r="BN181" s="602">
        <f t="shared" si="279"/>
        <v>-1005</v>
      </c>
      <c r="BO181" s="600">
        <f t="shared" si="279"/>
        <v>-11404</v>
      </c>
      <c r="BP181" s="602">
        <f t="shared" si="279"/>
        <v>-1218</v>
      </c>
      <c r="BQ181" s="602">
        <f t="shared" si="279"/>
        <v>-1490</v>
      </c>
      <c r="BR181" s="602">
        <f t="shared" si="279"/>
        <v>-275</v>
      </c>
      <c r="BS181" s="602">
        <f t="shared" si="279"/>
        <v>-1231</v>
      </c>
      <c r="BT181" s="600">
        <f t="shared" si="279"/>
        <v>-4214</v>
      </c>
      <c r="BU181" s="602">
        <f t="shared" si="279"/>
        <v>-2213</v>
      </c>
      <c r="BV181" s="602">
        <f t="shared" si="279"/>
        <v>-915</v>
      </c>
      <c r="BW181" s="602">
        <f t="shared" si="279"/>
        <v>-3430</v>
      </c>
      <c r="BX181" s="602">
        <f t="shared" si="279"/>
        <v>-948</v>
      </c>
      <c r="BY181" s="600">
        <f>SUM(BY175:BY180)</f>
        <v>-7506</v>
      </c>
      <c r="BZ181" s="602">
        <f t="shared" si="279"/>
        <v>-812</v>
      </c>
      <c r="CA181" s="602">
        <f>SUM(CA175:CA180)</f>
        <v>-2944</v>
      </c>
      <c r="CB181" s="602">
        <f>SUM(CB175:CB180)</f>
        <v>-1657</v>
      </c>
      <c r="CC181" s="602">
        <f>SUM(CC175:CC180)</f>
        <v>-773</v>
      </c>
      <c r="CD181" s="600">
        <f>SUM(CD175:CD180)</f>
        <v>-6186</v>
      </c>
      <c r="CE181" s="602">
        <f t="shared" si="279"/>
        <v>348</v>
      </c>
      <c r="CF181" s="602">
        <f>SUM(CF175:CF180)</f>
        <v>-1285</v>
      </c>
      <c r="CG181" s="814">
        <f t="shared" si="279"/>
        <v>-396</v>
      </c>
      <c r="CH181" s="602">
        <f>SUM(CH175:CH180)</f>
        <v>334</v>
      </c>
      <c r="CI181" s="600">
        <f t="shared" si="279"/>
        <v>-999</v>
      </c>
      <c r="CJ181" s="602">
        <f t="shared" si="279"/>
        <v>1039</v>
      </c>
      <c r="CK181" s="602">
        <f t="shared" si="279"/>
        <v>-2263</v>
      </c>
      <c r="CL181" s="602">
        <f t="shared" si="279"/>
        <v>1468</v>
      </c>
      <c r="CM181" s="602">
        <f t="shared" si="279"/>
        <v>-2629</v>
      </c>
      <c r="CN181" s="600">
        <f t="shared" si="279"/>
        <v>-2385</v>
      </c>
      <c r="CO181" s="602">
        <f t="shared" si="279"/>
        <v>1321</v>
      </c>
      <c r="CP181" s="602">
        <f t="shared" si="279"/>
        <v>3316.3757019354198</v>
      </c>
      <c r="CQ181" s="602">
        <f t="shared" si="279"/>
        <v>1049.6081509897604</v>
      </c>
      <c r="CR181" s="602">
        <f t="shared" si="279"/>
        <v>760.38532411549659</v>
      </c>
      <c r="CS181" s="600">
        <f t="shared" si="279"/>
        <v>6447.3691770406767</v>
      </c>
      <c r="CT181" s="602">
        <f t="shared" si="279"/>
        <v>-3923.8351320176112</v>
      </c>
      <c r="CU181" s="602">
        <f t="shared" si="279"/>
        <v>3601.8014419498595</v>
      </c>
      <c r="CV181" s="602">
        <f t="shared" si="279"/>
        <v>-565.42637009102748</v>
      </c>
      <c r="CW181" s="602">
        <f t="shared" si="279"/>
        <v>-889.85271318666469</v>
      </c>
      <c r="CX181" s="600">
        <f t="shared" si="279"/>
        <v>-1777.3127733454437</v>
      </c>
      <c r="CY181" s="602">
        <f t="shared" ref="CY181:DH181" si="280">SUM(CY175:CY180)</f>
        <v>-4069.297119065443</v>
      </c>
      <c r="CZ181" s="602">
        <f t="shared" si="280"/>
        <v>3749.4384932790349</v>
      </c>
      <c r="DA181" s="602">
        <f t="shared" si="280"/>
        <v>-592.70247946382506</v>
      </c>
      <c r="DB181" s="602">
        <f t="shared" si="280"/>
        <v>-937.19806158168149</v>
      </c>
      <c r="DC181" s="600">
        <f t="shared" si="280"/>
        <v>-1849.7591668319146</v>
      </c>
      <c r="DD181" s="602">
        <f t="shared" si="280"/>
        <v>-4180.3436837668378</v>
      </c>
      <c r="DE181" s="602">
        <f t="shared" si="280"/>
        <v>3884.081149310362</v>
      </c>
      <c r="DF181" s="602">
        <f t="shared" si="280"/>
        <v>-619.10176599119086</v>
      </c>
      <c r="DG181" s="602">
        <f t="shared" si="280"/>
        <v>-983.6390644465796</v>
      </c>
      <c r="DH181" s="600">
        <f t="shared" si="280"/>
        <v>-1899.0033648942463</v>
      </c>
      <c r="DI181" s="602">
        <f>SUM(DI175:DI180)</f>
        <v>-4298.1010690370695</v>
      </c>
      <c r="DJ181" s="602">
        <f>SUM(DJ175:DJ180)</f>
        <v>4015.955897953671</v>
      </c>
      <c r="DK181" s="602">
        <f>SUM(DK175:DK180)</f>
        <v>-644.54909462301043</v>
      </c>
      <c r="DL181" s="602">
        <f>SUM(DL175:DL180)</f>
        <v>-1027.6345053813993</v>
      </c>
      <c r="DM181" s="600">
        <f>SUM(DM175:DM180)</f>
        <v>-1954.3287710878085</v>
      </c>
      <c r="DN181" s="227"/>
    </row>
    <row r="182" spans="1:118" ht="15.75" x14ac:dyDescent="0.25">
      <c r="A182" s="286"/>
      <c r="G182" s="219"/>
      <c r="L182" s="225">
        <f>+L178/L5</f>
        <v>-4.383015104018239E-2</v>
      </c>
      <c r="M182" s="232">
        <f t="shared" ref="M182:BW182" si="281">+M178/M5</f>
        <v>-4.290267222358421E-2</v>
      </c>
      <c r="N182" s="232">
        <f t="shared" si="281"/>
        <v>-3.7071535022354697E-2</v>
      </c>
      <c r="O182" s="232">
        <f t="shared" si="281"/>
        <v>-3.9083051484404358E-2</v>
      </c>
      <c r="P182" s="232">
        <f t="shared" si="281"/>
        <v>-5.6100104275286757E-2</v>
      </c>
      <c r="Q182" s="225">
        <f t="shared" si="281"/>
        <v>-4.3498262114087097E-2</v>
      </c>
      <c r="R182" s="232">
        <f t="shared" si="281"/>
        <v>-4.3820224719101124E-2</v>
      </c>
      <c r="S182" s="232">
        <f t="shared" si="281"/>
        <v>-3.5935563816604711E-2</v>
      </c>
      <c r="T182" s="232">
        <f t="shared" si="281"/>
        <v>-2.9588944011339477E-2</v>
      </c>
      <c r="U182" s="232">
        <f t="shared" si="281"/>
        <v>-4.8298787641767697E-2</v>
      </c>
      <c r="V182" s="225">
        <f t="shared" si="281"/>
        <v>-3.893177350529798E-2</v>
      </c>
      <c r="W182" s="232">
        <f t="shared" si="281"/>
        <v>-3.3810660302307081E-2</v>
      </c>
      <c r="X182" s="232">
        <f t="shared" si="281"/>
        <v>-3.0774433547514371E-2</v>
      </c>
      <c r="Y182" s="232">
        <f t="shared" si="281"/>
        <v>-3.0021443888491779E-2</v>
      </c>
      <c r="Z182" s="232">
        <f t="shared" si="281"/>
        <v>-4.5157571099154498E-2</v>
      </c>
      <c r="AA182" s="225">
        <f t="shared" si="281"/>
        <v>-3.4725416245055651E-2</v>
      </c>
      <c r="AB182" s="232">
        <f t="shared" si="281"/>
        <v>-3.1694199001152515E-2</v>
      </c>
      <c r="AC182" s="232">
        <f t="shared" si="281"/>
        <v>-3.3438985736925518E-2</v>
      </c>
      <c r="AD182" s="232">
        <f t="shared" si="281"/>
        <v>-4.2570813317873116E-2</v>
      </c>
      <c r="AE182" s="232">
        <f t="shared" si="281"/>
        <v>-4.7919293820933163E-2</v>
      </c>
      <c r="AF182" s="225">
        <f t="shared" si="281"/>
        <v>-3.891101108033241E-2</v>
      </c>
      <c r="AG182" s="232">
        <f t="shared" si="281"/>
        <v>-4.8985840030616151E-2</v>
      </c>
      <c r="AH182" s="232">
        <f t="shared" si="281"/>
        <v>-5.7134033353922177E-2</v>
      </c>
      <c r="AI182" s="232">
        <f t="shared" si="281"/>
        <v>-5.1750852184691665E-2</v>
      </c>
      <c r="AJ182" s="232">
        <f t="shared" si="281"/>
        <v>-7.5354012137559004E-2</v>
      </c>
      <c r="AK182" s="225">
        <f t="shared" si="281"/>
        <v>-5.8410826967784789E-2</v>
      </c>
      <c r="AL182" s="232">
        <f t="shared" si="281"/>
        <v>-5.7348844830411271E-2</v>
      </c>
      <c r="AM182" s="232">
        <f t="shared" si="281"/>
        <v>-5.431268589163326E-2</v>
      </c>
      <c r="AN182" s="232">
        <f t="shared" si="281"/>
        <v>-4.174252275682705E-2</v>
      </c>
      <c r="AO182" s="232">
        <f t="shared" si="281"/>
        <v>-7.5978720501977903E-2</v>
      </c>
      <c r="AP182" s="225">
        <f t="shared" si="281"/>
        <v>-5.7109193609869359E-2</v>
      </c>
      <c r="AQ182" s="232">
        <f t="shared" si="281"/>
        <v>-5.2310611193928713E-2</v>
      </c>
      <c r="AR182" s="232">
        <f t="shared" si="281"/>
        <v>-5.6378509838602694E-2</v>
      </c>
      <c r="AS182" s="232">
        <f t="shared" si="281"/>
        <v>-5.6475634457285831E-2</v>
      </c>
      <c r="AT182" s="232">
        <f t="shared" si="281"/>
        <v>-8.3918046589952291E-2</v>
      </c>
      <c r="AU182" s="225">
        <f t="shared" si="281"/>
        <v>-6.1607813673929375E-2</v>
      </c>
      <c r="AV182" s="232">
        <f t="shared" si="281"/>
        <v>-6.5141581810573307E-2</v>
      </c>
      <c r="AW182" s="232">
        <f t="shared" si="281"/>
        <v>-6.2053949437522682E-2</v>
      </c>
      <c r="AX182" s="232">
        <f t="shared" si="281"/>
        <v>-5.2088513177523617E-2</v>
      </c>
      <c r="AY182" s="232">
        <f t="shared" si="281"/>
        <v>-7.9094540612516639E-2</v>
      </c>
      <c r="AZ182" s="225">
        <f t="shared" si="281"/>
        <v>-6.4311068086479503E-2</v>
      </c>
      <c r="BA182" s="232">
        <f t="shared" si="281"/>
        <v>-5.2225913621262457E-2</v>
      </c>
      <c r="BB182" s="232">
        <f t="shared" si="281"/>
        <v>-5.7643532395665206E-2</v>
      </c>
      <c r="BC182" s="232">
        <f t="shared" si="281"/>
        <v>-5.2456681699501545E-2</v>
      </c>
      <c r="BD182" s="224">
        <f t="shared" si="281"/>
        <v>-8.3825490569632316E-2</v>
      </c>
      <c r="BE182" s="225">
        <f t="shared" si="281"/>
        <v>-6.3064089058451733E-2</v>
      </c>
      <c r="BF182" s="224">
        <f t="shared" si="281"/>
        <v>-5.5855855855855854E-2</v>
      </c>
      <c r="BG182" s="224">
        <f t="shared" si="281"/>
        <v>-4.7215020818603189E-2</v>
      </c>
      <c r="BH182" s="224">
        <f t="shared" si="281"/>
        <v>-5.9217512047700725E-2</v>
      </c>
      <c r="BI182" s="224">
        <f t="shared" si="281"/>
        <v>-9.1057352541451475E-2</v>
      </c>
      <c r="BJ182" s="457">
        <f t="shared" si="281"/>
        <v>-6.2722859475018253E-2</v>
      </c>
      <c r="BK182" s="456">
        <f t="shared" si="281"/>
        <v>-5.314660202890744E-2</v>
      </c>
      <c r="BL182" s="456">
        <f t="shared" si="281"/>
        <v>-5.4494038520330176E-2</v>
      </c>
      <c r="BM182" s="456">
        <f t="shared" si="281"/>
        <v>-5.3953337653920935E-2</v>
      </c>
      <c r="BN182" s="456">
        <f t="shared" si="281"/>
        <v>-7.0562581770606189E-2</v>
      </c>
      <c r="BO182" s="457">
        <f t="shared" si="281"/>
        <v>-5.7878081279147238E-2</v>
      </c>
      <c r="BP182" s="456">
        <f t="shared" si="281"/>
        <v>-4.5112781954887216E-2</v>
      </c>
      <c r="BQ182" s="456">
        <f t="shared" si="281"/>
        <v>-4.4791339818010666E-2</v>
      </c>
      <c r="BR182" s="456">
        <f t="shared" si="281"/>
        <v>-4.5893520429219972E-2</v>
      </c>
      <c r="BS182" s="456">
        <f t="shared" si="281"/>
        <v>-8.3839390918154622E-2</v>
      </c>
      <c r="BT182" s="457">
        <f t="shared" si="281"/>
        <v>-5.4330457015020775E-2</v>
      </c>
      <c r="BU182" s="456">
        <f t="shared" si="281"/>
        <v>-4.242252456538171E-2</v>
      </c>
      <c r="BV182" s="456">
        <f t="shared" si="281"/>
        <v>-4.6309580742866251E-2</v>
      </c>
      <c r="BW182" s="456">
        <f t="shared" si="281"/>
        <v>-4.9077706368416657E-2</v>
      </c>
      <c r="BX182" s="456">
        <f>+BX178/BX5</f>
        <v>-7.2286946151729203E-2</v>
      </c>
      <c r="BY182" s="457">
        <f>+BY178/BY5</f>
        <v>-5.2290706772146395E-2</v>
      </c>
      <c r="BZ182" s="456"/>
      <c r="CA182" s="422"/>
      <c r="CB182" s="422"/>
      <c r="CC182" s="422"/>
      <c r="CD182" s="443"/>
      <c r="CE182" s="422"/>
      <c r="CF182" s="422"/>
      <c r="CG182" s="816"/>
      <c r="CH182" s="422"/>
      <c r="CI182" s="443"/>
      <c r="CJ182" s="422"/>
      <c r="CK182" s="422"/>
      <c r="CL182" s="422"/>
      <c r="CM182" s="422"/>
      <c r="CN182" s="443"/>
      <c r="CO182" s="422"/>
      <c r="CP182" s="422"/>
      <c r="CQ182" s="422"/>
      <c r="CR182" s="422"/>
      <c r="CS182" s="443"/>
      <c r="CT182" s="422"/>
      <c r="CU182" s="422"/>
      <c r="CV182" s="422"/>
      <c r="CW182" s="422"/>
      <c r="CX182" s="443"/>
      <c r="CY182" s="422"/>
      <c r="CZ182" s="422"/>
      <c r="DA182" s="422"/>
      <c r="DB182" s="422"/>
      <c r="DC182" s="443"/>
      <c r="DD182" s="422"/>
      <c r="DE182" s="422"/>
      <c r="DF182" s="422"/>
      <c r="DG182" s="422"/>
      <c r="DH182" s="443"/>
      <c r="DI182" s="422"/>
      <c r="DJ182" s="422"/>
      <c r="DK182" s="422"/>
      <c r="DL182" s="422"/>
      <c r="DM182" s="443"/>
      <c r="DN182" s="207"/>
    </row>
    <row r="183" spans="1:118" ht="15.75" x14ac:dyDescent="0.25">
      <c r="A183" s="286" t="s">
        <v>346</v>
      </c>
      <c r="G183" s="326"/>
      <c r="L183" s="326"/>
      <c r="Q183" s="326"/>
      <c r="V183" s="326"/>
      <c r="AA183" s="326"/>
      <c r="AF183" s="326"/>
      <c r="AK183" s="326"/>
      <c r="AP183" s="326"/>
      <c r="AU183" s="326"/>
      <c r="AZ183" s="326"/>
      <c r="BD183" s="207"/>
      <c r="BE183" s="219"/>
      <c r="BF183" s="207"/>
      <c r="BG183" s="207"/>
      <c r="BH183" s="207"/>
      <c r="BI183" s="207"/>
      <c r="BJ183" s="443"/>
      <c r="BK183" s="422"/>
      <c r="BL183" s="422"/>
      <c r="BM183" s="422"/>
      <c r="BN183" s="422"/>
      <c r="BO183" s="443"/>
      <c r="BP183" s="422"/>
      <c r="BQ183" s="422"/>
      <c r="BR183" s="422"/>
      <c r="BS183" s="422"/>
      <c r="BT183" s="443"/>
      <c r="BU183" s="422"/>
      <c r="BV183" s="422"/>
      <c r="BW183" s="422"/>
      <c r="BX183" s="422"/>
      <c r="BY183" s="443"/>
      <c r="BZ183" s="422"/>
      <c r="CA183" s="422"/>
      <c r="CB183" s="422"/>
      <c r="CC183" s="422"/>
      <c r="CD183" s="443"/>
      <c r="CE183" s="422"/>
      <c r="CF183" s="422"/>
      <c r="CG183" s="816"/>
      <c r="CH183" s="422"/>
      <c r="CI183" s="443"/>
      <c r="CJ183" s="422"/>
      <c r="CK183" s="422"/>
      <c r="CL183" s="422"/>
      <c r="CM183" s="422"/>
      <c r="CN183" s="443"/>
      <c r="CO183" s="422"/>
      <c r="CP183" s="422"/>
      <c r="CQ183" s="422"/>
      <c r="CR183" s="422"/>
      <c r="CS183" s="443"/>
      <c r="CT183" s="422"/>
      <c r="CU183" s="422"/>
      <c r="CV183" s="422"/>
      <c r="CW183" s="422"/>
      <c r="CX183" s="443"/>
      <c r="CY183" s="422"/>
      <c r="CZ183" s="422"/>
      <c r="DA183" s="422"/>
      <c r="DB183" s="422"/>
      <c r="DC183" s="443"/>
      <c r="DD183" s="422"/>
      <c r="DE183" s="422"/>
      <c r="DF183" s="422"/>
      <c r="DG183" s="422"/>
      <c r="DH183" s="443"/>
      <c r="DI183" s="422"/>
      <c r="DJ183" s="422"/>
      <c r="DK183" s="422"/>
      <c r="DL183" s="422"/>
      <c r="DM183" s="443"/>
      <c r="DN183" s="207"/>
    </row>
    <row r="184" spans="1:118" ht="15" x14ac:dyDescent="0.2">
      <c r="A184" s="223" t="s">
        <v>208</v>
      </c>
      <c r="C184" s="328">
        <v>1098</v>
      </c>
      <c r="D184" s="328">
        <v>250</v>
      </c>
      <c r="E184" s="328">
        <v>-843</v>
      </c>
      <c r="F184" s="328">
        <v>-1090</v>
      </c>
      <c r="G184" s="326">
        <f>SUM(C184:F184)</f>
        <v>-585</v>
      </c>
      <c r="H184" s="328">
        <v>453</v>
      </c>
      <c r="I184" s="328">
        <v>-669</v>
      </c>
      <c r="J184" s="328">
        <v>-349</v>
      </c>
      <c r="K184" s="328">
        <v>-361</v>
      </c>
      <c r="L184" s="326">
        <f>SUM(H184:K184)</f>
        <v>-926</v>
      </c>
      <c r="M184" s="328">
        <v>-66</v>
      </c>
      <c r="N184" s="328">
        <v>-17</v>
      </c>
      <c r="O184" s="328">
        <v>-454</v>
      </c>
      <c r="P184" s="328">
        <v>-219</v>
      </c>
      <c r="Q184" s="326">
        <f>SUM(M184:P184)</f>
        <v>-756</v>
      </c>
      <c r="R184" s="328">
        <v>715</v>
      </c>
      <c r="S184" s="328">
        <v>-397</v>
      </c>
      <c r="T184" s="328">
        <v>-204</v>
      </c>
      <c r="U184" s="328">
        <v>-207</v>
      </c>
      <c r="V184" s="326">
        <v>-93</v>
      </c>
      <c r="W184" s="328">
        <v>981</v>
      </c>
      <c r="X184" s="328">
        <v>168</v>
      </c>
      <c r="Y184" s="328">
        <v>-16</v>
      </c>
      <c r="Z184" s="328">
        <v>581</v>
      </c>
      <c r="AA184" s="326">
        <v>1714</v>
      </c>
      <c r="AB184" s="328">
        <v>-182</v>
      </c>
      <c r="AC184" s="328">
        <v>-2021</v>
      </c>
      <c r="AD184" s="328">
        <v>-635</v>
      </c>
      <c r="AE184" s="328">
        <v>556</v>
      </c>
      <c r="AF184" s="326">
        <v>-2282</v>
      </c>
      <c r="AG184" s="328">
        <v>-74</v>
      </c>
      <c r="AH184" s="328">
        <v>-832</v>
      </c>
      <c r="AI184" s="328">
        <v>-871</v>
      </c>
      <c r="AJ184" s="328">
        <v>373</v>
      </c>
      <c r="AK184" s="326">
        <v>-1404</v>
      </c>
      <c r="AL184" s="328">
        <v>1632</v>
      </c>
      <c r="AM184" s="328">
        <v>2050</v>
      </c>
      <c r="AN184" s="328">
        <v>-187</v>
      </c>
      <c r="AO184" s="328">
        <v>846</v>
      </c>
      <c r="AP184" s="326">
        <v>4341</v>
      </c>
      <c r="AQ184" s="328">
        <v>1379</v>
      </c>
      <c r="AR184" s="328">
        <v>460</v>
      </c>
      <c r="AS184" s="328">
        <v>258</v>
      </c>
      <c r="AT184" s="328">
        <v>-2068</v>
      </c>
      <c r="AU184" s="326">
        <f>SUM(AQ184:AT184)</f>
        <v>29</v>
      </c>
      <c r="AV184" s="328">
        <v>2757</v>
      </c>
      <c r="AW184" s="328">
        <v>-786</v>
      </c>
      <c r="AX184" s="328">
        <v>-230</v>
      </c>
      <c r="AY184" s="328">
        <v>622</v>
      </c>
      <c r="AZ184" s="326">
        <f>SUM(AV184:AY184)</f>
        <v>2363</v>
      </c>
      <c r="BA184" s="328">
        <f>2773-2922</f>
        <v>-149</v>
      </c>
      <c r="BB184" s="328">
        <f>5450-5500-BA184</f>
        <v>99</v>
      </c>
      <c r="BC184" s="328">
        <f>8611-6983-BB184-BA184</f>
        <v>1678</v>
      </c>
      <c r="BD184" s="328">
        <f>BE184-SUM(BA184:BC184)</f>
        <v>270</v>
      </c>
      <c r="BE184" s="326">
        <f>15251-13403+50</f>
        <v>1898</v>
      </c>
      <c r="BF184" s="336">
        <f>7316-4598</f>
        <v>2718</v>
      </c>
      <c r="BG184" s="336">
        <f>12699-9963-BF184</f>
        <v>18</v>
      </c>
      <c r="BH184" s="336">
        <f>22623-17095-BG184-BF184</f>
        <v>2792</v>
      </c>
      <c r="BI184" s="328">
        <f>BJ184-SUM(BF184:BH184)</f>
        <v>-518</v>
      </c>
      <c r="BJ184" s="592">
        <f>27495-22530+45</f>
        <v>5010</v>
      </c>
      <c r="BK184" s="593">
        <f>11358-8835</f>
        <v>2523</v>
      </c>
      <c r="BL184" s="593">
        <f>21964-18101-BK184</f>
        <v>1340</v>
      </c>
      <c r="BM184" s="593">
        <f>32888-28790-BL184-BK184</f>
        <v>235</v>
      </c>
      <c r="BN184" s="593">
        <f>BO184-SUM(BK184:BM184)</f>
        <v>120</v>
      </c>
      <c r="BO184" s="592">
        <f>42791-38573</f>
        <v>4218</v>
      </c>
      <c r="BP184" s="593">
        <f>12585-10065+21</f>
        <v>2541</v>
      </c>
      <c r="BQ184" s="593">
        <f>22779-19454-BP184</f>
        <v>784</v>
      </c>
      <c r="BR184" s="593">
        <f>31147-27293-BQ184-BP184</f>
        <v>529</v>
      </c>
      <c r="BS184" s="593">
        <f>BT184-SUM(BP184:BR184)</f>
        <v>874</v>
      </c>
      <c r="BT184" s="592">
        <f>43425-38714+17</f>
        <v>4728</v>
      </c>
      <c r="BU184" s="593">
        <f>10926-9567-470</f>
        <v>889</v>
      </c>
      <c r="BV184" s="593">
        <f>21267-18122-438-BU184</f>
        <v>1818</v>
      </c>
      <c r="BW184" s="593">
        <f>33292-28494-409-BV184-BU184</f>
        <v>1682</v>
      </c>
      <c r="BX184" s="593">
        <f>BY184-SUM(BU184:BW184)</f>
        <v>-40</v>
      </c>
      <c r="BY184" s="592">
        <f>41674-36962-363</f>
        <v>4349</v>
      </c>
      <c r="BZ184" s="593">
        <f>16373-15755+21</f>
        <v>639</v>
      </c>
      <c r="CA184" s="593">
        <f>24878-22358+115-BZ184</f>
        <v>1996</v>
      </c>
      <c r="CB184" s="593">
        <f>34298-30159+230-CA184-BZ184</f>
        <v>1734</v>
      </c>
      <c r="CC184" s="593">
        <f>CD184-SUM(BZ184:CB184)</f>
        <v>-1422</v>
      </c>
      <c r="CD184" s="592">
        <f>40434-37738+251</f>
        <v>2947</v>
      </c>
      <c r="CE184" s="593">
        <f>8530-6783+133</f>
        <v>1880</v>
      </c>
      <c r="CF184" s="593">
        <f>15947-12750+85-CE184</f>
        <v>1402</v>
      </c>
      <c r="CG184" s="812">
        <f>22667-20406+198-CF184-CE184</f>
        <v>-823</v>
      </c>
      <c r="CH184" s="593">
        <f>CI184-SUM(CE184:CG184)</f>
        <v>-714</v>
      </c>
      <c r="CI184" s="592">
        <f>27281-25615+79</f>
        <v>1745</v>
      </c>
      <c r="CJ184" s="593">
        <f>11704-9223-36</f>
        <v>2445</v>
      </c>
      <c r="CK184" s="593">
        <f>18586-14910-CJ184</f>
        <v>1231</v>
      </c>
      <c r="CL184" s="593">
        <f>24899-22424-CK184-CJ184</f>
        <v>-1201</v>
      </c>
      <c r="CM184" s="593">
        <f>CN184-SUM(CJ184:CL184)</f>
        <v>-1477</v>
      </c>
      <c r="CN184" s="592">
        <f>29857-28768-91</f>
        <v>998</v>
      </c>
      <c r="CO184" s="593">
        <f>9576-8770</f>
        <v>806</v>
      </c>
      <c r="CP184" s="593">
        <f ca="1">CP140-CO140+CP136-CO136+CP135-CO135+CP133-CO133</f>
        <v>0</v>
      </c>
      <c r="CQ184" s="593">
        <f ca="1">CQ140-CP140+CQ136-CP136+CQ135-CP135+CQ133-CP133</f>
        <v>-3500</v>
      </c>
      <c r="CR184" s="593">
        <f ca="1">CR140-CQ140+CR136-CQ136+CR135-CQ135+CR133-CQ133</f>
        <v>-3500</v>
      </c>
      <c r="CS184" s="592">
        <f ca="1">SUM(CO184:CR184)</f>
        <v>-6194</v>
      </c>
      <c r="CT184" s="593">
        <f ca="1">CT140-CS140+CT136-CS136+CT135-CS135+CT133-CS133</f>
        <v>173.86203262614436</v>
      </c>
      <c r="CU184" s="593">
        <f ca="1">CU140-CT140+CU136-CT136+CU135-CT135+CU133-CT133</f>
        <v>-1512.8620326261444</v>
      </c>
      <c r="CV184" s="593">
        <f ca="1">CV140-CU140+CV136-CU136+CV135-CU135+CV133-CU133</f>
        <v>0</v>
      </c>
      <c r="CW184" s="593">
        <f ca="1">CW140-CV140+CW136-CV136+CW135-CV135+CW133-CV133</f>
        <v>0</v>
      </c>
      <c r="CX184" s="592">
        <f ca="1">SUM(CT184:CW184)</f>
        <v>-1339</v>
      </c>
      <c r="CY184" s="593">
        <f ca="1">CY140-CX140+CY136-CX136+CY135-CX135+CY133-CX133</f>
        <v>1445.3817974807316</v>
      </c>
      <c r="CZ184" s="593">
        <f ca="1">CZ140-CY140+CZ136-CY136+CZ135-CY135+CZ133-CY133</f>
        <v>-1445.3817974807316</v>
      </c>
      <c r="DA184" s="593">
        <f ca="1">DA140-CZ140+DA136-CZ136+DA135-CZ135+DA133-CZ133</f>
        <v>0</v>
      </c>
      <c r="DB184" s="593">
        <f ca="1">DB140-DA140+DB136-DA136+DB135-DA135+DB133-DA133</f>
        <v>0</v>
      </c>
      <c r="DC184" s="592">
        <f ca="1">SUM(CY184:DB184)</f>
        <v>0</v>
      </c>
      <c r="DD184" s="593">
        <f ca="1">DD140-DC140+DD136-DC136+DD135-DC135+DD133-DC133</f>
        <v>1459.36853736591</v>
      </c>
      <c r="DE184" s="593">
        <f ca="1">DE140-DD140+DE136-DD136+DE135-DD135+DE133-DD133</f>
        <v>-1459.36853736591</v>
      </c>
      <c r="DF184" s="593">
        <f ca="1">DF140-DE140+DF136-DE136+DF135-DE135+DF133-DE133</f>
        <v>0</v>
      </c>
      <c r="DG184" s="593">
        <f ca="1">DG140-DF140+DG136-DF136+DG135-DF135+DG133-DF133</f>
        <v>0</v>
      </c>
      <c r="DH184" s="592">
        <f ca="1">SUM(DD184:DG184)</f>
        <v>0</v>
      </c>
      <c r="DI184" s="593">
        <f ca="1">DI140-DH140+DI136-DH136+DI135-DH135+DI133-DH133</f>
        <v>1446.6424281288055</v>
      </c>
      <c r="DJ184" s="593">
        <f ca="1">DJ140-DI140+DJ136-DI136+DJ135-DI135+DJ133-DI133</f>
        <v>-1446.6424281288055</v>
      </c>
      <c r="DK184" s="593">
        <f ca="1">DK140-DJ140+DK136-DJ136+DK135-DJ135+DK133-DJ133</f>
        <v>0</v>
      </c>
      <c r="DL184" s="593">
        <f ca="1">DL140-DK140+DL136-DK136+DL135-DK135+DL133-DK133</f>
        <v>0</v>
      </c>
      <c r="DM184" s="592">
        <f ca="1">SUM(DI184:DL184)</f>
        <v>0</v>
      </c>
      <c r="DN184" s="207"/>
    </row>
    <row r="185" spans="1:118" ht="15" x14ac:dyDescent="0.2">
      <c r="A185" s="223" t="s">
        <v>347</v>
      </c>
      <c r="C185" s="328">
        <v>84</v>
      </c>
      <c r="D185" s="328">
        <v>66</v>
      </c>
      <c r="E185" s="328">
        <v>93</v>
      </c>
      <c r="F185" s="328">
        <v>88</v>
      </c>
      <c r="G185" s="326"/>
      <c r="H185" s="328">
        <v>85</v>
      </c>
      <c r="I185" s="328">
        <v>40</v>
      </c>
      <c r="J185" s="328">
        <v>30</v>
      </c>
      <c r="K185" s="328">
        <v>9</v>
      </c>
      <c r="L185" s="326">
        <v>164</v>
      </c>
      <c r="M185" s="328">
        <v>30</v>
      </c>
      <c r="N185" s="328">
        <v>55</v>
      </c>
      <c r="O185" s="328">
        <v>12</v>
      </c>
      <c r="P185" s="328">
        <v>10</v>
      </c>
      <c r="Q185" s="326">
        <v>107</v>
      </c>
      <c r="R185" s="328">
        <v>12</v>
      </c>
      <c r="S185" s="328">
        <v>12</v>
      </c>
      <c r="T185" s="328">
        <v>24</v>
      </c>
      <c r="U185" s="328">
        <v>50</v>
      </c>
      <c r="V185" s="326">
        <v>98</v>
      </c>
      <c r="W185" s="328">
        <v>61</v>
      </c>
      <c r="X185" s="328">
        <v>81</v>
      </c>
      <c r="Y185" s="328">
        <v>29</v>
      </c>
      <c r="Z185" s="328">
        <v>22</v>
      </c>
      <c r="AA185" s="326">
        <v>193</v>
      </c>
      <c r="AB185" s="328">
        <v>9</v>
      </c>
      <c r="AC185" s="328">
        <v>42</v>
      </c>
      <c r="AD185" s="328">
        <v>86</v>
      </c>
      <c r="AE185" s="328">
        <v>93</v>
      </c>
      <c r="AF185" s="326">
        <v>230</v>
      </c>
      <c r="AG185" s="328">
        <v>1</v>
      </c>
      <c r="AH185" s="328">
        <v>0</v>
      </c>
      <c r="AI185" s="328">
        <v>7</v>
      </c>
      <c r="AJ185" s="328">
        <v>140</v>
      </c>
      <c r="AK185" s="326">
        <v>148</v>
      </c>
      <c r="AL185" s="328">
        <v>93</v>
      </c>
      <c r="AM185" s="328">
        <v>550</v>
      </c>
      <c r="AN185" s="328">
        <v>370</v>
      </c>
      <c r="AO185" s="328">
        <v>606</v>
      </c>
      <c r="AP185" s="326">
        <v>1619</v>
      </c>
      <c r="AQ185" s="328">
        <v>316</v>
      </c>
      <c r="AR185" s="328">
        <v>143</v>
      </c>
      <c r="AS185" s="328">
        <v>111</v>
      </c>
      <c r="AT185" s="328">
        <v>16</v>
      </c>
      <c r="AU185" s="326">
        <v>586</v>
      </c>
      <c r="AV185" s="328">
        <v>10</v>
      </c>
      <c r="AW185" s="328">
        <f>74-AV185</f>
        <v>64</v>
      </c>
      <c r="AX185" s="328">
        <f>231-AW185-AV185</f>
        <v>157</v>
      </c>
      <c r="AY185" s="328">
        <f>AZ185-SUM(AV185:AX185)</f>
        <v>431</v>
      </c>
      <c r="AZ185" s="326">
        <v>662</v>
      </c>
      <c r="BA185" s="328">
        <v>123</v>
      </c>
      <c r="BB185" s="328">
        <f>207-BA185</f>
        <v>84</v>
      </c>
      <c r="BC185" s="328">
        <f>535-11-BB185-BA185</f>
        <v>317</v>
      </c>
      <c r="BD185" s="328">
        <f>BE185-SUM(BA185:BC185)</f>
        <v>1142</v>
      </c>
      <c r="BE185" s="326">
        <v>1666</v>
      </c>
      <c r="BF185" s="336">
        <f>440+22</f>
        <v>462</v>
      </c>
      <c r="BG185" s="336">
        <f>802+6-BF185</f>
        <v>346</v>
      </c>
      <c r="BH185" s="336">
        <f>1382+33-BG185-BF185</f>
        <v>607</v>
      </c>
      <c r="BI185" s="328">
        <f>BJ185-SUM(BF185:BH185)</f>
        <v>154</v>
      </c>
      <c r="BJ185" s="592">
        <v>1569</v>
      </c>
      <c r="BK185" s="593">
        <f>436+42</f>
        <v>478</v>
      </c>
      <c r="BL185" s="593">
        <f>995+55-BK185</f>
        <v>572</v>
      </c>
      <c r="BM185" s="593">
        <f>1319+107-BL185-BK185</f>
        <v>376</v>
      </c>
      <c r="BN185" s="593">
        <f>BO185-SUM(BK185:BM185)</f>
        <v>163</v>
      </c>
      <c r="BO185" s="592">
        <f>1489+100</f>
        <v>1589</v>
      </c>
      <c r="BP185" s="593">
        <v>417</v>
      </c>
      <c r="BQ185" s="593">
        <f>951+87-BP185</f>
        <v>621</v>
      </c>
      <c r="BR185" s="593">
        <f>1079+70-BQ185-BP185</f>
        <v>111</v>
      </c>
      <c r="BS185" s="593">
        <f>BT185-SUM(BP185:BR185)</f>
        <v>179</v>
      </c>
      <c r="BT185" s="592">
        <v>1328</v>
      </c>
      <c r="BU185" s="593">
        <v>191</v>
      </c>
      <c r="BV185" s="593">
        <f>650-BU185</f>
        <v>459</v>
      </c>
      <c r="BW185" s="593">
        <f>1058-BV185-BU185</f>
        <v>408</v>
      </c>
      <c r="BX185" s="593">
        <f>BY185-SUM(BU185:BW185)</f>
        <v>474</v>
      </c>
      <c r="BY185" s="592">
        <v>1532</v>
      </c>
      <c r="BZ185" s="593">
        <v>279</v>
      </c>
      <c r="CA185" s="593">
        <f>410-BZ185</f>
        <v>131</v>
      </c>
      <c r="CB185" s="593">
        <f>732-CA185-BZ185</f>
        <v>322</v>
      </c>
      <c r="CC185" s="593">
        <f>CD185-SUM(BZ185:CB185)</f>
        <v>513</v>
      </c>
      <c r="CD185" s="592">
        <v>1245</v>
      </c>
      <c r="CE185" s="593">
        <v>763</v>
      </c>
      <c r="CF185" s="593">
        <f>1108-CE185</f>
        <v>345</v>
      </c>
      <c r="CG185" s="812">
        <f>1295-CF185-CE185</f>
        <v>187</v>
      </c>
      <c r="CH185" s="593">
        <f>CI185-SUM(CE185:CG185)</f>
        <v>139</v>
      </c>
      <c r="CI185" s="592">
        <v>1434</v>
      </c>
      <c r="CJ185" s="593">
        <v>394</v>
      </c>
      <c r="CK185" s="593">
        <f>917-CJ185</f>
        <v>523</v>
      </c>
      <c r="CL185" s="593">
        <f>1320-CK185-CJ185</f>
        <v>403</v>
      </c>
      <c r="CM185" s="593">
        <f>CN185-SUM(CJ185:CL185)</f>
        <v>275</v>
      </c>
      <c r="CN185" s="592">
        <v>1595</v>
      </c>
      <c r="CO185" s="593">
        <v>477</v>
      </c>
      <c r="CP185" s="593">
        <f t="shared" ref="CP185:DB185" si="282">CP106</f>
        <v>462.70047169811318</v>
      </c>
      <c r="CQ185" s="593">
        <f t="shared" si="282"/>
        <v>474.26798349056594</v>
      </c>
      <c r="CR185" s="593">
        <f t="shared" si="282"/>
        <v>486.12468307783007</v>
      </c>
      <c r="CS185" s="592">
        <f>SUM(CO185:CR185)</f>
        <v>1900.0931382665092</v>
      </c>
      <c r="CT185" s="593">
        <f>CT106</f>
        <v>498.27780015477578</v>
      </c>
      <c r="CU185" s="593">
        <f t="shared" si="282"/>
        <v>510.73474515864513</v>
      </c>
      <c r="CV185" s="593">
        <f t="shared" si="282"/>
        <v>523.50311378761126</v>
      </c>
      <c r="CW185" s="593">
        <f t="shared" si="282"/>
        <v>536.5906916323014</v>
      </c>
      <c r="CX185" s="592">
        <f>SUM(CT185:CW185)</f>
        <v>2069.1063507333338</v>
      </c>
      <c r="CY185" s="593">
        <f>CY106</f>
        <v>550.0054589231089</v>
      </c>
      <c r="CZ185" s="593">
        <f t="shared" si="282"/>
        <v>563.75559539618666</v>
      </c>
      <c r="DA185" s="593">
        <f t="shared" si="282"/>
        <v>577.84948528109123</v>
      </c>
      <c r="DB185" s="593">
        <f t="shared" si="282"/>
        <v>592.29572241311848</v>
      </c>
      <c r="DC185" s="592">
        <f>SUM(CY185:DB185)</f>
        <v>2283.9062620135055</v>
      </c>
      <c r="DD185" s="593">
        <f>DD106</f>
        <v>607.10311547344645</v>
      </c>
      <c r="DE185" s="593">
        <f>DE106</f>
        <v>622.2806933602825</v>
      </c>
      <c r="DF185" s="593">
        <f>DF106</f>
        <v>637.83771069428951</v>
      </c>
      <c r="DG185" s="593">
        <f>DG106</f>
        <v>653.78365346164674</v>
      </c>
      <c r="DH185" s="592">
        <f>SUM(DD185:DG185)</f>
        <v>2521.005172989665</v>
      </c>
      <c r="DI185" s="593">
        <f>DI106</f>
        <v>670.12824479818789</v>
      </c>
      <c r="DJ185" s="593">
        <f>DJ106</f>
        <v>686.88145091814249</v>
      </c>
      <c r="DK185" s="593">
        <f>DK106</f>
        <v>704.053487191096</v>
      </c>
      <c r="DL185" s="593">
        <f>DL106</f>
        <v>721.65482437087337</v>
      </c>
      <c r="DM185" s="592">
        <f>SUM(DI185:DL185)</f>
        <v>2782.7180072782999</v>
      </c>
      <c r="DN185" s="207"/>
    </row>
    <row r="186" spans="1:118" ht="15" x14ac:dyDescent="0.2">
      <c r="A186" s="223" t="s">
        <v>348</v>
      </c>
      <c r="C186" s="328">
        <v>-108</v>
      </c>
      <c r="D186" s="328">
        <v>-15</v>
      </c>
      <c r="E186" s="328">
        <v>-7</v>
      </c>
      <c r="F186" s="328">
        <v>-3</v>
      </c>
      <c r="G186" s="326"/>
      <c r="H186" s="328">
        <v>-67</v>
      </c>
      <c r="I186" s="328">
        <v>-65</v>
      </c>
      <c r="J186" s="328">
        <v>-87</v>
      </c>
      <c r="K186" s="328">
        <v>-58</v>
      </c>
      <c r="L186" s="326">
        <v>-277</v>
      </c>
      <c r="M186" s="328">
        <v>-183</v>
      </c>
      <c r="N186" s="328">
        <v>-118</v>
      </c>
      <c r="O186" s="328">
        <v>-177</v>
      </c>
      <c r="P186" s="328">
        <v>-213</v>
      </c>
      <c r="Q186" s="326">
        <v>-691</v>
      </c>
      <c r="R186" s="328">
        <v>-342</v>
      </c>
      <c r="S186" s="328">
        <v>-91</v>
      </c>
      <c r="T186" s="328">
        <v>-505</v>
      </c>
      <c r="U186" s="328">
        <v>-502</v>
      </c>
      <c r="V186" s="326">
        <v>-1440</v>
      </c>
      <c r="W186" s="328">
        <v>-503</v>
      </c>
      <c r="X186" s="328">
        <v>-483</v>
      </c>
      <c r="Y186" s="328">
        <v>-486</v>
      </c>
      <c r="Z186" s="328">
        <v>-267</v>
      </c>
      <c r="AA186" s="326">
        <v>-1739</v>
      </c>
      <c r="AB186" s="328">
        <v>-96</v>
      </c>
      <c r="AC186" s="328">
        <v>-961</v>
      </c>
      <c r="AD186" s="328">
        <v>-538</v>
      </c>
      <c r="AE186" s="328">
        <v>-460</v>
      </c>
      <c r="AF186" s="326">
        <v>-2055</v>
      </c>
      <c r="AG186" s="328">
        <v>-509</v>
      </c>
      <c r="AH186" s="328">
        <v>-656</v>
      </c>
      <c r="AI186" s="328">
        <v>-47</v>
      </c>
      <c r="AJ186" s="328">
        <v>-1204</v>
      </c>
      <c r="AK186" s="326">
        <v>-2416</v>
      </c>
      <c r="AL186" s="328">
        <v>-718</v>
      </c>
      <c r="AM186" s="328">
        <v>-240</v>
      </c>
      <c r="AN186" s="328">
        <v>-741</v>
      </c>
      <c r="AO186" s="328">
        <v>-139</v>
      </c>
      <c r="AP186" s="326">
        <v>-1838</v>
      </c>
      <c r="AQ186" s="328">
        <v>-254</v>
      </c>
      <c r="AR186" s="328">
        <v>-777</v>
      </c>
      <c r="AS186" s="328">
        <v>-48</v>
      </c>
      <c r="AT186" s="328">
        <v>0</v>
      </c>
      <c r="AU186" s="326">
        <v>-1079</v>
      </c>
      <c r="AV186" s="328">
        <v>0</v>
      </c>
      <c r="AW186" s="328">
        <f>-4-AV186</f>
        <v>-4</v>
      </c>
      <c r="AX186" s="328">
        <f>-6-AW186-AV186</f>
        <v>-2</v>
      </c>
      <c r="AY186" s="328">
        <f>AZ186-SUM(AV186:AX186)</f>
        <v>-1512</v>
      </c>
      <c r="AZ186" s="326">
        <v>-1518</v>
      </c>
      <c r="BA186" s="328">
        <v>-2</v>
      </c>
      <c r="BB186" s="328">
        <f>-2-BA186</f>
        <v>0</v>
      </c>
      <c r="BC186" s="328">
        <f>-3-BB186-BA186</f>
        <v>-1</v>
      </c>
      <c r="BD186" s="328">
        <f>BE186-SUM(BA186:BC186)</f>
        <v>-2958</v>
      </c>
      <c r="BE186" s="326">
        <v>-2961</v>
      </c>
      <c r="BF186" s="336">
        <v>-1129</v>
      </c>
      <c r="BG186" s="336">
        <f>-1371-BF186</f>
        <v>-242</v>
      </c>
      <c r="BH186" s="336">
        <f>-3608-BG186-BF186</f>
        <v>-2237</v>
      </c>
      <c r="BI186" s="328">
        <f>BJ186-SUM(BF186:BH186)</f>
        <v>-905</v>
      </c>
      <c r="BJ186" s="592">
        <v>-4513</v>
      </c>
      <c r="BK186" s="593">
        <v>-1079</v>
      </c>
      <c r="BL186" s="593">
        <f>-2610-BK186</f>
        <v>-1531</v>
      </c>
      <c r="BM186" s="593">
        <f>-3619-BL186-BK186</f>
        <v>-1009</v>
      </c>
      <c r="BN186" s="593">
        <f>BO186-SUM(BK186:BM186)</f>
        <v>-940</v>
      </c>
      <c r="BO186" s="592">
        <v>-4559</v>
      </c>
      <c r="BP186" s="593">
        <v>-1523</v>
      </c>
      <c r="BQ186" s="593">
        <f>-2978-BP186</f>
        <v>-1455</v>
      </c>
      <c r="BR186" s="593">
        <f>-3892-BQ186-BP186</f>
        <v>-914</v>
      </c>
      <c r="BS186" s="593">
        <f>BT186-SUM(BP186:BR186)</f>
        <v>-940</v>
      </c>
      <c r="BT186" s="592">
        <v>-4832</v>
      </c>
      <c r="BU186" s="593">
        <v>-875</v>
      </c>
      <c r="BV186" s="593">
        <f>+-1953-BU186</f>
        <v>-1078</v>
      </c>
      <c r="BW186" s="593">
        <f>-2963-BV186-BU186</f>
        <v>-1010</v>
      </c>
      <c r="BX186" s="593">
        <f>BY186-SUM(BU186:BW186)</f>
        <v>-1199</v>
      </c>
      <c r="BY186" s="592">
        <v>-4162</v>
      </c>
      <c r="BZ186" s="593">
        <v>-654</v>
      </c>
      <c r="CA186" s="593">
        <f>+-1298-BZ186</f>
        <v>-644</v>
      </c>
      <c r="CB186" s="593">
        <f>-1966-CA186-BZ186</f>
        <v>-668</v>
      </c>
      <c r="CC186" s="593">
        <f>CD186-SUM(BZ186:CB186)</f>
        <v>-1598</v>
      </c>
      <c r="CD186" s="592">
        <v>-3564</v>
      </c>
      <c r="CE186" s="593">
        <v>-739</v>
      </c>
      <c r="CF186" s="593">
        <f>-2156-CE186</f>
        <v>-1417</v>
      </c>
      <c r="CG186" s="812">
        <f>-2509-CF186-CE186</f>
        <v>-353</v>
      </c>
      <c r="CH186" s="593">
        <f>CI186-SUM(CE186:CG186)</f>
        <v>-1172</v>
      </c>
      <c r="CI186" s="592">
        <v>-3681</v>
      </c>
      <c r="CJ186" s="593">
        <v>-1304</v>
      </c>
      <c r="CK186" s="593">
        <f>-2197-CJ186</f>
        <v>-893</v>
      </c>
      <c r="CL186" s="593">
        <f>-3087-CK186-CJ186</f>
        <v>-890</v>
      </c>
      <c r="CM186" s="593">
        <f>CN186-SUM(CJ186:CL186)</f>
        <v>-595</v>
      </c>
      <c r="CN186" s="592">
        <v>-3682</v>
      </c>
      <c r="CO186" s="593">
        <v>-927</v>
      </c>
      <c r="CP186" s="593">
        <f>-CP103</f>
        <v>-726.56</v>
      </c>
      <c r="CQ186" s="593">
        <f>-CQ103</f>
        <v>-730.56</v>
      </c>
      <c r="CR186" s="593">
        <f>-CR103</f>
        <v>-596.82999999999993</v>
      </c>
      <c r="CS186" s="592">
        <f>SUM(CO186:CR186)</f>
        <v>-2980.95</v>
      </c>
      <c r="CT186" s="593">
        <f>-CT103</f>
        <v>-770.41249999999991</v>
      </c>
      <c r="CU186" s="593">
        <f>-CU103</f>
        <v>-794.78749999999991</v>
      </c>
      <c r="CV186" s="593">
        <f>-CV103</f>
        <v>-819.16249999999991</v>
      </c>
      <c r="CW186" s="593">
        <f>-CW103</f>
        <v>-843.53749999999991</v>
      </c>
      <c r="CX186" s="592">
        <f>SUM(CT186:CW186)</f>
        <v>-3227.8999999999996</v>
      </c>
      <c r="CY186" s="593">
        <f>-CY103</f>
        <v>-867.91249999999991</v>
      </c>
      <c r="CZ186" s="593">
        <f>-CZ103</f>
        <v>-892.28749999999991</v>
      </c>
      <c r="DA186" s="593">
        <f>-DA103</f>
        <v>-916.66249999999991</v>
      </c>
      <c r="DB186" s="593">
        <f>-DB103</f>
        <v>-941.03749999999991</v>
      </c>
      <c r="DC186" s="592">
        <f>SUM(CY186:DB186)</f>
        <v>-3617.8999999999996</v>
      </c>
      <c r="DD186" s="593">
        <f>-DD103</f>
        <v>-935.70749999999998</v>
      </c>
      <c r="DE186" s="593">
        <f>-DE103</f>
        <v>-959.33249999999998</v>
      </c>
      <c r="DF186" s="593">
        <f>-DF103</f>
        <v>-982.95749999999998</v>
      </c>
      <c r="DG186" s="593">
        <f>-DG103</f>
        <v>-1006.5825</v>
      </c>
      <c r="DH186" s="592">
        <f>SUM(DD186:DG186)</f>
        <v>-3884.58</v>
      </c>
      <c r="DI186" s="593">
        <f>-DI103</f>
        <v>-997.50249999999994</v>
      </c>
      <c r="DJ186" s="593">
        <f>-DJ103</f>
        <v>-1020.3774999999999</v>
      </c>
      <c r="DK186" s="593">
        <f>-DK103</f>
        <v>-1043.2525000000001</v>
      </c>
      <c r="DL186" s="593">
        <f>-DL103</f>
        <v>-1066.1275000000001</v>
      </c>
      <c r="DM186" s="592">
        <f>SUM(DI186:DL186)</f>
        <v>-4127.26</v>
      </c>
      <c r="DN186" s="207"/>
    </row>
    <row r="187" spans="1:118" ht="15" x14ac:dyDescent="0.2">
      <c r="A187" s="223" t="s">
        <v>203</v>
      </c>
      <c r="C187" s="330">
        <v>0</v>
      </c>
      <c r="D187" s="330">
        <v>-420</v>
      </c>
      <c r="E187" s="330">
        <v>-421</v>
      </c>
      <c r="F187" s="349">
        <v>-844</v>
      </c>
      <c r="G187" s="331"/>
      <c r="H187" s="330">
        <v>0</v>
      </c>
      <c r="I187" s="330">
        <v>-448</v>
      </c>
      <c r="J187" s="330">
        <v>-449</v>
      </c>
      <c r="K187" s="349">
        <v>-894</v>
      </c>
      <c r="L187" s="331">
        <v>-1791</v>
      </c>
      <c r="M187" s="330">
        <v>0</v>
      </c>
      <c r="N187" s="330">
        <v>-497</v>
      </c>
      <c r="O187" s="330">
        <v>-497</v>
      </c>
      <c r="P187" s="349">
        <v>-993</v>
      </c>
      <c r="Q187" s="331">
        <v>-1987</v>
      </c>
      <c r="R187" s="330">
        <v>0</v>
      </c>
      <c r="S187" s="330">
        <v>-545</v>
      </c>
      <c r="T187" s="330">
        <v>-541</v>
      </c>
      <c r="U187" s="349">
        <v>-1080</v>
      </c>
      <c r="V187" s="331">
        <v>-2166</v>
      </c>
      <c r="W187" s="330">
        <v>-602</v>
      </c>
      <c r="X187" s="330">
        <v>-617</v>
      </c>
      <c r="Y187" s="330">
        <v>-590</v>
      </c>
      <c r="Z187" s="349">
        <v>-620</v>
      </c>
      <c r="AA187" s="331">
        <v>-2429</v>
      </c>
      <c r="AB187" s="330">
        <v>-660</v>
      </c>
      <c r="AC187" s="330">
        <v>-671</v>
      </c>
      <c r="AD187" s="330">
        <v>-15</v>
      </c>
      <c r="AE187" s="349">
        <v>-1332</v>
      </c>
      <c r="AF187" s="331">
        <v>-2678</v>
      </c>
      <c r="AG187" s="330">
        <v>0</v>
      </c>
      <c r="AH187" s="330">
        <v>-754</v>
      </c>
      <c r="AI187" s="330">
        <v>-706</v>
      </c>
      <c r="AJ187" s="349">
        <v>-1451</v>
      </c>
      <c r="AK187" s="331">
        <v>-2911</v>
      </c>
      <c r="AL187" s="330">
        <v>0</v>
      </c>
      <c r="AM187" s="330">
        <v>-787</v>
      </c>
      <c r="AN187" s="330">
        <v>-788</v>
      </c>
      <c r="AO187" s="349">
        <v>-1574</v>
      </c>
      <c r="AP187" s="331">
        <v>-3149</v>
      </c>
      <c r="AQ187" s="330">
        <v>0</v>
      </c>
      <c r="AR187" s="330">
        <v>-884</v>
      </c>
      <c r="AS187" s="330">
        <v>-880</v>
      </c>
      <c r="AT187" s="349">
        <v>-1757</v>
      </c>
      <c r="AU187" s="331">
        <v>-3521</v>
      </c>
      <c r="AV187" s="330">
        <v>-950</v>
      </c>
      <c r="AW187" s="330">
        <f>-1899-AV187</f>
        <v>-949</v>
      </c>
      <c r="AX187" s="330">
        <f>-2850-AW187-AV187</f>
        <v>-951</v>
      </c>
      <c r="AY187" s="349">
        <f>AZ187-SUM(AV187:AX187)</f>
        <v>-950</v>
      </c>
      <c r="AZ187" s="331">
        <v>-3800</v>
      </c>
      <c r="BA187" s="330">
        <v>-1015</v>
      </c>
      <c r="BB187" s="330">
        <f>-2030-BA187</f>
        <v>-1015</v>
      </c>
      <c r="BC187" s="330">
        <f>-3034-BB187-BA187</f>
        <v>-1004</v>
      </c>
      <c r="BD187" s="349">
        <f>BE187-SUM(BA187:BC187)</f>
        <v>-1034</v>
      </c>
      <c r="BE187" s="331">
        <v>-4068</v>
      </c>
      <c r="BF187" s="332">
        <v>-1065</v>
      </c>
      <c r="BG187" s="332">
        <f>-2143-BF187</f>
        <v>-1078</v>
      </c>
      <c r="BH187" s="332">
        <f>-2159-BG187-BF187</f>
        <v>-16</v>
      </c>
      <c r="BI187" s="332">
        <f>BJ187-SUM(BF187:BH187)</f>
        <v>-2141</v>
      </c>
      <c r="BJ187" s="595">
        <v>-4300</v>
      </c>
      <c r="BK187" s="599">
        <v>0</v>
      </c>
      <c r="BL187" s="599">
        <f>-1155-BK187</f>
        <v>-1155</v>
      </c>
      <c r="BM187" s="599">
        <f>-2304-BL187-BK187</f>
        <v>-1149</v>
      </c>
      <c r="BN187" s="599">
        <f>BO187-SUM(BK187:BM187)</f>
        <v>-2291</v>
      </c>
      <c r="BO187" s="595">
        <v>-4595</v>
      </c>
      <c r="BP187" s="599">
        <v>0</v>
      </c>
      <c r="BQ187" s="599">
        <f>-1249-BP187</f>
        <v>-1249</v>
      </c>
      <c r="BR187" s="599">
        <f>-2494-BQ187-BP187</f>
        <v>-1245</v>
      </c>
      <c r="BS187" s="599">
        <f>BT187-SUM(BP187:BR187)</f>
        <v>-2475</v>
      </c>
      <c r="BT187" s="595">
        <v>-4969</v>
      </c>
      <c r="BU187" s="599">
        <v>0</v>
      </c>
      <c r="BV187" s="599">
        <f>+-1342-BU187</f>
        <v>-1342</v>
      </c>
      <c r="BW187" s="599">
        <f>-2680-BV187-BU187</f>
        <v>-1338</v>
      </c>
      <c r="BX187" s="599">
        <f>BY187-SUM(BU187:BW187)</f>
        <v>-2670</v>
      </c>
      <c r="BY187" s="595">
        <v>-5350</v>
      </c>
      <c r="BZ187" s="599">
        <f>-1441</f>
        <v>-1441</v>
      </c>
      <c r="CA187" s="599">
        <f>+-2877-BZ187</f>
        <v>-1436</v>
      </c>
      <c r="CB187" s="599">
        <f>-4313-CA187-BZ187</f>
        <v>-1436</v>
      </c>
      <c r="CC187" s="599">
        <f>CD187-SUM(BZ187:CB187)</f>
        <v>-1428</v>
      </c>
      <c r="CD187" s="595">
        <v>-5741</v>
      </c>
      <c r="CE187" s="599">
        <v>-1505</v>
      </c>
      <c r="CF187" s="599">
        <f>-3017-CE187</f>
        <v>-1512</v>
      </c>
      <c r="CG187" s="813">
        <f>+-3028-CF187-CE187</f>
        <v>-11</v>
      </c>
      <c r="CH187" s="599">
        <f>CI187-SUM(CE187:CG187)</f>
        <v>-3015</v>
      </c>
      <c r="CI187" s="595">
        <v>-6043</v>
      </c>
      <c r="CJ187" s="599">
        <v>0</v>
      </c>
      <c r="CK187" s="599">
        <f>-1584-15-CJ187</f>
        <v>-1599</v>
      </c>
      <c r="CL187" s="599">
        <f>-3165-42-CK187-CJ187</f>
        <v>-1608</v>
      </c>
      <c r="CM187" s="599">
        <f>CN187-SUM(CJ187:CL187)</f>
        <v>-3113</v>
      </c>
      <c r="CN187" s="595">
        <v>-6320</v>
      </c>
      <c r="CO187" s="599">
        <v>-72</v>
      </c>
      <c r="CP187" s="599">
        <f>-CP226*CP89</f>
        <v>-1660.8150000000001</v>
      </c>
      <c r="CQ187" s="599">
        <f>-CQ226*CQ89</f>
        <v>-1660.425</v>
      </c>
      <c r="CR187" s="599">
        <f>-CR226*CR89</f>
        <v>-1660.6200000000001</v>
      </c>
      <c r="CS187" s="595">
        <f>SUM(CO187:CR187)</f>
        <v>-5053.8599999999997</v>
      </c>
      <c r="CT187" s="599">
        <f>-CT226*CT89</f>
        <v>-1788.5175000000002</v>
      </c>
      <c r="CU187" s="599">
        <f>-CU226*CU89</f>
        <v>-1787.9925000000001</v>
      </c>
      <c r="CV187" s="599">
        <f>-CV226*CV89</f>
        <v>-1787.4675000000002</v>
      </c>
      <c r="CW187" s="599">
        <f>-CW226*CW89</f>
        <v>-1786.9425000000001</v>
      </c>
      <c r="CX187" s="595">
        <f>SUM(CT187:CW187)</f>
        <v>-7150.920000000001</v>
      </c>
      <c r="CY187" s="599">
        <f>-CY226*CY89</f>
        <v>-1935.2856250000002</v>
      </c>
      <c r="CZ187" s="599">
        <f>-CZ226*CZ89</f>
        <v>-1934.7168750000003</v>
      </c>
      <c r="DA187" s="599">
        <f>-DA226*DA89</f>
        <v>-1934.1481250000004</v>
      </c>
      <c r="DB187" s="599">
        <f>-DB226*DB89</f>
        <v>-1933.5793750000003</v>
      </c>
      <c r="DC187" s="595">
        <f>SUM(CY187:DB187)</f>
        <v>-7737.7300000000014</v>
      </c>
      <c r="DD187" s="599">
        <f>-DD226*DD89</f>
        <v>-2081.8262500000005</v>
      </c>
      <c r="DE187" s="599">
        <f>-DE226*DE89</f>
        <v>-2081.4587500000002</v>
      </c>
      <c r="DF187" s="599">
        <f>-DF226*DF89</f>
        <v>-2081.0912500000004</v>
      </c>
      <c r="DG187" s="599">
        <f>-DG226*DG89</f>
        <v>-2080.7237500000006</v>
      </c>
      <c r="DH187" s="595">
        <f>SUM(DD187:DG187)</f>
        <v>-8325.1000000000022</v>
      </c>
      <c r="DI187" s="599">
        <f>-DI226*DI89</f>
        <v>-2229.0843750000004</v>
      </c>
      <c r="DJ187" s="599">
        <f>-DJ226*DJ89</f>
        <v>-2228.9531250000005</v>
      </c>
      <c r="DK187" s="599">
        <f>-DK226*DK89</f>
        <v>-2228.8218750000005</v>
      </c>
      <c r="DL187" s="599">
        <f>-DL226*DL89</f>
        <v>-2228.6906250000006</v>
      </c>
      <c r="DM187" s="595">
        <f>SUM(DI187:DL187)</f>
        <v>-8915.5500000000011</v>
      </c>
      <c r="DN187" s="207"/>
    </row>
    <row r="188" spans="1:118" ht="15.75" x14ac:dyDescent="0.25">
      <c r="A188" s="286" t="s">
        <v>170</v>
      </c>
      <c r="B188" s="20" t="s">
        <v>0</v>
      </c>
      <c r="C188" s="339">
        <v>1074</v>
      </c>
      <c r="D188" s="339">
        <v>-119</v>
      </c>
      <c r="E188" s="339">
        <v>-1178</v>
      </c>
      <c r="F188" s="339">
        <v>-1849</v>
      </c>
      <c r="G188" s="340"/>
      <c r="H188" s="339">
        <v>471</v>
      </c>
      <c r="I188" s="339">
        <v>-1142</v>
      </c>
      <c r="J188" s="339">
        <v>-855</v>
      </c>
      <c r="K188" s="339">
        <v>-1304</v>
      </c>
      <c r="L188" s="340">
        <v>-2830</v>
      </c>
      <c r="M188" s="339">
        <v>-219</v>
      </c>
      <c r="N188" s="339">
        <v>-577</v>
      </c>
      <c r="O188" s="339">
        <v>-1116</v>
      </c>
      <c r="P188" s="339">
        <v>-1415</v>
      </c>
      <c r="Q188" s="340">
        <v>-3327</v>
      </c>
      <c r="R188" s="339">
        <v>385</v>
      </c>
      <c r="S188" s="339">
        <v>-1021</v>
      </c>
      <c r="T188" s="339">
        <v>-1226</v>
      </c>
      <c r="U188" s="339">
        <v>-1739</v>
      </c>
      <c r="V188" s="340">
        <v>-3601</v>
      </c>
      <c r="W188" s="339">
        <v>-63</v>
      </c>
      <c r="X188" s="339">
        <v>-851</v>
      </c>
      <c r="Y188" s="339">
        <v>-1063</v>
      </c>
      <c r="Z188" s="339">
        <v>-284</v>
      </c>
      <c r="AA188" s="340">
        <v>-2261</v>
      </c>
      <c r="AB188" s="339">
        <v>-929</v>
      </c>
      <c r="AC188" s="339">
        <v>-3611</v>
      </c>
      <c r="AD188" s="339">
        <v>-1102</v>
      </c>
      <c r="AE188" s="339">
        <v>-1143</v>
      </c>
      <c r="AF188" s="340">
        <v>-6785</v>
      </c>
      <c r="AG188" s="339">
        <v>-582</v>
      </c>
      <c r="AH188" s="339">
        <v>-2242</v>
      </c>
      <c r="AI188" s="339">
        <v>-1617</v>
      </c>
      <c r="AJ188" s="339">
        <v>-2142</v>
      </c>
      <c r="AK188" s="340">
        <v>-6583</v>
      </c>
      <c r="AL188" s="339">
        <v>1007</v>
      </c>
      <c r="AM188" s="339">
        <v>1573</v>
      </c>
      <c r="AN188" s="339">
        <v>-1346</v>
      </c>
      <c r="AO188" s="339">
        <v>-261</v>
      </c>
      <c r="AP188" s="340">
        <v>973</v>
      </c>
      <c r="AQ188" s="339">
        <v>1441</v>
      </c>
      <c r="AR188" s="339">
        <v>-1058</v>
      </c>
      <c r="AS188" s="339">
        <v>-559</v>
      </c>
      <c r="AT188" s="339">
        <v>-3809</v>
      </c>
      <c r="AU188" s="340">
        <v>-3985</v>
      </c>
      <c r="AV188" s="339">
        <f t="shared" ref="AV188:BZ188" si="283">SUM(AV184:AV187)</f>
        <v>1817</v>
      </c>
      <c r="AW188" s="339">
        <f t="shared" si="283"/>
        <v>-1675</v>
      </c>
      <c r="AX188" s="339">
        <f t="shared" si="283"/>
        <v>-1026</v>
      </c>
      <c r="AY188" s="339">
        <f t="shared" si="283"/>
        <v>-1409</v>
      </c>
      <c r="AZ188" s="340">
        <f t="shared" si="283"/>
        <v>-2293</v>
      </c>
      <c r="BA188" s="339">
        <f t="shared" si="283"/>
        <v>-1043</v>
      </c>
      <c r="BB188" s="339">
        <f t="shared" si="283"/>
        <v>-832</v>
      </c>
      <c r="BC188" s="339">
        <f t="shared" si="283"/>
        <v>990</v>
      </c>
      <c r="BD188" s="339">
        <f t="shared" si="283"/>
        <v>-2580</v>
      </c>
      <c r="BE188" s="340">
        <f t="shared" si="283"/>
        <v>-3465</v>
      </c>
      <c r="BF188" s="339">
        <f t="shared" si="283"/>
        <v>986</v>
      </c>
      <c r="BG188" s="339">
        <f t="shared" si="283"/>
        <v>-956</v>
      </c>
      <c r="BH188" s="339">
        <f t="shared" si="283"/>
        <v>1146</v>
      </c>
      <c r="BI188" s="339">
        <f t="shared" si="283"/>
        <v>-3410</v>
      </c>
      <c r="BJ188" s="600">
        <f t="shared" si="283"/>
        <v>-2234</v>
      </c>
      <c r="BK188" s="601">
        <f t="shared" si="283"/>
        <v>1922</v>
      </c>
      <c r="BL188" s="601">
        <f t="shared" si="283"/>
        <v>-774</v>
      </c>
      <c r="BM188" s="601">
        <f t="shared" si="283"/>
        <v>-1547</v>
      </c>
      <c r="BN188" s="601">
        <f t="shared" si="283"/>
        <v>-2948</v>
      </c>
      <c r="BO188" s="600">
        <f t="shared" si="283"/>
        <v>-3347</v>
      </c>
      <c r="BP188" s="601">
        <f t="shared" si="283"/>
        <v>1435</v>
      </c>
      <c r="BQ188" s="601">
        <f t="shared" si="283"/>
        <v>-1299</v>
      </c>
      <c r="BR188" s="601">
        <f t="shared" si="283"/>
        <v>-1519</v>
      </c>
      <c r="BS188" s="601">
        <f t="shared" si="283"/>
        <v>-2362</v>
      </c>
      <c r="BT188" s="600">
        <f t="shared" si="283"/>
        <v>-3745</v>
      </c>
      <c r="BU188" s="601">
        <f>SUM(BU184:BU187)</f>
        <v>205</v>
      </c>
      <c r="BV188" s="601">
        <f t="shared" si="283"/>
        <v>-143</v>
      </c>
      <c r="BW188" s="601">
        <f t="shared" si="283"/>
        <v>-258</v>
      </c>
      <c r="BX188" s="601">
        <f>SUM(BX184:BX187)</f>
        <v>-3435</v>
      </c>
      <c r="BY188" s="600">
        <f t="shared" si="283"/>
        <v>-3631</v>
      </c>
      <c r="BZ188" s="601">
        <f t="shared" si="283"/>
        <v>-1177</v>
      </c>
      <c r="CA188" s="601">
        <f>SUM(CA184:CA187)</f>
        <v>47</v>
      </c>
      <c r="CB188" s="601">
        <f>SUM(CB184:CB187)</f>
        <v>-48</v>
      </c>
      <c r="CC188" s="601">
        <f>SUM(CC184:CC187)</f>
        <v>-3935</v>
      </c>
      <c r="CD188" s="600">
        <f>SUM(CD184:CD187)</f>
        <v>-5113</v>
      </c>
      <c r="CE188" s="601">
        <f t="shared" ref="CE188:CX188" si="284">SUM(CE184:CE187)</f>
        <v>399</v>
      </c>
      <c r="CF188" s="601">
        <f>SUM(CF184:CF187)</f>
        <v>-1182</v>
      </c>
      <c r="CG188" s="817">
        <f>SUM(CG184:CG187)</f>
        <v>-1000</v>
      </c>
      <c r="CH188" s="601">
        <f>SUM(CH184:CH187)</f>
        <v>-4762</v>
      </c>
      <c r="CI188" s="600">
        <f t="shared" si="284"/>
        <v>-6545</v>
      </c>
      <c r="CJ188" s="601">
        <f t="shared" si="284"/>
        <v>1535</v>
      </c>
      <c r="CK188" s="601">
        <f t="shared" si="284"/>
        <v>-738</v>
      </c>
      <c r="CL188" s="601">
        <f t="shared" si="284"/>
        <v>-3296</v>
      </c>
      <c r="CM188" s="601">
        <f t="shared" si="284"/>
        <v>-4910</v>
      </c>
      <c r="CN188" s="600">
        <f t="shared" si="284"/>
        <v>-7409</v>
      </c>
      <c r="CO188" s="601">
        <f t="shared" si="284"/>
        <v>284</v>
      </c>
      <c r="CP188" s="601">
        <f t="shared" ca="1" si="284"/>
        <v>-1924.6745283018868</v>
      </c>
      <c r="CQ188" s="601">
        <f t="shared" ca="1" si="284"/>
        <v>-5416.717016509434</v>
      </c>
      <c r="CR188" s="601">
        <f t="shared" ca="1" si="284"/>
        <v>-5271.3253169221698</v>
      </c>
      <c r="CS188" s="600">
        <f t="shared" ca="1" si="284"/>
        <v>-12328.71686173349</v>
      </c>
      <c r="CT188" s="601">
        <f t="shared" ca="1" si="284"/>
        <v>-1886.7901672190799</v>
      </c>
      <c r="CU188" s="601">
        <f t="shared" ca="1" si="284"/>
        <v>-3584.9072874674994</v>
      </c>
      <c r="CV188" s="601">
        <f t="shared" ca="1" si="284"/>
        <v>-2083.1268862123889</v>
      </c>
      <c r="CW188" s="601">
        <f t="shared" ca="1" si="284"/>
        <v>-2093.8893083676985</v>
      </c>
      <c r="CX188" s="600">
        <f t="shared" ca="1" si="284"/>
        <v>-9648.7136492666668</v>
      </c>
      <c r="CY188" s="601">
        <f t="shared" ref="CY188:DH188" ca="1" si="285">SUM(CY184:CY187)</f>
        <v>-807.81086859615948</v>
      </c>
      <c r="CZ188" s="601">
        <f t="shared" ca="1" si="285"/>
        <v>-3708.6305770845452</v>
      </c>
      <c r="DA188" s="601">
        <f t="shared" ca="1" si="285"/>
        <v>-2272.9611397189092</v>
      </c>
      <c r="DB188" s="601">
        <f t="shared" ca="1" si="285"/>
        <v>-2282.3211525868819</v>
      </c>
      <c r="DC188" s="600">
        <f t="shared" ca="1" si="285"/>
        <v>-9071.7237379864964</v>
      </c>
      <c r="DD188" s="601">
        <f t="shared" ca="1" si="285"/>
        <v>-951.06209716064404</v>
      </c>
      <c r="DE188" s="601">
        <f t="shared" ca="1" si="285"/>
        <v>-3877.8790940056278</v>
      </c>
      <c r="DF188" s="601">
        <f t="shared" ca="1" si="285"/>
        <v>-2426.211039305711</v>
      </c>
      <c r="DG188" s="601">
        <f t="shared" ca="1" si="285"/>
        <v>-2433.5225965383538</v>
      </c>
      <c r="DH188" s="600">
        <f t="shared" ca="1" si="285"/>
        <v>-9688.674827010338</v>
      </c>
      <c r="DI188" s="601">
        <f ca="1">SUM(DI184:DI187)</f>
        <v>-1109.8162020730069</v>
      </c>
      <c r="DJ188" s="601">
        <f ca="1">SUM(DJ184:DJ187)</f>
        <v>-4009.0916022106635</v>
      </c>
      <c r="DK188" s="601">
        <f ca="1">SUM(DK184:DK187)</f>
        <v>-2568.0208878089047</v>
      </c>
      <c r="DL188" s="601">
        <f ca="1">SUM(DL184:DL187)</f>
        <v>-2573.1633006291272</v>
      </c>
      <c r="DM188" s="600">
        <f ca="1">SUM(DM184:DM187)</f>
        <v>-10260.091992721702</v>
      </c>
      <c r="DN188" s="227"/>
    </row>
    <row r="189" spans="1:118" ht="15.75" x14ac:dyDescent="0.25">
      <c r="C189" s="240"/>
      <c r="D189" s="240"/>
      <c r="E189" s="240"/>
      <c r="F189" s="240"/>
      <c r="G189" s="351"/>
      <c r="H189" s="240"/>
      <c r="I189" s="240"/>
      <c r="J189" s="240"/>
      <c r="K189" s="240"/>
      <c r="L189" s="351"/>
      <c r="M189" s="240"/>
      <c r="N189" s="240"/>
      <c r="O189" s="240"/>
      <c r="P189" s="240"/>
      <c r="Q189" s="351"/>
      <c r="R189" s="240"/>
      <c r="S189" s="240"/>
      <c r="T189" s="240"/>
      <c r="U189" s="240"/>
      <c r="V189" s="351"/>
      <c r="W189" s="240"/>
      <c r="X189" s="240"/>
      <c r="Y189" s="240"/>
      <c r="Z189" s="240"/>
      <c r="AA189" s="351"/>
      <c r="AB189" s="240"/>
      <c r="AC189" s="240"/>
      <c r="AD189" s="240"/>
      <c r="AE189" s="240"/>
      <c r="AF189" s="351"/>
      <c r="AG189" s="240"/>
      <c r="AH189" s="240"/>
      <c r="AI189" s="240"/>
      <c r="AJ189" s="240"/>
      <c r="AK189" s="351"/>
      <c r="AL189" s="240"/>
      <c r="AM189" s="240"/>
      <c r="AN189" s="240"/>
      <c r="AO189" s="240"/>
      <c r="AP189" s="351"/>
      <c r="AQ189" s="240"/>
      <c r="AR189" s="240"/>
      <c r="AS189" s="240"/>
      <c r="AT189" s="240"/>
      <c r="AU189" s="351"/>
      <c r="AV189" s="240"/>
      <c r="AW189" s="240"/>
      <c r="AX189" s="240"/>
      <c r="AY189" s="240"/>
      <c r="AZ189" s="351"/>
      <c r="BA189" s="228"/>
      <c r="BB189" s="228"/>
      <c r="BC189" s="228"/>
      <c r="BD189" s="226"/>
      <c r="BE189" s="212"/>
      <c r="BF189" s="228"/>
      <c r="BG189" s="228"/>
      <c r="BH189" s="228"/>
      <c r="BI189" s="228"/>
      <c r="BJ189" s="427"/>
      <c r="BK189" s="471"/>
      <c r="BL189" s="471"/>
      <c r="BM189" s="476"/>
      <c r="BN189" s="471"/>
      <c r="BO189" s="427"/>
      <c r="BP189" s="471"/>
      <c r="BQ189" s="471"/>
      <c r="BR189" s="471"/>
      <c r="BS189" s="471"/>
      <c r="BT189" s="427"/>
      <c r="BU189" s="421"/>
      <c r="BV189" s="421"/>
      <c r="BW189" s="421"/>
      <c r="BX189" s="471"/>
      <c r="BY189" s="427"/>
      <c r="BZ189" s="421"/>
      <c r="CA189" s="471"/>
      <c r="CB189" s="471"/>
      <c r="CC189" s="471"/>
      <c r="CD189" s="427"/>
      <c r="CE189" s="471"/>
      <c r="CF189" s="471"/>
      <c r="CG189" s="818"/>
      <c r="CH189" s="471"/>
      <c r="CI189" s="427"/>
      <c r="CJ189" s="471"/>
      <c r="CK189" s="471"/>
      <c r="CL189" s="471"/>
      <c r="CM189" s="471"/>
      <c r="CN189" s="427"/>
      <c r="CO189" s="471"/>
      <c r="CP189" s="471"/>
      <c r="CQ189" s="471"/>
      <c r="CR189" s="471"/>
      <c r="CS189" s="427"/>
      <c r="CT189" s="471"/>
      <c r="CU189" s="471"/>
      <c r="CV189" s="471"/>
      <c r="CW189" s="471"/>
      <c r="CX189" s="427"/>
      <c r="CY189" s="471"/>
      <c r="CZ189" s="471"/>
      <c r="DA189" s="471"/>
      <c r="DB189" s="471"/>
      <c r="DC189" s="427"/>
      <c r="DD189" s="471"/>
      <c r="DE189" s="471"/>
      <c r="DF189" s="471"/>
      <c r="DG189" s="471"/>
      <c r="DH189" s="427"/>
      <c r="DI189" s="471"/>
      <c r="DJ189" s="471"/>
      <c r="DK189" s="471"/>
      <c r="DL189" s="471"/>
      <c r="DM189" s="427"/>
      <c r="DN189" s="207"/>
    </row>
    <row r="190" spans="1:118" ht="15" x14ac:dyDescent="0.2">
      <c r="A190" s="223" t="s">
        <v>1</v>
      </c>
      <c r="C190" s="328">
        <v>-5</v>
      </c>
      <c r="D190" s="328">
        <v>-30</v>
      </c>
      <c r="E190" s="328">
        <v>-51</v>
      </c>
      <c r="F190" s="328">
        <v>-54</v>
      </c>
      <c r="G190" s="326"/>
      <c r="H190" s="328">
        <v>8</v>
      </c>
      <c r="I190" s="328">
        <v>-57</v>
      </c>
      <c r="J190" s="328">
        <v>38</v>
      </c>
      <c r="K190" s="328">
        <v>-34</v>
      </c>
      <c r="L190" s="326">
        <v>-45</v>
      </c>
      <c r="M190" s="328">
        <v>-11</v>
      </c>
      <c r="N190" s="328">
        <v>42</v>
      </c>
      <c r="O190" s="328">
        <v>-12</v>
      </c>
      <c r="P190" s="328">
        <v>13</v>
      </c>
      <c r="Q190" s="326">
        <v>32</v>
      </c>
      <c r="R190" s="328">
        <v>54</v>
      </c>
      <c r="S190" s="328">
        <v>114</v>
      </c>
      <c r="T190" s="328">
        <f>77-S190-R190</f>
        <v>-91</v>
      </c>
      <c r="U190" s="328">
        <f>V190-SUM(R190:T190)</f>
        <v>106</v>
      </c>
      <c r="V190" s="326">
        <v>183</v>
      </c>
      <c r="W190" s="328">
        <v>54</v>
      </c>
      <c r="X190" s="328">
        <v>-41</v>
      </c>
      <c r="Y190" s="328">
        <v>4</v>
      </c>
      <c r="Z190" s="328">
        <v>124</v>
      </c>
      <c r="AA190" s="326">
        <v>141</v>
      </c>
      <c r="AB190" s="328">
        <v>-26</v>
      </c>
      <c r="AC190" s="328">
        <v>-75</v>
      </c>
      <c r="AD190" s="328">
        <v>-76</v>
      </c>
      <c r="AE190" s="328">
        <v>29</v>
      </c>
      <c r="AF190" s="326">
        <v>-148</v>
      </c>
      <c r="AG190" s="328">
        <v>41</v>
      </c>
      <c r="AH190" s="328">
        <v>21</v>
      </c>
      <c r="AI190" s="328">
        <v>-26</v>
      </c>
      <c r="AJ190" s="328">
        <v>29</v>
      </c>
      <c r="AK190" s="326">
        <v>65</v>
      </c>
      <c r="AL190" s="328">
        <v>31</v>
      </c>
      <c r="AM190" s="328">
        <v>64</v>
      </c>
      <c r="AN190" s="328">
        <v>2</v>
      </c>
      <c r="AO190" s="328">
        <v>152</v>
      </c>
      <c r="AP190" s="326">
        <v>249</v>
      </c>
      <c r="AQ190" s="328">
        <v>102</v>
      </c>
      <c r="AR190" s="328">
        <v>9</v>
      </c>
      <c r="AS190" s="328">
        <v>-105</v>
      </c>
      <c r="AT190" s="328">
        <v>-621</v>
      </c>
      <c r="AU190" s="326">
        <v>-615</v>
      </c>
      <c r="AV190" s="328">
        <v>24</v>
      </c>
      <c r="AW190" s="328">
        <f>306-AV190</f>
        <v>282</v>
      </c>
      <c r="AX190" s="328">
        <f>319-AW190-AV190</f>
        <v>13</v>
      </c>
      <c r="AY190" s="328">
        <f>AZ190-SUM(AV190:AX190)</f>
        <v>257</v>
      </c>
      <c r="AZ190" s="326">
        <v>576</v>
      </c>
      <c r="BA190" s="328">
        <v>-252</v>
      </c>
      <c r="BB190" s="328">
        <f>-383-BA190</f>
        <v>-131</v>
      </c>
      <c r="BC190" s="328">
        <f>-138-BB190-BA190</f>
        <v>245</v>
      </c>
      <c r="BD190" s="328">
        <f>BE190-SUM(BA190:BC190)</f>
        <v>-28</v>
      </c>
      <c r="BE190" s="326">
        <v>-166</v>
      </c>
      <c r="BF190" s="328">
        <v>161</v>
      </c>
      <c r="BG190" s="328">
        <f>305-BF190</f>
        <v>144</v>
      </c>
      <c r="BH190" s="328">
        <f>-397-BG190-BF190</f>
        <v>-702</v>
      </c>
      <c r="BI190" s="328">
        <f>BJ190-SUM(BF190:BH190)</f>
        <v>-33</v>
      </c>
      <c r="BJ190" s="592">
        <v>-430</v>
      </c>
      <c r="BK190" s="593">
        <v>329</v>
      </c>
      <c r="BL190" s="593">
        <f>-232-BK190</f>
        <v>-561</v>
      </c>
      <c r="BM190" s="593">
        <f>-230-BL190-BK190</f>
        <v>2</v>
      </c>
      <c r="BN190" s="591">
        <f>BO190-SUM(BK190:BM190)</f>
        <v>-25</v>
      </c>
      <c r="BO190" s="592">
        <v>-255</v>
      </c>
      <c r="BP190" s="593">
        <v>25</v>
      </c>
      <c r="BQ190" s="593">
        <f>-420-BP190</f>
        <v>-445</v>
      </c>
      <c r="BR190" s="593">
        <f>-670-BQ190-BP190</f>
        <v>-250</v>
      </c>
      <c r="BS190" s="591">
        <f>BT190-SUM(BP190:BR190)</f>
        <v>59</v>
      </c>
      <c r="BT190" s="592">
        <v>-611</v>
      </c>
      <c r="BU190" s="593">
        <v>-341</v>
      </c>
      <c r="BV190" s="593">
        <f>-200-BU190</f>
        <v>141</v>
      </c>
      <c r="BW190" s="593">
        <f>-555-BV190-BU190</f>
        <v>-355</v>
      </c>
      <c r="BX190" s="591">
        <f>BY190-SUM(BU190:BW190)</f>
        <v>-379</v>
      </c>
      <c r="BY190" s="592">
        <v>-934</v>
      </c>
      <c r="BZ190" s="593">
        <v>-332</v>
      </c>
      <c r="CA190" s="593">
        <f>-385-BZ190</f>
        <v>-53</v>
      </c>
      <c r="CB190" s="593">
        <f>-774-CA190-BZ190</f>
        <v>-389</v>
      </c>
      <c r="CC190" s="591">
        <f>CD190-SUM(BZ190:CB190)</f>
        <v>-104</v>
      </c>
      <c r="CD190" s="592">
        <v>-878</v>
      </c>
      <c r="CE190" s="591">
        <v>88</v>
      </c>
      <c r="CF190" s="593">
        <v>150</v>
      </c>
      <c r="CG190" s="812">
        <f>231-CF190-CE190</f>
        <v>-7</v>
      </c>
      <c r="CH190" s="591">
        <f>CI190-SUM(CE190:CG190)</f>
        <v>-237</v>
      </c>
      <c r="CI190" s="592">
        <v>-6</v>
      </c>
      <c r="CJ190" s="591">
        <v>203</v>
      </c>
      <c r="CK190" s="593">
        <f>199-CJ190</f>
        <v>-4</v>
      </c>
      <c r="CL190" s="593">
        <f>310-CK190-CJ190</f>
        <v>111</v>
      </c>
      <c r="CM190" s="591">
        <f>CN190-SUM(CJ190:CL190)</f>
        <v>-60</v>
      </c>
      <c r="CN190" s="592">
        <f>242+8</f>
        <v>250</v>
      </c>
      <c r="CO190" s="593">
        <v>67</v>
      </c>
      <c r="CP190" s="594">
        <v>0</v>
      </c>
      <c r="CQ190" s="594">
        <v>0</v>
      </c>
      <c r="CR190" s="594">
        <v>0</v>
      </c>
      <c r="CS190" s="592">
        <f>SUM(CO190:CR190)</f>
        <v>67</v>
      </c>
      <c r="CT190" s="594">
        <v>0</v>
      </c>
      <c r="CU190" s="594">
        <v>0</v>
      </c>
      <c r="CV190" s="594">
        <v>0</v>
      </c>
      <c r="CW190" s="594">
        <v>0</v>
      </c>
      <c r="CX190" s="592">
        <f>SUM(CT190:CW190)</f>
        <v>0</v>
      </c>
      <c r="CY190" s="594">
        <v>0</v>
      </c>
      <c r="CZ190" s="594">
        <v>0</v>
      </c>
      <c r="DA190" s="594">
        <v>0</v>
      </c>
      <c r="DB190" s="594">
        <v>0</v>
      </c>
      <c r="DC190" s="592">
        <f>SUM(CY190:DB190)</f>
        <v>0</v>
      </c>
      <c r="DD190" s="594">
        <v>0</v>
      </c>
      <c r="DE190" s="594">
        <v>0</v>
      </c>
      <c r="DF190" s="594">
        <v>0</v>
      </c>
      <c r="DG190" s="594">
        <v>0</v>
      </c>
      <c r="DH190" s="592">
        <f>SUM(DD190:DG190)</f>
        <v>0</v>
      </c>
      <c r="DI190" s="594">
        <v>0</v>
      </c>
      <c r="DJ190" s="594">
        <v>0</v>
      </c>
      <c r="DK190" s="594">
        <v>0</v>
      </c>
      <c r="DL190" s="594">
        <v>0</v>
      </c>
      <c r="DM190" s="592">
        <f>SUM(DI190:DL190)</f>
        <v>0</v>
      </c>
      <c r="DN190" s="207"/>
    </row>
    <row r="191" spans="1:118" ht="15" x14ac:dyDescent="0.2">
      <c r="A191" s="223" t="s">
        <v>81</v>
      </c>
      <c r="C191" s="328"/>
      <c r="D191" s="328"/>
      <c r="E191" s="328"/>
      <c r="F191" s="328"/>
      <c r="G191" s="326"/>
      <c r="H191" s="328">
        <f t="shared" ref="H191:AM191" si="286">H172+H181+H188+H190</f>
        <v>797</v>
      </c>
      <c r="I191" s="328">
        <f t="shared" si="286"/>
        <v>-17</v>
      </c>
      <c r="J191" s="328">
        <f t="shared" si="286"/>
        <v>-104</v>
      </c>
      <c r="K191" s="328">
        <f t="shared" si="286"/>
        <v>-629</v>
      </c>
      <c r="L191" s="326">
        <f t="shared" si="286"/>
        <v>47</v>
      </c>
      <c r="M191" s="328">
        <f t="shared" si="286"/>
        <v>402</v>
      </c>
      <c r="N191" s="328">
        <f t="shared" si="286"/>
        <v>403</v>
      </c>
      <c r="O191" s="328">
        <f t="shared" si="286"/>
        <v>-24</v>
      </c>
      <c r="P191" s="328">
        <f t="shared" si="286"/>
        <v>-521</v>
      </c>
      <c r="Q191" s="326">
        <f t="shared" si="286"/>
        <v>260</v>
      </c>
      <c r="R191" s="328">
        <f t="shared" si="286"/>
        <v>889</v>
      </c>
      <c r="S191" s="328">
        <f t="shared" si="286"/>
        <v>309</v>
      </c>
      <c r="T191" s="328">
        <f t="shared" si="286"/>
        <v>332</v>
      </c>
      <c r="U191" s="328">
        <f t="shared" si="286"/>
        <v>-428</v>
      </c>
      <c r="V191" s="326">
        <f t="shared" si="286"/>
        <v>1102</v>
      </c>
      <c r="W191" s="328">
        <f t="shared" si="286"/>
        <v>932</v>
      </c>
      <c r="X191" s="328">
        <f t="shared" si="286"/>
        <v>748</v>
      </c>
      <c r="Y191" s="328">
        <f t="shared" si="286"/>
        <v>323</v>
      </c>
      <c r="Z191" s="328">
        <f t="shared" si="286"/>
        <v>1342</v>
      </c>
      <c r="AA191" s="326">
        <f t="shared" si="286"/>
        <v>3345</v>
      </c>
      <c r="AB191" s="328">
        <f t="shared" si="286"/>
        <v>258</v>
      </c>
      <c r="AC191" s="328">
        <f t="shared" si="286"/>
        <v>-2013</v>
      </c>
      <c r="AD191" s="328">
        <f t="shared" si="286"/>
        <v>-1</v>
      </c>
      <c r="AE191" s="328">
        <f t="shared" si="286"/>
        <v>-250</v>
      </c>
      <c r="AF191" s="326">
        <f t="shared" si="286"/>
        <v>-2006</v>
      </c>
      <c r="AG191" s="328">
        <f t="shared" si="286"/>
        <v>-337</v>
      </c>
      <c r="AH191" s="328">
        <f t="shared" si="286"/>
        <v>-360</v>
      </c>
      <c r="AI191" s="328">
        <f t="shared" si="286"/>
        <v>-616</v>
      </c>
      <c r="AJ191" s="328">
        <f t="shared" si="286"/>
        <v>-948</v>
      </c>
      <c r="AK191" s="326">
        <f t="shared" si="286"/>
        <v>-2261</v>
      </c>
      <c r="AL191" s="328">
        <f t="shared" si="286"/>
        <v>1192</v>
      </c>
      <c r="AM191" s="328">
        <f t="shared" si="286"/>
        <v>732</v>
      </c>
      <c r="AN191" s="328">
        <f t="shared" ref="AN191:BJ191" si="287">AN172+AN181+AN188+AN190</f>
        <v>252</v>
      </c>
      <c r="AO191" s="328">
        <f t="shared" si="287"/>
        <v>-523</v>
      </c>
      <c r="AP191" s="326">
        <f t="shared" si="287"/>
        <v>1653</v>
      </c>
      <c r="AQ191" s="328">
        <f t="shared" si="287"/>
        <v>2106</v>
      </c>
      <c r="AR191" s="328">
        <f t="shared" si="287"/>
        <v>372</v>
      </c>
      <c r="AS191" s="328">
        <f t="shared" si="287"/>
        <v>1226</v>
      </c>
      <c r="AT191" s="328">
        <f t="shared" si="287"/>
        <v>-3096</v>
      </c>
      <c r="AU191" s="326">
        <f t="shared" si="287"/>
        <v>608</v>
      </c>
      <c r="AV191" s="328">
        <f t="shared" si="287"/>
        <v>2115</v>
      </c>
      <c r="AW191" s="328">
        <f t="shared" si="287"/>
        <v>831</v>
      </c>
      <c r="AX191" s="328">
        <f t="shared" si="287"/>
        <v>1199</v>
      </c>
      <c r="AY191" s="328">
        <f t="shared" si="287"/>
        <v>-1825</v>
      </c>
      <c r="AZ191" s="326">
        <f t="shared" si="287"/>
        <v>2320</v>
      </c>
      <c r="BA191" s="328">
        <f t="shared" si="287"/>
        <v>-1337</v>
      </c>
      <c r="BB191" s="328">
        <f t="shared" si="287"/>
        <v>2051</v>
      </c>
      <c r="BC191" s="328">
        <f t="shared" si="287"/>
        <v>2774</v>
      </c>
      <c r="BD191" s="336">
        <f t="shared" si="287"/>
        <v>-1992</v>
      </c>
      <c r="BE191" s="326">
        <f t="shared" si="287"/>
        <v>1496</v>
      </c>
      <c r="BF191" s="328">
        <f t="shared" si="287"/>
        <v>558</v>
      </c>
      <c r="BG191" s="328">
        <f t="shared" si="287"/>
        <v>1091</v>
      </c>
      <c r="BH191" s="328">
        <f t="shared" si="287"/>
        <v>2516</v>
      </c>
      <c r="BI191" s="328">
        <f t="shared" si="287"/>
        <v>121</v>
      </c>
      <c r="BJ191" s="592">
        <f t="shared" si="287"/>
        <v>4286</v>
      </c>
      <c r="BK191" s="591">
        <f t="shared" ref="BK191:CX191" si="288">BK172+BK181+BK188+BK190</f>
        <v>-2139</v>
      </c>
      <c r="BL191" s="591">
        <f t="shared" si="288"/>
        <v>-1327</v>
      </c>
      <c r="BM191" s="591">
        <f t="shared" si="288"/>
        <v>278</v>
      </c>
      <c r="BN191" s="591">
        <f t="shared" si="288"/>
        <v>-1173</v>
      </c>
      <c r="BO191" s="592">
        <f t="shared" si="288"/>
        <v>-4361</v>
      </c>
      <c r="BP191" s="591">
        <f t="shared" si="288"/>
        <v>720</v>
      </c>
      <c r="BQ191" s="591">
        <f t="shared" si="288"/>
        <v>244</v>
      </c>
      <c r="BR191" s="591">
        <f t="shared" si="288"/>
        <v>1712</v>
      </c>
      <c r="BS191" s="591">
        <f t="shared" si="288"/>
        <v>-704</v>
      </c>
      <c r="BT191" s="592">
        <f t="shared" si="288"/>
        <v>1972</v>
      </c>
      <c r="BU191" s="591">
        <f t="shared" si="288"/>
        <v>-1283</v>
      </c>
      <c r="BV191" s="591">
        <f t="shared" si="288"/>
        <v>2487</v>
      </c>
      <c r="BW191" s="591">
        <f t="shared" si="288"/>
        <v>-534</v>
      </c>
      <c r="BX191" s="591">
        <f t="shared" si="288"/>
        <v>-2126</v>
      </c>
      <c r="BY191" s="592">
        <f t="shared" si="288"/>
        <v>-1456</v>
      </c>
      <c r="BZ191" s="591">
        <f t="shared" si="288"/>
        <v>-747</v>
      </c>
      <c r="CA191" s="591">
        <f>CA172+CA181+CA188+CA190</f>
        <v>594</v>
      </c>
      <c r="CB191" s="591">
        <f t="shared" si="288"/>
        <v>1178</v>
      </c>
      <c r="CC191" s="591">
        <f>CC172+CC181+CC188+CC190</f>
        <v>-2674</v>
      </c>
      <c r="CD191" s="592">
        <f>CD172+CD181+CD188+CD190</f>
        <v>-1649</v>
      </c>
      <c r="CE191" s="591">
        <f t="shared" si="288"/>
        <v>1439</v>
      </c>
      <c r="CF191" s="591">
        <f t="shared" si="288"/>
        <v>899</v>
      </c>
      <c r="CG191" s="819">
        <f>CG172+CG181+CG188+CG190</f>
        <v>1500</v>
      </c>
      <c r="CH191" s="591">
        <f t="shared" si="288"/>
        <v>-2592</v>
      </c>
      <c r="CI191" s="592">
        <f t="shared" si="288"/>
        <v>1246</v>
      </c>
      <c r="CJ191" s="591">
        <f t="shared" si="288"/>
        <v>3565</v>
      </c>
      <c r="CK191" s="591">
        <f t="shared" si="288"/>
        <v>-402</v>
      </c>
      <c r="CL191" s="591">
        <f t="shared" si="288"/>
        <v>810</v>
      </c>
      <c r="CM191" s="591">
        <f t="shared" si="288"/>
        <v>-6522</v>
      </c>
      <c r="CN191" s="592">
        <f t="shared" si="288"/>
        <v>-2549</v>
      </c>
      <c r="CO191" s="591">
        <f t="shared" si="288"/>
        <v>2285</v>
      </c>
      <c r="CP191" s="591">
        <f t="shared" ca="1" si="288"/>
        <v>4662.6939242183198</v>
      </c>
      <c r="CQ191" s="591">
        <f t="shared" ca="1" si="288"/>
        <v>-1301.7424335965889</v>
      </c>
      <c r="CR191" s="591">
        <f t="shared" ca="1" si="288"/>
        <v>-2905.3366607503003</v>
      </c>
      <c r="CS191" s="592">
        <f t="shared" ca="1" si="288"/>
        <v>2740.6148298714324</v>
      </c>
      <c r="CT191" s="591">
        <f t="shared" ca="1" si="288"/>
        <v>-3955.6148298714452</v>
      </c>
      <c r="CU191" s="591">
        <f t="shared" ca="1" si="288"/>
        <v>3393.1442295938677</v>
      </c>
      <c r="CV191" s="591">
        <f t="shared" ca="1" si="288"/>
        <v>675.90399639925135</v>
      </c>
      <c r="CW191" s="591">
        <f t="shared" ca="1" si="288"/>
        <v>-1097.5402139218584</v>
      </c>
      <c r="CX191" s="592">
        <f t="shared" ca="1" si="288"/>
        <v>-984.10681780018604</v>
      </c>
      <c r="CY191" s="591">
        <f t="shared" ref="CY191:DH191" ca="1" si="289">CY172+CY181+CY188+CY190</f>
        <v>-2971.5080120712482</v>
      </c>
      <c r="CZ191" s="591">
        <f t="shared" ca="1" si="289"/>
        <v>3505.6367235078137</v>
      </c>
      <c r="DA191" s="591">
        <f t="shared" ca="1" si="289"/>
        <v>735.51430309183843</v>
      </c>
      <c r="DB191" s="591">
        <f t="shared" ca="1" si="289"/>
        <v>-1042.6157551029223</v>
      </c>
      <c r="DC191" s="592">
        <f t="shared" ca="1" si="289"/>
        <v>227.02725942547841</v>
      </c>
      <c r="DD191" s="591">
        <f t="shared" ca="1" si="289"/>
        <v>-3198.5352714967048</v>
      </c>
      <c r="DE191" s="591">
        <f t="shared" ca="1" si="289"/>
        <v>3551.9004982232018</v>
      </c>
      <c r="DF191" s="591">
        <f t="shared" ca="1" si="289"/>
        <v>834.8725911349261</v>
      </c>
      <c r="DG191" s="591">
        <f t="shared" ca="1" si="289"/>
        <v>-942.75719620628297</v>
      </c>
      <c r="DH191" s="592">
        <f t="shared" ca="1" si="289"/>
        <v>245.48062165514057</v>
      </c>
      <c r="DI191" s="591">
        <f ca="1">DI172+DI181+DI188+DI190</f>
        <v>-3444.0158931518381</v>
      </c>
      <c r="DJ191" s="591">
        <f ca="1">DJ172+DJ181+DJ188+DJ190</f>
        <v>3624.4483931780737</v>
      </c>
      <c r="DK191" s="591">
        <f ca="1">DK172+DK181+DK188+DK190</f>
        <v>946.68745802298736</v>
      </c>
      <c r="DL191" s="591">
        <f ca="1">DL172+DL181+DL188+DL190</f>
        <v>-828.02973758536473</v>
      </c>
      <c r="DM191" s="592">
        <f ca="1">DM172+DM181+DM188+DM190</f>
        <v>299.09022046385871</v>
      </c>
      <c r="DN191" s="207"/>
    </row>
    <row r="192" spans="1:118" ht="15" x14ac:dyDescent="0.2">
      <c r="A192" s="223" t="s">
        <v>82</v>
      </c>
      <c r="C192" s="328"/>
      <c r="D192" s="328"/>
      <c r="E192" s="328"/>
      <c r="F192" s="328"/>
      <c r="G192" s="326"/>
      <c r="H192" s="328">
        <v>1819</v>
      </c>
      <c r="I192" s="328">
        <f>H193</f>
        <v>2616</v>
      </c>
      <c r="J192" s="328">
        <f>I193</f>
        <v>2599</v>
      </c>
      <c r="K192" s="328">
        <f>J193</f>
        <v>2495</v>
      </c>
      <c r="L192" s="326">
        <f>H192</f>
        <v>1819</v>
      </c>
      <c r="M192" s="328">
        <f>K115</f>
        <v>1866</v>
      </c>
      <c r="N192" s="328">
        <f>M193</f>
        <v>2268</v>
      </c>
      <c r="O192" s="328">
        <f>N193</f>
        <v>2671</v>
      </c>
      <c r="P192" s="328">
        <f>O193</f>
        <v>2647</v>
      </c>
      <c r="Q192" s="326">
        <f>M192</f>
        <v>1866</v>
      </c>
      <c r="R192" s="328">
        <f>Q193</f>
        <v>2126</v>
      </c>
      <c r="S192" s="328">
        <f>R193</f>
        <v>3015</v>
      </c>
      <c r="T192" s="328">
        <f>S193</f>
        <v>3324</v>
      </c>
      <c r="U192" s="328">
        <f>T193+134</f>
        <v>3790</v>
      </c>
      <c r="V192" s="326">
        <f>R192+134</f>
        <v>2260</v>
      </c>
      <c r="W192" s="328">
        <f>V193</f>
        <v>3362</v>
      </c>
      <c r="X192" s="328">
        <f>W193</f>
        <v>4294</v>
      </c>
      <c r="Y192" s="328">
        <f>X193</f>
        <v>5042</v>
      </c>
      <c r="Z192" s="328">
        <f>Y193</f>
        <v>5365</v>
      </c>
      <c r="AA192" s="326">
        <f>W192</f>
        <v>3362</v>
      </c>
      <c r="AB192" s="328">
        <f>AA193</f>
        <v>6707</v>
      </c>
      <c r="AC192" s="328">
        <f>AB193</f>
        <v>6965</v>
      </c>
      <c r="AD192" s="328">
        <f>AC193</f>
        <v>4952</v>
      </c>
      <c r="AE192" s="328">
        <f>AD193</f>
        <v>4951</v>
      </c>
      <c r="AF192" s="326">
        <f>AB192</f>
        <v>6707</v>
      </c>
      <c r="AG192" s="328">
        <f>AF193</f>
        <v>4701</v>
      </c>
      <c r="AH192" s="328">
        <f>AG193</f>
        <v>4364</v>
      </c>
      <c r="AI192" s="328">
        <f>AH193</f>
        <v>4004</v>
      </c>
      <c r="AJ192" s="328">
        <f>AI193</f>
        <v>3388</v>
      </c>
      <c r="AK192" s="326">
        <f>AG192</f>
        <v>4701</v>
      </c>
      <c r="AL192" s="328">
        <f>AK193</f>
        <v>2440</v>
      </c>
      <c r="AM192" s="328">
        <f>AL193</f>
        <v>3632</v>
      </c>
      <c r="AN192" s="328">
        <f>AM193</f>
        <v>4364</v>
      </c>
      <c r="AO192" s="328">
        <f>AN193</f>
        <v>4616</v>
      </c>
      <c r="AP192" s="326">
        <f>AL192</f>
        <v>2440</v>
      </c>
      <c r="AQ192" s="328">
        <f>AP193</f>
        <v>4093</v>
      </c>
      <c r="AR192" s="328">
        <f>AQ193</f>
        <v>6199</v>
      </c>
      <c r="AS192" s="328">
        <f>AR193</f>
        <v>6571</v>
      </c>
      <c r="AT192" s="328">
        <f>AS193</f>
        <v>7797</v>
      </c>
      <c r="AU192" s="326">
        <f>AQ192</f>
        <v>4093</v>
      </c>
      <c r="AV192" s="328">
        <f>AU193</f>
        <v>4701</v>
      </c>
      <c r="AW192" s="328">
        <f>AV193</f>
        <v>6816</v>
      </c>
      <c r="AX192" s="328">
        <f>AW193</f>
        <v>7647</v>
      </c>
      <c r="AY192" s="328">
        <f>AX193</f>
        <v>8846</v>
      </c>
      <c r="AZ192" s="326">
        <f>AV192</f>
        <v>4701</v>
      </c>
      <c r="BA192" s="328">
        <f>AZ193</f>
        <v>7021</v>
      </c>
      <c r="BB192" s="328">
        <f>BA193</f>
        <v>5684</v>
      </c>
      <c r="BC192" s="328">
        <f>BB193</f>
        <v>7735</v>
      </c>
      <c r="BD192" s="336">
        <f>BC193</f>
        <v>10509</v>
      </c>
      <c r="BE192" s="326">
        <f>BA192</f>
        <v>7021</v>
      </c>
      <c r="BF192" s="328">
        <f>BE193</f>
        <v>8517</v>
      </c>
      <c r="BG192" s="328">
        <f>BF193</f>
        <v>9075</v>
      </c>
      <c r="BH192" s="328">
        <f>BG193</f>
        <v>10166</v>
      </c>
      <c r="BI192" s="328">
        <f>BH193</f>
        <v>12682</v>
      </c>
      <c r="BJ192" s="592">
        <f>BF192</f>
        <v>8517</v>
      </c>
      <c r="BK192" s="591">
        <f>BJ193</f>
        <v>12803</v>
      </c>
      <c r="BL192" s="591">
        <f>BK193</f>
        <v>10664</v>
      </c>
      <c r="BM192" s="591">
        <f>BL193</f>
        <v>9337</v>
      </c>
      <c r="BN192" s="591">
        <f>BM193</f>
        <v>9615</v>
      </c>
      <c r="BO192" s="592">
        <f>BK192</f>
        <v>12803</v>
      </c>
      <c r="BP192" s="591">
        <f>BO193</f>
        <v>8442</v>
      </c>
      <c r="BQ192" s="591">
        <f>BP193</f>
        <v>9162</v>
      </c>
      <c r="BR192" s="591">
        <f>BQ193</f>
        <v>9406</v>
      </c>
      <c r="BS192" s="591">
        <f>BR193</f>
        <v>11118</v>
      </c>
      <c r="BT192" s="592">
        <f>BP192</f>
        <v>8442</v>
      </c>
      <c r="BU192" s="591">
        <f>BT193</f>
        <v>10414</v>
      </c>
      <c r="BV192" s="591">
        <f>BU193</f>
        <v>9131</v>
      </c>
      <c r="BW192" s="591">
        <f>BV193</f>
        <v>11618</v>
      </c>
      <c r="BX192" s="591">
        <f>BW193</f>
        <v>11084</v>
      </c>
      <c r="BY192" s="592">
        <f>BU192</f>
        <v>10414</v>
      </c>
      <c r="BZ192" s="591">
        <f>BY193</f>
        <v>8958</v>
      </c>
      <c r="CA192" s="591">
        <f>BZ193</f>
        <v>8211</v>
      </c>
      <c r="CB192" s="591">
        <f>CA193</f>
        <v>8805</v>
      </c>
      <c r="CC192" s="591">
        <f>CB193</f>
        <v>9983</v>
      </c>
      <c r="CD192" s="592">
        <f>BZ192</f>
        <v>8958</v>
      </c>
      <c r="CE192" s="591">
        <f>CD193</f>
        <v>7309</v>
      </c>
      <c r="CF192" s="591">
        <f>CE193</f>
        <v>8748</v>
      </c>
      <c r="CG192" s="819">
        <f>CF193</f>
        <v>9647</v>
      </c>
      <c r="CH192" s="591">
        <f>CG193</f>
        <v>11147</v>
      </c>
      <c r="CI192" s="592">
        <f>CE192</f>
        <v>7309</v>
      </c>
      <c r="CJ192" s="591">
        <f>CI193</f>
        <v>8555</v>
      </c>
      <c r="CK192" s="591">
        <f>CJ193</f>
        <v>12120</v>
      </c>
      <c r="CL192" s="591">
        <f>CK193</f>
        <v>11718</v>
      </c>
      <c r="CM192" s="591">
        <f>CL193</f>
        <v>12528</v>
      </c>
      <c r="CN192" s="592">
        <f>CJ192</f>
        <v>8555</v>
      </c>
      <c r="CO192" s="591">
        <f>CN193</f>
        <v>6006</v>
      </c>
      <c r="CP192" s="591">
        <f>CO193</f>
        <v>8291</v>
      </c>
      <c r="CQ192" s="591">
        <f ca="1">CP193</f>
        <v>12953.69392421832</v>
      </c>
      <c r="CR192" s="591">
        <f ca="1">CQ193</f>
        <v>11651.95149062173</v>
      </c>
      <c r="CS192" s="592">
        <f>CO192</f>
        <v>6006</v>
      </c>
      <c r="CT192" s="591">
        <f ca="1">CS193</f>
        <v>8746.6148298714324</v>
      </c>
      <c r="CU192" s="591">
        <f ca="1">CT193</f>
        <v>4790.9999999999873</v>
      </c>
      <c r="CV192" s="591">
        <f ca="1">CU193</f>
        <v>8184.144229593855</v>
      </c>
      <c r="CW192" s="591">
        <f ca="1">CV193</f>
        <v>8860.0482259931068</v>
      </c>
      <c r="CX192" s="592">
        <f ca="1">CT192</f>
        <v>8746.6148298714324</v>
      </c>
      <c r="CY192" s="591">
        <f ca="1">CX193</f>
        <v>7762.5080120712464</v>
      </c>
      <c r="CZ192" s="591">
        <f ca="1">CY193</f>
        <v>4790.9999999999982</v>
      </c>
      <c r="DA192" s="591">
        <f ca="1">CZ193</f>
        <v>8296.6367235078123</v>
      </c>
      <c r="DB192" s="591">
        <f ca="1">DA193</f>
        <v>9032.1510265996512</v>
      </c>
      <c r="DC192" s="592">
        <f ca="1">CY192</f>
        <v>7762.5080120712464</v>
      </c>
      <c r="DD192" s="591">
        <f ca="1">DC193</f>
        <v>7989.5352714967248</v>
      </c>
      <c r="DE192" s="591">
        <f ca="1">DD193</f>
        <v>4791.00000000002</v>
      </c>
      <c r="DF192" s="591">
        <f ca="1">DE193</f>
        <v>8342.9004982232218</v>
      </c>
      <c r="DG192" s="591">
        <f ca="1">DF193</f>
        <v>9177.7730893581484</v>
      </c>
      <c r="DH192" s="592">
        <f ca="1">DD192</f>
        <v>7989.5352714967248</v>
      </c>
      <c r="DI192" s="591">
        <f ca="1">DH193</f>
        <v>8235.0158931518654</v>
      </c>
      <c r="DJ192" s="591">
        <f ca="1">DI193</f>
        <v>4791.0000000000273</v>
      </c>
      <c r="DK192" s="591">
        <f ca="1">DJ193</f>
        <v>8415.4483931781015</v>
      </c>
      <c r="DL192" s="591">
        <f ca="1">DK193</f>
        <v>9362.1358512010884</v>
      </c>
      <c r="DM192" s="592">
        <f ca="1">DI192</f>
        <v>8235.0158931518654</v>
      </c>
      <c r="DN192" s="207"/>
    </row>
    <row r="193" spans="1:118" ht="15.75" x14ac:dyDescent="0.25">
      <c r="A193" s="286" t="s">
        <v>83</v>
      </c>
      <c r="C193" s="339"/>
      <c r="D193" s="339"/>
      <c r="E193" s="339"/>
      <c r="F193" s="339"/>
      <c r="G193" s="344"/>
      <c r="H193" s="339">
        <f>H191+H192</f>
        <v>2616</v>
      </c>
      <c r="I193" s="339">
        <f>I191+I192</f>
        <v>2599</v>
      </c>
      <c r="J193" s="339">
        <f>J191+J192</f>
        <v>2495</v>
      </c>
      <c r="K193" s="339">
        <f>K191+K192</f>
        <v>1866</v>
      </c>
      <c r="L193" s="344">
        <f>L191+L192</f>
        <v>1866</v>
      </c>
      <c r="M193" s="339">
        <f t="shared" ref="M193:AZ193" si="290">M191+M192</f>
        <v>2268</v>
      </c>
      <c r="N193" s="339">
        <f t="shared" si="290"/>
        <v>2671</v>
      </c>
      <c r="O193" s="339">
        <f t="shared" si="290"/>
        <v>2647</v>
      </c>
      <c r="P193" s="339">
        <f t="shared" si="290"/>
        <v>2126</v>
      </c>
      <c r="Q193" s="344">
        <f t="shared" si="290"/>
        <v>2126</v>
      </c>
      <c r="R193" s="339">
        <f t="shared" si="290"/>
        <v>3015</v>
      </c>
      <c r="S193" s="339">
        <f t="shared" si="290"/>
        <v>3324</v>
      </c>
      <c r="T193" s="339">
        <f t="shared" si="290"/>
        <v>3656</v>
      </c>
      <c r="U193" s="339">
        <f t="shared" si="290"/>
        <v>3362</v>
      </c>
      <c r="V193" s="344">
        <f t="shared" si="290"/>
        <v>3362</v>
      </c>
      <c r="W193" s="339">
        <f t="shared" si="290"/>
        <v>4294</v>
      </c>
      <c r="X193" s="339">
        <f t="shared" si="290"/>
        <v>5042</v>
      </c>
      <c r="Y193" s="339">
        <f t="shared" si="290"/>
        <v>5365</v>
      </c>
      <c r="Z193" s="339">
        <f t="shared" si="290"/>
        <v>6707</v>
      </c>
      <c r="AA193" s="344">
        <f t="shared" si="290"/>
        <v>6707</v>
      </c>
      <c r="AB193" s="339">
        <f t="shared" si="290"/>
        <v>6965</v>
      </c>
      <c r="AC193" s="339">
        <f t="shared" si="290"/>
        <v>4952</v>
      </c>
      <c r="AD193" s="339">
        <f t="shared" si="290"/>
        <v>4951</v>
      </c>
      <c r="AE193" s="339">
        <f t="shared" si="290"/>
        <v>4701</v>
      </c>
      <c r="AF193" s="344">
        <f t="shared" si="290"/>
        <v>4701</v>
      </c>
      <c r="AG193" s="339">
        <f t="shared" si="290"/>
        <v>4364</v>
      </c>
      <c r="AH193" s="339">
        <f t="shared" si="290"/>
        <v>4004</v>
      </c>
      <c r="AI193" s="339">
        <f t="shared" si="290"/>
        <v>3388</v>
      </c>
      <c r="AJ193" s="339">
        <f t="shared" si="290"/>
        <v>2440</v>
      </c>
      <c r="AK193" s="344">
        <f t="shared" si="290"/>
        <v>2440</v>
      </c>
      <c r="AL193" s="339">
        <f t="shared" si="290"/>
        <v>3632</v>
      </c>
      <c r="AM193" s="339">
        <f t="shared" si="290"/>
        <v>4364</v>
      </c>
      <c r="AN193" s="339">
        <f t="shared" si="290"/>
        <v>4616</v>
      </c>
      <c r="AO193" s="339">
        <f t="shared" si="290"/>
        <v>4093</v>
      </c>
      <c r="AP193" s="344">
        <f t="shared" si="290"/>
        <v>4093</v>
      </c>
      <c r="AQ193" s="339">
        <f t="shared" si="290"/>
        <v>6199</v>
      </c>
      <c r="AR193" s="339">
        <f t="shared" si="290"/>
        <v>6571</v>
      </c>
      <c r="AS193" s="339">
        <f t="shared" si="290"/>
        <v>7797</v>
      </c>
      <c r="AT193" s="339">
        <f t="shared" si="290"/>
        <v>4701</v>
      </c>
      <c r="AU193" s="344">
        <f t="shared" si="290"/>
        <v>4701</v>
      </c>
      <c r="AV193" s="339">
        <f t="shared" si="290"/>
        <v>6816</v>
      </c>
      <c r="AW193" s="339">
        <f t="shared" si="290"/>
        <v>7647</v>
      </c>
      <c r="AX193" s="339">
        <f t="shared" si="290"/>
        <v>8846</v>
      </c>
      <c r="AY193" s="339">
        <f t="shared" si="290"/>
        <v>7021</v>
      </c>
      <c r="AZ193" s="344">
        <f t="shared" si="290"/>
        <v>7021</v>
      </c>
      <c r="BA193" s="339">
        <f t="shared" ref="BA193:CF193" si="291">BA191+BA192</f>
        <v>5684</v>
      </c>
      <c r="BB193" s="339">
        <f t="shared" si="291"/>
        <v>7735</v>
      </c>
      <c r="BC193" s="339">
        <f t="shared" si="291"/>
        <v>10509</v>
      </c>
      <c r="BD193" s="342">
        <f t="shared" si="291"/>
        <v>8517</v>
      </c>
      <c r="BE193" s="344">
        <f t="shared" si="291"/>
        <v>8517</v>
      </c>
      <c r="BF193" s="339">
        <f t="shared" si="291"/>
        <v>9075</v>
      </c>
      <c r="BG193" s="339">
        <f t="shared" si="291"/>
        <v>10166</v>
      </c>
      <c r="BH193" s="339">
        <f t="shared" si="291"/>
        <v>12682</v>
      </c>
      <c r="BI193" s="339">
        <f t="shared" si="291"/>
        <v>12803</v>
      </c>
      <c r="BJ193" s="605">
        <f t="shared" si="291"/>
        <v>12803</v>
      </c>
      <c r="BK193" s="601">
        <f t="shared" si="291"/>
        <v>10664</v>
      </c>
      <c r="BL193" s="601">
        <f t="shared" si="291"/>
        <v>9337</v>
      </c>
      <c r="BM193" s="601">
        <f t="shared" si="291"/>
        <v>9615</v>
      </c>
      <c r="BN193" s="601">
        <f t="shared" si="291"/>
        <v>8442</v>
      </c>
      <c r="BO193" s="605">
        <f t="shared" si="291"/>
        <v>8442</v>
      </c>
      <c r="BP193" s="601">
        <f t="shared" si="291"/>
        <v>9162</v>
      </c>
      <c r="BQ193" s="601">
        <f t="shared" si="291"/>
        <v>9406</v>
      </c>
      <c r="BR193" s="601">
        <f t="shared" si="291"/>
        <v>11118</v>
      </c>
      <c r="BS193" s="601">
        <f t="shared" si="291"/>
        <v>10414</v>
      </c>
      <c r="BT193" s="605">
        <f t="shared" si="291"/>
        <v>10414</v>
      </c>
      <c r="BU193" s="601">
        <f t="shared" si="291"/>
        <v>9131</v>
      </c>
      <c r="BV193" s="601">
        <f t="shared" si="291"/>
        <v>11618</v>
      </c>
      <c r="BW193" s="601">
        <f t="shared" si="291"/>
        <v>11084</v>
      </c>
      <c r="BX193" s="601">
        <f t="shared" si="291"/>
        <v>8958</v>
      </c>
      <c r="BY193" s="605">
        <f t="shared" si="291"/>
        <v>8958</v>
      </c>
      <c r="BZ193" s="601">
        <f t="shared" si="291"/>
        <v>8211</v>
      </c>
      <c r="CA193" s="601">
        <f>CA191+CA192</f>
        <v>8805</v>
      </c>
      <c r="CB193" s="601">
        <f t="shared" si="291"/>
        <v>9983</v>
      </c>
      <c r="CC193" s="601">
        <f>CC191+CC192</f>
        <v>7309</v>
      </c>
      <c r="CD193" s="605">
        <f>CD191+CD192</f>
        <v>7309</v>
      </c>
      <c r="CE193" s="601">
        <f t="shared" si="291"/>
        <v>8748</v>
      </c>
      <c r="CF193" s="601">
        <f t="shared" si="291"/>
        <v>9647</v>
      </c>
      <c r="CG193" s="817">
        <f>CG191+CG192</f>
        <v>11147</v>
      </c>
      <c r="CH193" s="601">
        <f t="shared" ref="CH193:CX193" si="292">CH191+CH192</f>
        <v>8555</v>
      </c>
      <c r="CI193" s="605">
        <f t="shared" si="292"/>
        <v>8555</v>
      </c>
      <c r="CJ193" s="601">
        <f t="shared" si="292"/>
        <v>12120</v>
      </c>
      <c r="CK193" s="601">
        <f t="shared" si="292"/>
        <v>11718</v>
      </c>
      <c r="CL193" s="601">
        <f t="shared" si="292"/>
        <v>12528</v>
      </c>
      <c r="CM193" s="601">
        <f t="shared" si="292"/>
        <v>6006</v>
      </c>
      <c r="CN193" s="605">
        <f t="shared" si="292"/>
        <v>6006</v>
      </c>
      <c r="CO193" s="601">
        <f t="shared" si="292"/>
        <v>8291</v>
      </c>
      <c r="CP193" s="601">
        <f t="shared" ca="1" si="292"/>
        <v>12953.69392421832</v>
      </c>
      <c r="CQ193" s="601">
        <f t="shared" ca="1" si="292"/>
        <v>11651.95149062173</v>
      </c>
      <c r="CR193" s="601">
        <f t="shared" ca="1" si="292"/>
        <v>8746.6148298714288</v>
      </c>
      <c r="CS193" s="605">
        <f t="shared" ca="1" si="292"/>
        <v>8746.6148298714324</v>
      </c>
      <c r="CT193" s="601">
        <f t="shared" ca="1" si="292"/>
        <v>4790.9999999999873</v>
      </c>
      <c r="CU193" s="601">
        <f t="shared" ca="1" si="292"/>
        <v>8184.144229593855</v>
      </c>
      <c r="CV193" s="601">
        <f t="shared" ca="1" si="292"/>
        <v>8860.0482259931068</v>
      </c>
      <c r="CW193" s="601">
        <f t="shared" ca="1" si="292"/>
        <v>7762.5080120712482</v>
      </c>
      <c r="CX193" s="605">
        <f t="shared" ca="1" si="292"/>
        <v>7762.5080120712464</v>
      </c>
      <c r="CY193" s="601">
        <f t="shared" ref="CY193:DH193" ca="1" si="293">CY191+CY192</f>
        <v>4790.9999999999982</v>
      </c>
      <c r="CZ193" s="601">
        <f t="shared" ca="1" si="293"/>
        <v>8296.6367235078123</v>
      </c>
      <c r="DA193" s="601">
        <f t="shared" ca="1" si="293"/>
        <v>9032.1510265996512</v>
      </c>
      <c r="DB193" s="601">
        <f t="shared" ca="1" si="293"/>
        <v>7989.5352714967285</v>
      </c>
      <c r="DC193" s="605">
        <f t="shared" ca="1" si="293"/>
        <v>7989.5352714967248</v>
      </c>
      <c r="DD193" s="601">
        <f t="shared" ca="1" si="293"/>
        <v>4791.00000000002</v>
      </c>
      <c r="DE193" s="601">
        <f t="shared" ca="1" si="293"/>
        <v>8342.9004982232218</v>
      </c>
      <c r="DF193" s="601">
        <f t="shared" ca="1" si="293"/>
        <v>9177.7730893581484</v>
      </c>
      <c r="DG193" s="601">
        <f t="shared" ca="1" si="293"/>
        <v>8235.0158931518654</v>
      </c>
      <c r="DH193" s="605">
        <f t="shared" ca="1" si="293"/>
        <v>8235.0158931518654</v>
      </c>
      <c r="DI193" s="601">
        <f ca="1">DI191+DI192</f>
        <v>4791.0000000000273</v>
      </c>
      <c r="DJ193" s="601">
        <f ca="1">DJ191+DJ192</f>
        <v>8415.4483931781015</v>
      </c>
      <c r="DK193" s="601">
        <f ca="1">DK191+DK192</f>
        <v>9362.1358512010884</v>
      </c>
      <c r="DL193" s="601">
        <f ca="1">DL191+DL192</f>
        <v>8534.1061136157241</v>
      </c>
      <c r="DM193" s="605">
        <f ca="1">DM191+DM192</f>
        <v>8534.1061136157241</v>
      </c>
      <c r="DN193" s="207"/>
    </row>
    <row r="194" spans="1:118" ht="15.75" x14ac:dyDescent="0.25">
      <c r="A194" s="207"/>
      <c r="B194" s="207"/>
      <c r="C194" s="352"/>
      <c r="D194" s="352"/>
      <c r="E194" s="352"/>
      <c r="F194" s="352"/>
      <c r="G194" s="352"/>
      <c r="H194" s="352" t="str">
        <f t="shared" ref="H194:AM194" si="294">IF(ROUND(H193-H114-H115,0)=0,"OK","Not OK")</f>
        <v>OK</v>
      </c>
      <c r="I194" s="352" t="str">
        <f t="shared" si="294"/>
        <v>OK</v>
      </c>
      <c r="J194" s="352" t="str">
        <f t="shared" si="294"/>
        <v>OK</v>
      </c>
      <c r="K194" s="352" t="str">
        <f t="shared" si="294"/>
        <v>OK</v>
      </c>
      <c r="L194" s="352" t="str">
        <f t="shared" si="294"/>
        <v>OK</v>
      </c>
      <c r="M194" s="352" t="str">
        <f t="shared" si="294"/>
        <v>OK</v>
      </c>
      <c r="N194" s="352" t="str">
        <f t="shared" si="294"/>
        <v>OK</v>
      </c>
      <c r="O194" s="352" t="str">
        <f t="shared" si="294"/>
        <v>OK</v>
      </c>
      <c r="P194" s="352" t="str">
        <f t="shared" si="294"/>
        <v>OK</v>
      </c>
      <c r="Q194" s="352" t="str">
        <f t="shared" si="294"/>
        <v>OK</v>
      </c>
      <c r="R194" s="352" t="str">
        <f t="shared" si="294"/>
        <v>OK</v>
      </c>
      <c r="S194" s="352" t="str">
        <f t="shared" si="294"/>
        <v>OK</v>
      </c>
      <c r="T194" s="352" t="str">
        <f t="shared" si="294"/>
        <v>OK</v>
      </c>
      <c r="U194" s="352" t="str">
        <f t="shared" si="294"/>
        <v>OK</v>
      </c>
      <c r="V194" s="352" t="str">
        <f t="shared" si="294"/>
        <v>OK</v>
      </c>
      <c r="W194" s="352" t="str">
        <f t="shared" si="294"/>
        <v>OK</v>
      </c>
      <c r="X194" s="352" t="str">
        <f t="shared" si="294"/>
        <v>OK</v>
      </c>
      <c r="Y194" s="352" t="str">
        <f t="shared" si="294"/>
        <v>OK</v>
      </c>
      <c r="Z194" s="352" t="str">
        <f t="shared" si="294"/>
        <v>OK</v>
      </c>
      <c r="AA194" s="352" t="str">
        <f t="shared" si="294"/>
        <v>OK</v>
      </c>
      <c r="AB194" s="352" t="str">
        <f t="shared" si="294"/>
        <v>OK</v>
      </c>
      <c r="AC194" s="352" t="str">
        <f t="shared" si="294"/>
        <v>OK</v>
      </c>
      <c r="AD194" s="352" t="str">
        <f t="shared" si="294"/>
        <v>OK</v>
      </c>
      <c r="AE194" s="352" t="str">
        <f t="shared" si="294"/>
        <v>OK</v>
      </c>
      <c r="AF194" s="352" t="str">
        <f t="shared" si="294"/>
        <v>OK</v>
      </c>
      <c r="AG194" s="352" t="str">
        <f t="shared" si="294"/>
        <v>OK</v>
      </c>
      <c r="AH194" s="352" t="str">
        <f t="shared" si="294"/>
        <v>OK</v>
      </c>
      <c r="AI194" s="352" t="str">
        <f t="shared" si="294"/>
        <v>OK</v>
      </c>
      <c r="AJ194" s="352" t="str">
        <f t="shared" si="294"/>
        <v>OK</v>
      </c>
      <c r="AK194" s="352" t="str">
        <f t="shared" si="294"/>
        <v>OK</v>
      </c>
      <c r="AL194" s="352" t="str">
        <f t="shared" si="294"/>
        <v>OK</v>
      </c>
      <c r="AM194" s="352" t="str">
        <f t="shared" si="294"/>
        <v>OK</v>
      </c>
      <c r="AN194" s="352" t="str">
        <f t="shared" ref="AN194:BJ194" si="295">IF(ROUND(AN193-AN114-AN115,0)=0,"OK","Not OK")</f>
        <v>OK</v>
      </c>
      <c r="AO194" s="352" t="str">
        <f t="shared" si="295"/>
        <v>OK</v>
      </c>
      <c r="AP194" s="352" t="str">
        <f t="shared" si="295"/>
        <v>OK</v>
      </c>
      <c r="AQ194" s="352" t="str">
        <f t="shared" si="295"/>
        <v>OK</v>
      </c>
      <c r="AR194" s="352" t="str">
        <f t="shared" si="295"/>
        <v>OK</v>
      </c>
      <c r="AS194" s="352" t="str">
        <f t="shared" si="295"/>
        <v>OK</v>
      </c>
      <c r="AT194" s="352" t="str">
        <f t="shared" si="295"/>
        <v>OK</v>
      </c>
      <c r="AU194" s="352" t="str">
        <f t="shared" si="295"/>
        <v>OK</v>
      </c>
      <c r="AV194" s="352" t="str">
        <f t="shared" si="295"/>
        <v>OK</v>
      </c>
      <c r="AW194" s="352" t="str">
        <f t="shared" si="295"/>
        <v>OK</v>
      </c>
      <c r="AX194" s="352" t="str">
        <f t="shared" si="295"/>
        <v>OK</v>
      </c>
      <c r="AY194" s="352" t="str">
        <f t="shared" si="295"/>
        <v>OK</v>
      </c>
      <c r="AZ194" s="352" t="str">
        <f t="shared" si="295"/>
        <v>OK</v>
      </c>
      <c r="BA194" s="352" t="str">
        <f t="shared" si="295"/>
        <v>OK</v>
      </c>
      <c r="BB194" s="352" t="str">
        <f t="shared" si="295"/>
        <v>OK</v>
      </c>
      <c r="BC194" s="352" t="str">
        <f t="shared" si="295"/>
        <v>OK</v>
      </c>
      <c r="BD194" s="352" t="str">
        <f t="shared" si="295"/>
        <v>OK</v>
      </c>
      <c r="BE194" s="352" t="str">
        <f t="shared" si="295"/>
        <v>OK</v>
      </c>
      <c r="BF194" s="352" t="str">
        <f t="shared" si="295"/>
        <v>OK</v>
      </c>
      <c r="BG194" s="352" t="str">
        <f t="shared" si="295"/>
        <v>OK</v>
      </c>
      <c r="BH194" s="352" t="str">
        <f t="shared" si="295"/>
        <v>OK</v>
      </c>
      <c r="BI194" s="352" t="str">
        <f t="shared" si="295"/>
        <v>OK</v>
      </c>
      <c r="BJ194" s="606" t="str">
        <f t="shared" si="295"/>
        <v>OK</v>
      </c>
      <c r="BK194" s="606" t="str">
        <f t="shared" ref="BK194:CX194" si="296">IF(ROUND(BK193-BK114-BK115,0)=0,"OK","Not OK")</f>
        <v>OK</v>
      </c>
      <c r="BL194" s="606" t="str">
        <f t="shared" si="296"/>
        <v>OK</v>
      </c>
      <c r="BM194" s="606" t="str">
        <f t="shared" si="296"/>
        <v>OK</v>
      </c>
      <c r="BN194" s="606" t="str">
        <f t="shared" si="296"/>
        <v>OK</v>
      </c>
      <c r="BO194" s="606" t="str">
        <f t="shared" si="296"/>
        <v>OK</v>
      </c>
      <c r="BP194" s="606" t="str">
        <f t="shared" si="296"/>
        <v>OK</v>
      </c>
      <c r="BQ194" s="606" t="str">
        <f t="shared" si="296"/>
        <v>OK</v>
      </c>
      <c r="BR194" s="606" t="str">
        <f t="shared" si="296"/>
        <v>OK</v>
      </c>
      <c r="BS194" s="606" t="str">
        <f t="shared" si="296"/>
        <v>OK</v>
      </c>
      <c r="BT194" s="606" t="str">
        <f t="shared" si="296"/>
        <v>OK</v>
      </c>
      <c r="BU194" s="606" t="str">
        <f t="shared" si="296"/>
        <v>OK</v>
      </c>
      <c r="BV194" s="606" t="str">
        <f>IF(ROUND(BV193-BV114-BV115,0)=0,"OK","Not OK")</f>
        <v>OK</v>
      </c>
      <c r="BW194" s="606" t="str">
        <f t="shared" si="296"/>
        <v>OK</v>
      </c>
      <c r="BX194" s="606" t="str">
        <f t="shared" si="296"/>
        <v>OK</v>
      </c>
      <c r="BY194" s="606" t="str">
        <f t="shared" si="296"/>
        <v>OK</v>
      </c>
      <c r="BZ194" s="606" t="str">
        <f t="shared" si="296"/>
        <v>OK</v>
      </c>
      <c r="CA194" s="606" t="str">
        <f t="shared" si="296"/>
        <v>OK</v>
      </c>
      <c r="CB194" s="606" t="str">
        <f t="shared" si="296"/>
        <v>OK</v>
      </c>
      <c r="CC194" s="606" t="str">
        <f t="shared" si="296"/>
        <v>OK</v>
      </c>
      <c r="CD194" s="606" t="str">
        <f t="shared" si="296"/>
        <v>OK</v>
      </c>
      <c r="CE194" s="606" t="str">
        <f t="shared" si="296"/>
        <v>OK</v>
      </c>
      <c r="CF194" s="606" t="str">
        <f t="shared" si="296"/>
        <v>OK</v>
      </c>
      <c r="CG194" s="606" t="str">
        <f t="shared" si="296"/>
        <v>OK</v>
      </c>
      <c r="CH194" s="606" t="str">
        <f t="shared" si="296"/>
        <v>OK</v>
      </c>
      <c r="CI194" s="606" t="str">
        <f t="shared" si="296"/>
        <v>OK</v>
      </c>
      <c r="CJ194" s="606" t="str">
        <f t="shared" si="296"/>
        <v>OK</v>
      </c>
      <c r="CK194" s="606" t="str">
        <f t="shared" si="296"/>
        <v>OK</v>
      </c>
      <c r="CL194" s="606" t="str">
        <f t="shared" si="296"/>
        <v>OK</v>
      </c>
      <c r="CM194" s="606" t="str">
        <f t="shared" si="296"/>
        <v>OK</v>
      </c>
      <c r="CN194" s="606" t="str">
        <f t="shared" si="296"/>
        <v>OK</v>
      </c>
      <c r="CO194" s="606" t="str">
        <f t="shared" si="296"/>
        <v>OK</v>
      </c>
      <c r="CP194" s="606" t="str">
        <f t="shared" ca="1" si="296"/>
        <v>OK</v>
      </c>
      <c r="CQ194" s="606" t="str">
        <f t="shared" ca="1" si="296"/>
        <v>OK</v>
      </c>
      <c r="CR194" s="606" t="str">
        <f t="shared" ca="1" si="296"/>
        <v>OK</v>
      </c>
      <c r="CS194" s="606" t="str">
        <f t="shared" ca="1" si="296"/>
        <v>OK</v>
      </c>
      <c r="CT194" s="606" t="str">
        <f t="shared" ca="1" si="296"/>
        <v>OK</v>
      </c>
      <c r="CU194" s="606" t="str">
        <f t="shared" ca="1" si="296"/>
        <v>OK</v>
      </c>
      <c r="CV194" s="606" t="str">
        <f t="shared" ca="1" si="296"/>
        <v>OK</v>
      </c>
      <c r="CW194" s="606" t="str">
        <f t="shared" ca="1" si="296"/>
        <v>OK</v>
      </c>
      <c r="CX194" s="606" t="str">
        <f t="shared" ca="1" si="296"/>
        <v>OK</v>
      </c>
      <c r="CY194" s="606" t="str">
        <f t="shared" ref="CY194:DH194" ca="1" si="297">IF(ROUND(CY193-CY114-CY115,0)=0,"OK","Not OK")</f>
        <v>OK</v>
      </c>
      <c r="CZ194" s="606" t="str">
        <f t="shared" ca="1" si="297"/>
        <v>OK</v>
      </c>
      <c r="DA194" s="606" t="str">
        <f t="shared" ca="1" si="297"/>
        <v>OK</v>
      </c>
      <c r="DB194" s="606" t="str">
        <f t="shared" ca="1" si="297"/>
        <v>OK</v>
      </c>
      <c r="DC194" s="606" t="str">
        <f t="shared" ca="1" si="297"/>
        <v>OK</v>
      </c>
      <c r="DD194" s="606" t="str">
        <f t="shared" ca="1" si="297"/>
        <v>OK</v>
      </c>
      <c r="DE194" s="606" t="str">
        <f t="shared" ca="1" si="297"/>
        <v>OK</v>
      </c>
      <c r="DF194" s="606" t="str">
        <f t="shared" ca="1" si="297"/>
        <v>OK</v>
      </c>
      <c r="DG194" s="606" t="str">
        <f t="shared" ca="1" si="297"/>
        <v>OK</v>
      </c>
      <c r="DH194" s="606" t="str">
        <f t="shared" ca="1" si="297"/>
        <v>OK</v>
      </c>
      <c r="DI194" s="606" t="str">
        <f ca="1">IF(ROUND(DI193-DI114-DI115,0)=0,"OK","Not OK")</f>
        <v>OK</v>
      </c>
      <c r="DJ194" s="606" t="str">
        <f ca="1">IF(ROUND(DJ193-DJ114-DJ115,0)=0,"OK","Not OK")</f>
        <v>OK</v>
      </c>
      <c r="DK194" s="606" t="str">
        <f ca="1">IF(ROUND(DK193-DK114-DK115,0)=0,"OK","Not OK")</f>
        <v>OK</v>
      </c>
      <c r="DL194" s="606" t="str">
        <f ca="1">IF(ROUND(DL193-DL114-DL115,0)=0,"OK","Not OK")</f>
        <v>OK</v>
      </c>
      <c r="DM194" s="606" t="str">
        <f ca="1">IF(ROUND(DM193-DM114-DM115,0)=0,"OK","Not OK")</f>
        <v>OK</v>
      </c>
      <c r="DN194" s="207"/>
    </row>
    <row r="195" spans="1:118" ht="15.75" x14ac:dyDescent="0.25">
      <c r="A195" s="353" t="s">
        <v>84</v>
      </c>
      <c r="B195" s="207"/>
      <c r="C195" s="207"/>
      <c r="D195" s="207"/>
      <c r="E195" s="207"/>
      <c r="F195" s="207"/>
      <c r="G195" s="207"/>
      <c r="H195" s="207"/>
      <c r="I195" s="207"/>
      <c r="J195" s="207"/>
      <c r="K195" s="207"/>
      <c r="L195" s="207"/>
      <c r="M195" s="207"/>
      <c r="N195" s="207"/>
      <c r="O195" s="207"/>
      <c r="P195" s="207"/>
      <c r="Q195" s="207"/>
      <c r="R195" s="207"/>
      <c r="S195" s="207"/>
      <c r="T195" s="207"/>
      <c r="U195" s="207"/>
      <c r="V195" s="207"/>
      <c r="W195" s="207"/>
      <c r="X195" s="207"/>
      <c r="Y195" s="207"/>
      <c r="Z195" s="207"/>
      <c r="AA195" s="207"/>
      <c r="AB195" s="207"/>
      <c r="AC195" s="207"/>
      <c r="AD195" s="207"/>
      <c r="AE195" s="207"/>
      <c r="AF195" s="207"/>
      <c r="AG195" s="207"/>
      <c r="AH195" s="207"/>
      <c r="AI195" s="207"/>
      <c r="AJ195" s="207"/>
      <c r="AK195" s="207"/>
      <c r="AL195" s="207"/>
      <c r="AM195" s="207"/>
      <c r="AN195" s="207"/>
      <c r="AO195" s="207"/>
      <c r="AP195" s="207"/>
      <c r="AQ195" s="207"/>
      <c r="AR195" s="207"/>
      <c r="AS195" s="207"/>
      <c r="AT195" s="207"/>
      <c r="AU195" s="207"/>
      <c r="AV195" s="207"/>
      <c r="AW195" s="207"/>
      <c r="AX195" s="207"/>
      <c r="AY195" s="207"/>
      <c r="AZ195" s="207"/>
      <c r="BA195" s="207"/>
      <c r="BB195" s="236"/>
      <c r="BC195" s="354"/>
      <c r="BD195" s="354"/>
      <c r="BE195" s="354"/>
      <c r="BF195" s="207"/>
      <c r="BG195" s="207"/>
      <c r="BH195" s="207"/>
      <c r="BI195" s="336"/>
      <c r="BJ195" s="422"/>
      <c r="BK195" s="422"/>
      <c r="BL195" s="422"/>
      <c r="BM195" s="422"/>
      <c r="BN195" s="422"/>
      <c r="BO195" s="422"/>
      <c r="BP195" s="593"/>
      <c r="BQ195" s="422"/>
      <c r="BR195" s="422"/>
      <c r="BS195" s="422"/>
      <c r="BT195" s="422"/>
      <c r="BU195" s="422"/>
      <c r="BV195" s="422"/>
      <c r="BW195" s="422"/>
      <c r="BX195" s="422"/>
      <c r="BY195" s="422"/>
      <c r="BZ195" s="422"/>
      <c r="CA195" s="422"/>
      <c r="CB195" s="422"/>
      <c r="CC195" s="422"/>
      <c r="CD195" s="422"/>
      <c r="CE195" s="422"/>
      <c r="CF195" s="422"/>
      <c r="CG195" s="422"/>
      <c r="CH195" s="422"/>
      <c r="CI195" s="422"/>
      <c r="CJ195" s="422"/>
      <c r="CK195" s="422"/>
      <c r="CL195" s="422"/>
      <c r="CM195" s="422"/>
      <c r="CN195" s="422"/>
      <c r="CO195" s="422"/>
      <c r="CP195" s="422"/>
      <c r="CQ195" s="422"/>
      <c r="CR195" s="422"/>
      <c r="CS195" s="422"/>
      <c r="CT195" s="422"/>
      <c r="CU195" s="422"/>
      <c r="CV195" s="422"/>
      <c r="CW195" s="422"/>
      <c r="CX195" s="422"/>
      <c r="CY195" s="422"/>
      <c r="CZ195" s="422"/>
      <c r="DA195" s="422"/>
      <c r="DB195" s="422"/>
      <c r="DC195" s="422"/>
      <c r="DD195" s="422"/>
      <c r="DE195" s="422"/>
      <c r="DF195" s="422"/>
      <c r="DG195" s="422"/>
      <c r="DH195" s="422"/>
      <c r="DI195" s="422"/>
      <c r="DJ195" s="422"/>
      <c r="DK195" s="422"/>
      <c r="DL195" s="422"/>
      <c r="DM195" s="422"/>
      <c r="DN195" s="207"/>
    </row>
    <row r="196" spans="1:118" ht="15" x14ac:dyDescent="0.2">
      <c r="A196" s="18" t="s">
        <v>85</v>
      </c>
      <c r="C196" s="217"/>
      <c r="D196" s="217"/>
      <c r="E196" s="217"/>
      <c r="F196" s="217"/>
      <c r="G196" s="297"/>
      <c r="H196" s="217">
        <f t="shared" ref="H196:AU196" si="298">H172</f>
        <v>717</v>
      </c>
      <c r="I196" s="217">
        <f t="shared" si="298"/>
        <v>1378</v>
      </c>
      <c r="J196" s="217">
        <f t="shared" si="298"/>
        <v>958</v>
      </c>
      <c r="K196" s="217">
        <f t="shared" si="298"/>
        <v>1057</v>
      </c>
      <c r="L196" s="297">
        <f t="shared" si="298"/>
        <v>4110</v>
      </c>
      <c r="M196" s="217">
        <f t="shared" si="298"/>
        <v>961</v>
      </c>
      <c r="N196" s="217">
        <f t="shared" si="298"/>
        <v>1195</v>
      </c>
      <c r="O196" s="217">
        <f t="shared" si="298"/>
        <v>1249</v>
      </c>
      <c r="P196" s="217">
        <f t="shared" si="298"/>
        <v>1337</v>
      </c>
      <c r="Q196" s="297">
        <f t="shared" si="298"/>
        <v>4742</v>
      </c>
      <c r="R196" s="217">
        <f t="shared" si="298"/>
        <v>599</v>
      </c>
      <c r="S196" s="217">
        <f t="shared" si="298"/>
        <v>1531</v>
      </c>
      <c r="T196" s="217">
        <f t="shared" si="298"/>
        <v>1991</v>
      </c>
      <c r="U196" s="217">
        <f t="shared" si="298"/>
        <v>1335</v>
      </c>
      <c r="V196" s="297">
        <f>V172</f>
        <v>5456</v>
      </c>
      <c r="W196" s="217">
        <f t="shared" si="298"/>
        <v>1160</v>
      </c>
      <c r="X196" s="217">
        <f t="shared" si="298"/>
        <v>1796</v>
      </c>
      <c r="Y196" s="217">
        <f t="shared" si="298"/>
        <v>1634</v>
      </c>
      <c r="Z196" s="217">
        <f t="shared" si="298"/>
        <v>1378</v>
      </c>
      <c r="AA196" s="297">
        <f t="shared" si="298"/>
        <v>5968</v>
      </c>
      <c r="AB196" s="217">
        <f t="shared" si="298"/>
        <v>1372</v>
      </c>
      <c r="AC196" s="217">
        <f t="shared" si="298"/>
        <v>2162</v>
      </c>
      <c r="AD196" s="217">
        <f t="shared" si="298"/>
        <v>1746</v>
      </c>
      <c r="AE196" s="217">
        <f t="shared" si="298"/>
        <v>1143</v>
      </c>
      <c r="AF196" s="297">
        <f t="shared" si="298"/>
        <v>6423</v>
      </c>
      <c r="AG196" s="217">
        <f t="shared" si="298"/>
        <v>707</v>
      </c>
      <c r="AH196" s="217">
        <f t="shared" si="298"/>
        <v>2055</v>
      </c>
      <c r="AI196" s="217">
        <f t="shared" si="298"/>
        <v>1872</v>
      </c>
      <c r="AJ196" s="217">
        <f t="shared" si="298"/>
        <v>1323</v>
      </c>
      <c r="AK196" s="297">
        <f t="shared" si="298"/>
        <v>5957</v>
      </c>
      <c r="AL196" s="217">
        <f t="shared" si="298"/>
        <v>949</v>
      </c>
      <c r="AM196" s="217">
        <f t="shared" si="298"/>
        <v>2346</v>
      </c>
      <c r="AN196" s="217">
        <f t="shared" si="298"/>
        <v>2162</v>
      </c>
      <c r="AO196" s="217">
        <f t="shared" si="298"/>
        <v>1693</v>
      </c>
      <c r="AP196" s="297">
        <f t="shared" si="298"/>
        <v>7150</v>
      </c>
      <c r="AQ196" s="217">
        <f t="shared" si="298"/>
        <v>1120</v>
      </c>
      <c r="AR196" s="217">
        <f t="shared" si="298"/>
        <v>2098</v>
      </c>
      <c r="AS196" s="217">
        <f t="shared" si="298"/>
        <v>2450</v>
      </c>
      <c r="AT196" s="217">
        <f t="shared" si="298"/>
        <v>1903</v>
      </c>
      <c r="AU196" s="297">
        <f t="shared" si="298"/>
        <v>7571</v>
      </c>
      <c r="AV196" s="217">
        <f t="shared" ref="AV196:BD196" si="299">AV172</f>
        <v>873</v>
      </c>
      <c r="AW196" s="217">
        <f t="shared" si="299"/>
        <v>2789</v>
      </c>
      <c r="AX196" s="217">
        <f t="shared" si="299"/>
        <v>2608</v>
      </c>
      <c r="AY196" s="217">
        <f t="shared" si="299"/>
        <v>1916</v>
      </c>
      <c r="AZ196" s="297">
        <f t="shared" si="299"/>
        <v>8186</v>
      </c>
      <c r="BA196" s="217">
        <f t="shared" si="299"/>
        <v>1326</v>
      </c>
      <c r="BB196" s="217">
        <f t="shared" si="299"/>
        <v>2984</v>
      </c>
      <c r="BC196" s="217">
        <f t="shared" si="299"/>
        <v>2914</v>
      </c>
      <c r="BD196" s="217">
        <f t="shared" si="299"/>
        <v>2308</v>
      </c>
      <c r="BE196" s="297">
        <f>BE172</f>
        <v>9532</v>
      </c>
      <c r="BF196" s="217">
        <f t="shared" ref="BF196:CX196" si="300">BF172</f>
        <v>458</v>
      </c>
      <c r="BG196" s="217">
        <f t="shared" si="300"/>
        <v>3184</v>
      </c>
      <c r="BH196" s="217">
        <f t="shared" si="300"/>
        <v>3158</v>
      </c>
      <c r="BI196" s="217">
        <f t="shared" si="300"/>
        <v>2674</v>
      </c>
      <c r="BJ196" s="607">
        <f t="shared" si="300"/>
        <v>9474</v>
      </c>
      <c r="BK196" s="434">
        <f t="shared" si="300"/>
        <v>493</v>
      </c>
      <c r="BL196" s="434">
        <f t="shared" si="300"/>
        <v>3685</v>
      </c>
      <c r="BM196" s="434">
        <f t="shared" si="300"/>
        <v>3662</v>
      </c>
      <c r="BN196" s="434">
        <f t="shared" si="300"/>
        <v>2805</v>
      </c>
      <c r="BO196" s="607">
        <f t="shared" si="300"/>
        <v>10645</v>
      </c>
      <c r="BP196" s="434">
        <f t="shared" si="300"/>
        <v>478</v>
      </c>
      <c r="BQ196" s="434">
        <f t="shared" si="300"/>
        <v>3478</v>
      </c>
      <c r="BR196" s="434">
        <f t="shared" si="300"/>
        <v>3756</v>
      </c>
      <c r="BS196" s="434">
        <f t="shared" si="300"/>
        <v>2830</v>
      </c>
      <c r="BT196" s="607">
        <f t="shared" si="300"/>
        <v>10542</v>
      </c>
      <c r="BU196" s="434">
        <f t="shared" si="300"/>
        <v>1066</v>
      </c>
      <c r="BV196" s="434">
        <f t="shared" si="300"/>
        <v>3404</v>
      </c>
      <c r="BW196" s="434">
        <f t="shared" si="300"/>
        <v>3509</v>
      </c>
      <c r="BX196" s="434">
        <f t="shared" si="300"/>
        <v>2636</v>
      </c>
      <c r="BY196" s="607">
        <f t="shared" si="300"/>
        <v>10615</v>
      </c>
      <c r="BZ196" s="434">
        <f t="shared" si="300"/>
        <v>1574</v>
      </c>
      <c r="CA196" s="434">
        <f t="shared" si="300"/>
        <v>3544</v>
      </c>
      <c r="CB196" s="434">
        <f t="shared" si="300"/>
        <v>3272</v>
      </c>
      <c r="CC196" s="434">
        <f t="shared" si="300"/>
        <v>2138</v>
      </c>
      <c r="CD196" s="607">
        <f t="shared" si="300"/>
        <v>10528</v>
      </c>
      <c r="CE196" s="434">
        <f t="shared" si="300"/>
        <v>604</v>
      </c>
      <c r="CF196" s="434">
        <f t="shared" ref="CF196" si="301">CF172</f>
        <v>3216</v>
      </c>
      <c r="CG196" s="434">
        <f t="shared" si="300"/>
        <v>2903</v>
      </c>
      <c r="CH196" s="434">
        <f t="shared" si="300"/>
        <v>2073</v>
      </c>
      <c r="CI196" s="607">
        <f t="shared" si="300"/>
        <v>8796</v>
      </c>
      <c r="CJ196" s="434">
        <f t="shared" si="300"/>
        <v>788</v>
      </c>
      <c r="CK196" s="434">
        <f t="shared" si="300"/>
        <v>2603</v>
      </c>
      <c r="CL196" s="434">
        <f t="shared" si="300"/>
        <v>2527</v>
      </c>
      <c r="CM196" s="434">
        <f t="shared" si="300"/>
        <v>1077</v>
      </c>
      <c r="CN196" s="607">
        <f>CN172</f>
        <v>6995</v>
      </c>
      <c r="CO196" s="434">
        <f t="shared" si="300"/>
        <v>613</v>
      </c>
      <c r="CP196" s="434">
        <f t="shared" ca="1" si="300"/>
        <v>3270.9927505847863</v>
      </c>
      <c r="CQ196" s="434">
        <f t="shared" ca="1" si="300"/>
        <v>3065.3664319230847</v>
      </c>
      <c r="CR196" s="434">
        <f t="shared" ca="1" si="300"/>
        <v>1605.6033320563729</v>
      </c>
      <c r="CS196" s="607">
        <f t="shared" ca="1" si="300"/>
        <v>8554.9625145642458</v>
      </c>
      <c r="CT196" s="434">
        <f t="shared" ca="1" si="300"/>
        <v>1855.0104693652459</v>
      </c>
      <c r="CU196" s="434">
        <f t="shared" ca="1" si="300"/>
        <v>3376.2500751115081</v>
      </c>
      <c r="CV196" s="434">
        <f t="shared" ca="1" si="300"/>
        <v>3324.4572527026676</v>
      </c>
      <c r="CW196" s="434">
        <f t="shared" ca="1" si="300"/>
        <v>1886.2018076325048</v>
      </c>
      <c r="CX196" s="607">
        <f t="shared" ca="1" si="300"/>
        <v>10441.919604811925</v>
      </c>
      <c r="CY196" s="434">
        <f t="shared" ref="CY196:DH196" ca="1" si="302">CY172</f>
        <v>1905.599975590354</v>
      </c>
      <c r="CZ196" s="434">
        <f t="shared" ca="1" si="302"/>
        <v>3464.828807313324</v>
      </c>
      <c r="DA196" s="434">
        <f t="shared" ca="1" si="302"/>
        <v>3601.1779222745727</v>
      </c>
      <c r="DB196" s="434">
        <f t="shared" ca="1" si="302"/>
        <v>2176.9034590656411</v>
      </c>
      <c r="DC196" s="607">
        <f t="shared" ca="1" si="302"/>
        <v>11148.510164243889</v>
      </c>
      <c r="DD196" s="434">
        <f t="shared" ca="1" si="302"/>
        <v>1932.870509430777</v>
      </c>
      <c r="DE196" s="434">
        <f t="shared" ca="1" si="302"/>
        <v>3545.6984429184681</v>
      </c>
      <c r="DF196" s="434">
        <f t="shared" ca="1" si="302"/>
        <v>3880.1853964318279</v>
      </c>
      <c r="DG196" s="434">
        <f t="shared" ca="1" si="302"/>
        <v>2474.4044647786504</v>
      </c>
      <c r="DH196" s="607">
        <f t="shared" ca="1" si="302"/>
        <v>11833.158813559725</v>
      </c>
      <c r="DI196" s="434">
        <f ca="1">DI172</f>
        <v>1963.9013779582383</v>
      </c>
      <c r="DJ196" s="434">
        <f ca="1">DJ172</f>
        <v>3617.5840974350667</v>
      </c>
      <c r="DK196" s="434">
        <f ca="1">DK172</f>
        <v>4159.2574404549023</v>
      </c>
      <c r="DL196" s="434">
        <f ca="1">DL172</f>
        <v>2772.7680684251618</v>
      </c>
      <c r="DM196" s="607">
        <f ca="1">DM172</f>
        <v>12513.510984273369</v>
      </c>
      <c r="DN196" s="207"/>
    </row>
    <row r="197" spans="1:118" ht="15" x14ac:dyDescent="0.2">
      <c r="A197" s="223" t="s">
        <v>86</v>
      </c>
      <c r="C197" s="217"/>
      <c r="D197" s="217"/>
      <c r="E197" s="217"/>
      <c r="F197" s="217"/>
      <c r="G197" s="214"/>
      <c r="H197" s="217">
        <f t="shared" ref="H197:AM197" si="303">H196+H178</f>
        <v>580</v>
      </c>
      <c r="I197" s="217">
        <f t="shared" si="303"/>
        <v>1202</v>
      </c>
      <c r="J197" s="217">
        <f t="shared" si="303"/>
        <v>743</v>
      </c>
      <c r="K197" s="217">
        <f t="shared" si="303"/>
        <v>816</v>
      </c>
      <c r="L197" s="214">
        <f t="shared" si="303"/>
        <v>3341</v>
      </c>
      <c r="M197" s="217">
        <f t="shared" si="303"/>
        <v>786</v>
      </c>
      <c r="N197" s="217">
        <f t="shared" si="303"/>
        <v>996</v>
      </c>
      <c r="O197" s="217">
        <f t="shared" si="303"/>
        <v>1041</v>
      </c>
      <c r="P197" s="217">
        <f t="shared" si="303"/>
        <v>1068</v>
      </c>
      <c r="Q197" s="214">
        <f>Q196+Q178</f>
        <v>3891</v>
      </c>
      <c r="R197" s="217">
        <f t="shared" si="303"/>
        <v>404</v>
      </c>
      <c r="S197" s="217">
        <f t="shared" si="303"/>
        <v>1328</v>
      </c>
      <c r="T197" s="217">
        <f t="shared" si="303"/>
        <v>1824</v>
      </c>
      <c r="U197" s="217">
        <f t="shared" si="303"/>
        <v>1088</v>
      </c>
      <c r="V197" s="214">
        <f t="shared" si="303"/>
        <v>4644</v>
      </c>
      <c r="W197" s="217">
        <f t="shared" si="303"/>
        <v>990</v>
      </c>
      <c r="X197" s="217">
        <f t="shared" si="303"/>
        <v>1614</v>
      </c>
      <c r="Y197" s="217">
        <f t="shared" si="303"/>
        <v>1466</v>
      </c>
      <c r="Z197" s="217">
        <f t="shared" si="303"/>
        <v>1143</v>
      </c>
      <c r="AA197" s="214">
        <f t="shared" si="303"/>
        <v>5213</v>
      </c>
      <c r="AB197" s="217">
        <f t="shared" si="303"/>
        <v>1207</v>
      </c>
      <c r="AC197" s="217">
        <f t="shared" si="303"/>
        <v>1951</v>
      </c>
      <c r="AD197" s="217">
        <f t="shared" si="303"/>
        <v>1489</v>
      </c>
      <c r="AE197" s="217">
        <f t="shared" si="303"/>
        <v>877</v>
      </c>
      <c r="AF197" s="214">
        <f t="shared" si="303"/>
        <v>5524</v>
      </c>
      <c r="AG197" s="217">
        <f t="shared" si="303"/>
        <v>451</v>
      </c>
      <c r="AH197" s="217">
        <f t="shared" si="303"/>
        <v>1685</v>
      </c>
      <c r="AI197" s="217">
        <f t="shared" si="303"/>
        <v>1538</v>
      </c>
      <c r="AJ197" s="217">
        <f t="shared" si="303"/>
        <v>876</v>
      </c>
      <c r="AK197" s="214">
        <f t="shared" si="303"/>
        <v>4550</v>
      </c>
      <c r="AL197" s="217">
        <f t="shared" si="303"/>
        <v>599</v>
      </c>
      <c r="AM197" s="217">
        <f t="shared" si="303"/>
        <v>1926</v>
      </c>
      <c r="AN197" s="217">
        <f t="shared" ref="AN197:BS197" si="304">AN196+AN178</f>
        <v>1841</v>
      </c>
      <c r="AO197" s="217">
        <f t="shared" si="304"/>
        <v>1136</v>
      </c>
      <c r="AP197" s="214">
        <f t="shared" si="304"/>
        <v>5502</v>
      </c>
      <c r="AQ197" s="217">
        <f t="shared" si="304"/>
        <v>734</v>
      </c>
      <c r="AR197" s="217">
        <f t="shared" si="304"/>
        <v>1588</v>
      </c>
      <c r="AS197" s="217">
        <f t="shared" si="304"/>
        <v>1976</v>
      </c>
      <c r="AT197" s="217">
        <f t="shared" si="304"/>
        <v>1305</v>
      </c>
      <c r="AU197" s="214">
        <f t="shared" si="304"/>
        <v>5603</v>
      </c>
      <c r="AV197" s="217">
        <f t="shared" si="304"/>
        <v>406</v>
      </c>
      <c r="AW197" s="217">
        <f t="shared" si="304"/>
        <v>2276</v>
      </c>
      <c r="AX197" s="217">
        <f t="shared" si="304"/>
        <v>2189</v>
      </c>
      <c r="AY197" s="217">
        <f t="shared" si="304"/>
        <v>1322</v>
      </c>
      <c r="AZ197" s="214">
        <f t="shared" si="304"/>
        <v>6193</v>
      </c>
      <c r="BA197" s="217">
        <f t="shared" si="304"/>
        <v>933</v>
      </c>
      <c r="BB197" s="217">
        <f t="shared" si="304"/>
        <v>2484</v>
      </c>
      <c r="BC197" s="217">
        <f t="shared" si="304"/>
        <v>2472</v>
      </c>
      <c r="BD197" s="217">
        <f t="shared" si="304"/>
        <v>1428</v>
      </c>
      <c r="BE197" s="214">
        <f>BE196+BE178</f>
        <v>7317</v>
      </c>
      <c r="BF197" s="217">
        <f t="shared" si="304"/>
        <v>-131</v>
      </c>
      <c r="BG197" s="217">
        <f t="shared" si="304"/>
        <v>2583</v>
      </c>
      <c r="BH197" s="217">
        <f t="shared" si="304"/>
        <v>2433</v>
      </c>
      <c r="BI197" s="217">
        <f t="shared" si="304"/>
        <v>1669</v>
      </c>
      <c r="BJ197" s="430">
        <f t="shared" si="304"/>
        <v>6554</v>
      </c>
      <c r="BK197" s="434">
        <f t="shared" si="304"/>
        <v>-99</v>
      </c>
      <c r="BL197" s="434">
        <f t="shared" si="304"/>
        <v>2972</v>
      </c>
      <c r="BM197" s="434">
        <f t="shared" si="304"/>
        <v>2996</v>
      </c>
      <c r="BN197" s="434">
        <f t="shared" si="304"/>
        <v>1996</v>
      </c>
      <c r="BO197" s="430">
        <f t="shared" si="304"/>
        <v>7865</v>
      </c>
      <c r="BP197" s="434">
        <f t="shared" si="304"/>
        <v>-20</v>
      </c>
      <c r="BQ197" s="434">
        <f t="shared" si="304"/>
        <v>2907</v>
      </c>
      <c r="BR197" s="434">
        <f t="shared" si="304"/>
        <v>3200</v>
      </c>
      <c r="BS197" s="434">
        <f t="shared" si="304"/>
        <v>1905</v>
      </c>
      <c r="BT197" s="430">
        <f t="shared" ref="BT197:CX197" si="305">BT196+BT178</f>
        <v>7992</v>
      </c>
      <c r="BU197" s="434">
        <f t="shared" si="305"/>
        <v>617</v>
      </c>
      <c r="BV197" s="434">
        <f t="shared" si="305"/>
        <v>2823</v>
      </c>
      <c r="BW197" s="434">
        <f t="shared" si="305"/>
        <v>2921</v>
      </c>
      <c r="BX197" s="434">
        <f t="shared" si="305"/>
        <v>1848</v>
      </c>
      <c r="BY197" s="430">
        <f t="shared" si="305"/>
        <v>8209</v>
      </c>
      <c r="BZ197" s="434">
        <f t="shared" si="305"/>
        <v>1058</v>
      </c>
      <c r="CA197" s="434">
        <f t="shared" si="305"/>
        <v>2946</v>
      </c>
      <c r="CB197" s="434">
        <f t="shared" si="305"/>
        <v>2716</v>
      </c>
      <c r="CC197" s="434">
        <f t="shared" si="305"/>
        <v>1255</v>
      </c>
      <c r="CD197" s="430">
        <f t="shared" si="305"/>
        <v>7975</v>
      </c>
      <c r="CE197" s="434">
        <f t="shared" si="305"/>
        <v>68</v>
      </c>
      <c r="CF197" s="434">
        <f t="shared" ref="CF197" si="306">CF196+CF178</f>
        <v>2667</v>
      </c>
      <c r="CG197" s="434">
        <f t="shared" si="305"/>
        <v>2427</v>
      </c>
      <c r="CH197" s="434">
        <f t="shared" si="305"/>
        <v>1372</v>
      </c>
      <c r="CI197" s="430">
        <f t="shared" si="305"/>
        <v>6534</v>
      </c>
      <c r="CJ197" s="434">
        <f t="shared" si="305"/>
        <v>346</v>
      </c>
      <c r="CK197" s="434">
        <f t="shared" si="305"/>
        <v>2213</v>
      </c>
      <c r="CL197" s="434">
        <f t="shared" si="305"/>
        <v>2165</v>
      </c>
      <c r="CM197" s="434">
        <f t="shared" si="305"/>
        <v>596</v>
      </c>
      <c r="CN197" s="430">
        <f>CN196+CN178</f>
        <v>5320</v>
      </c>
      <c r="CO197" s="434">
        <f t="shared" si="305"/>
        <v>339</v>
      </c>
      <c r="CP197" s="434">
        <f t="shared" ca="1" si="305"/>
        <v>2749.4678742584438</v>
      </c>
      <c r="CQ197" s="434">
        <f t="shared" ca="1" si="305"/>
        <v>2572.5824500967256</v>
      </c>
      <c r="CR197" s="434">
        <f t="shared" ca="1" si="305"/>
        <v>991.1828346701833</v>
      </c>
      <c r="CS197" s="430">
        <f t="shared" ca="1" si="305"/>
        <v>6652.2331590253543</v>
      </c>
      <c r="CT197" s="434">
        <f t="shared" ca="1" si="305"/>
        <v>1472.3365297340385</v>
      </c>
      <c r="CU197" s="434">
        <f t="shared" ca="1" si="305"/>
        <v>3011.1556729836602</v>
      </c>
      <c r="CV197" s="434">
        <f t="shared" ca="1" si="305"/>
        <v>2979.2300156348579</v>
      </c>
      <c r="CW197" s="434">
        <f t="shared" ca="1" si="305"/>
        <v>1396.7924783783212</v>
      </c>
      <c r="CX197" s="430">
        <f t="shared" ca="1" si="305"/>
        <v>8859.5146967308756</v>
      </c>
      <c r="CY197" s="434">
        <f t="shared" ref="CY197:DH197" ca="1" si="307">CY196+CY178</f>
        <v>1507.4102814416397</v>
      </c>
      <c r="CZ197" s="434">
        <f t="shared" ca="1" si="307"/>
        <v>3085.0638565648569</v>
      </c>
      <c r="DA197" s="434">
        <f t="shared" ca="1" si="307"/>
        <v>3241.7373439767612</v>
      </c>
      <c r="DB197" s="434">
        <f t="shared" ca="1" si="307"/>
        <v>1666.3279920713098</v>
      </c>
      <c r="DC197" s="430">
        <f t="shared" ca="1" si="307"/>
        <v>9500.5394740545653</v>
      </c>
      <c r="DD197" s="434">
        <f t="shared" ca="1" si="307"/>
        <v>1520.4202347018681</v>
      </c>
      <c r="DE197" s="434">
        <f t="shared" ca="1" si="307"/>
        <v>3152.3627349558469</v>
      </c>
      <c r="DF197" s="434">
        <f t="shared" ca="1" si="307"/>
        <v>3507.5095403104501</v>
      </c>
      <c r="DG197" s="434">
        <f t="shared" ca="1" si="307"/>
        <v>1943.8959251287229</v>
      </c>
      <c r="DH197" s="430">
        <f t="shared" ca="1" si="307"/>
        <v>10124.18843509689</v>
      </c>
      <c r="DI197" s="434">
        <f ca="1">DI196+DI178</f>
        <v>1537.4204838377091</v>
      </c>
      <c r="DJ197" s="434">
        <f ca="1">DJ196+DJ178</f>
        <v>3210.8470724738386</v>
      </c>
      <c r="DK197" s="434">
        <f ca="1">DK196+DK178</f>
        <v>3773.5581573183063</v>
      </c>
      <c r="DL197" s="434">
        <f ca="1">DL196+DL178</f>
        <v>2222.8071135299106</v>
      </c>
      <c r="DM197" s="430">
        <f ca="1">DM196+DM178</f>
        <v>10744.632827159763</v>
      </c>
      <c r="DN197" s="207"/>
    </row>
    <row r="198" spans="1:118" ht="15" x14ac:dyDescent="0.2">
      <c r="A198" s="223" t="s">
        <v>87</v>
      </c>
      <c r="C198" s="302"/>
      <c r="D198" s="302"/>
      <c r="E198" s="302"/>
      <c r="F198" s="302"/>
      <c r="G198" s="303"/>
      <c r="H198" s="302">
        <f t="shared" ref="H198:AU198" si="308">H197/H90</f>
        <v>0.11646586345381527</v>
      </c>
      <c r="I198" s="302">
        <f t="shared" si="308"/>
        <v>0.24155948553054662</v>
      </c>
      <c r="J198" s="302">
        <f t="shared" si="308"/>
        <v>0.14931672025723472</v>
      </c>
      <c r="K198" s="302">
        <f t="shared" si="308"/>
        <v>0.16405307599517491</v>
      </c>
      <c r="L198" s="303">
        <f t="shared" si="308"/>
        <v>0.67135537024012859</v>
      </c>
      <c r="M198" s="302">
        <f t="shared" si="308"/>
        <v>0.15814889336016097</v>
      </c>
      <c r="N198" s="302">
        <f t="shared" si="308"/>
        <v>0.20016077170418006</v>
      </c>
      <c r="O198" s="302">
        <f t="shared" si="308"/>
        <v>0.209709911361805</v>
      </c>
      <c r="P198" s="302">
        <f t="shared" si="308"/>
        <v>0.21549636803874092</v>
      </c>
      <c r="Q198" s="303">
        <f t="shared" si="308"/>
        <v>0.78344910903050435</v>
      </c>
      <c r="R198" s="302">
        <f t="shared" si="308"/>
        <v>8.1715210355987056E-2</v>
      </c>
      <c r="S198" s="302">
        <f t="shared" si="308"/>
        <v>0.26926196269261965</v>
      </c>
      <c r="T198" s="302">
        <f t="shared" si="308"/>
        <v>0.37103336045565499</v>
      </c>
      <c r="U198" s="302">
        <f t="shared" si="308"/>
        <v>0.22185970636215335</v>
      </c>
      <c r="V198" s="303">
        <f t="shared" si="308"/>
        <v>0.94313566206336308</v>
      </c>
      <c r="W198" s="302">
        <f t="shared" si="308"/>
        <v>0.20253682487725042</v>
      </c>
      <c r="X198" s="302">
        <f t="shared" si="308"/>
        <v>0.33155299917830733</v>
      </c>
      <c r="Y198" s="302">
        <f t="shared" si="308"/>
        <v>0.3023927392739274</v>
      </c>
      <c r="Z198" s="302">
        <f t="shared" si="308"/>
        <v>0.23664596273291927</v>
      </c>
      <c r="AA198" s="303">
        <f t="shared" si="308"/>
        <v>1.0730753396459449</v>
      </c>
      <c r="AB198" s="302">
        <f t="shared" si="308"/>
        <v>0.2504149377593361</v>
      </c>
      <c r="AC198" s="302">
        <f t="shared" si="308"/>
        <v>0.40628904623073719</v>
      </c>
      <c r="AD198" s="302">
        <f t="shared" si="308"/>
        <v>0.31215932914046124</v>
      </c>
      <c r="AE198" s="302">
        <f t="shared" si="308"/>
        <v>0.18463157894736842</v>
      </c>
      <c r="AF198" s="303">
        <f t="shared" si="308"/>
        <v>1.154320342701912</v>
      </c>
      <c r="AG198" s="302">
        <f t="shared" si="308"/>
        <v>9.5308537616229927E-2</v>
      </c>
      <c r="AH198" s="302">
        <f t="shared" si="308"/>
        <v>0.35820578231292516</v>
      </c>
      <c r="AI198" s="302">
        <f t="shared" si="308"/>
        <v>0.32821169440887749</v>
      </c>
      <c r="AJ198" s="302">
        <f t="shared" si="308"/>
        <v>0.18709953011533534</v>
      </c>
      <c r="AK198" s="303">
        <f t="shared" si="308"/>
        <v>0.96787917464369289</v>
      </c>
      <c r="AL198" s="302">
        <f t="shared" si="308"/>
        <v>0.12903920723825937</v>
      </c>
      <c r="AM198" s="302">
        <f t="shared" si="308"/>
        <v>0.41401547721410148</v>
      </c>
      <c r="AN198" s="302">
        <f t="shared" si="308"/>
        <v>0.39489489489489488</v>
      </c>
      <c r="AO198" s="302">
        <f t="shared" si="308"/>
        <v>0.24201107797187899</v>
      </c>
      <c r="AP198" s="303">
        <f t="shared" si="308"/>
        <v>1.1800536193029492</v>
      </c>
      <c r="AQ198" s="302">
        <f t="shared" si="308"/>
        <v>0.15610378562313909</v>
      </c>
      <c r="AR198" s="302">
        <f t="shared" si="308"/>
        <v>0.33888177550149379</v>
      </c>
      <c r="AS198" s="302">
        <f t="shared" si="308"/>
        <v>0.42421640188922283</v>
      </c>
      <c r="AT198" s="302">
        <f t="shared" si="308"/>
        <v>0.2811288237828522</v>
      </c>
      <c r="AU198" s="303">
        <f t="shared" si="308"/>
        <v>1.1992722602739727</v>
      </c>
      <c r="AV198" s="302">
        <f>AV197/AV90</f>
        <v>8.7537731780940056E-2</v>
      </c>
      <c r="AW198" s="302">
        <f>AW197/AW90</f>
        <v>0.48988377098579422</v>
      </c>
      <c r="AX198" s="302">
        <f>AX197/AX90</f>
        <v>0.46933962264150941</v>
      </c>
      <c r="AY198" s="302">
        <f>AY197/AY90</f>
        <v>0.28223740392826646</v>
      </c>
      <c r="AZ198" s="303">
        <f>AZ197/AZ90</f>
        <v>1.3295405753542293</v>
      </c>
      <c r="BA198" s="302">
        <f t="shared" ref="BA198:CX198" si="309">BA197/BA90</f>
        <v>0.200472711645896</v>
      </c>
      <c r="BB198" s="302">
        <f t="shared" si="309"/>
        <v>0.53419354838709676</v>
      </c>
      <c r="BC198" s="302">
        <f t="shared" si="309"/>
        <v>0.52910958904109584</v>
      </c>
      <c r="BD198" s="302">
        <f t="shared" si="309"/>
        <v>0.30395913154533843</v>
      </c>
      <c r="BE198" s="303">
        <f t="shared" si="309"/>
        <v>1.5681525932276039</v>
      </c>
      <c r="BF198" s="302">
        <f t="shared" si="309"/>
        <v>-2.80995280995281E-2</v>
      </c>
      <c r="BG198" s="302">
        <f t="shared" si="309"/>
        <v>0.55429184549356225</v>
      </c>
      <c r="BH198" s="302">
        <f t="shared" si="309"/>
        <v>0.52300085984522782</v>
      </c>
      <c r="BI198" s="302">
        <f t="shared" si="309"/>
        <v>0.36188204683434516</v>
      </c>
      <c r="BJ198" s="560">
        <f t="shared" si="309"/>
        <v>1.4105240503604863</v>
      </c>
      <c r="BK198" s="572">
        <f t="shared" si="309"/>
        <v>-2.1512385919165579E-2</v>
      </c>
      <c r="BL198" s="572">
        <f t="shared" si="309"/>
        <v>0.64721254355400692</v>
      </c>
      <c r="BM198" s="572">
        <f t="shared" si="309"/>
        <v>0.65315020710704164</v>
      </c>
      <c r="BN198" s="572">
        <f t="shared" si="309"/>
        <v>0.43800746104893568</v>
      </c>
      <c r="BO198" s="560">
        <f t="shared" si="309"/>
        <v>1.7157504363001745</v>
      </c>
      <c r="BP198" s="572">
        <f t="shared" si="309"/>
        <v>-4.4150110375275938E-3</v>
      </c>
      <c r="BQ198" s="572">
        <f t="shared" si="309"/>
        <v>0.64214711729622265</v>
      </c>
      <c r="BR198" s="572">
        <f t="shared" si="309"/>
        <v>0.71142730102267671</v>
      </c>
      <c r="BS198" s="572">
        <f t="shared" si="309"/>
        <v>0.42503346720214191</v>
      </c>
      <c r="BT198" s="560">
        <f t="shared" si="309"/>
        <v>1.7723568220879304</v>
      </c>
      <c r="BU198" s="572">
        <f t="shared" si="309"/>
        <v>0.13821684587813621</v>
      </c>
      <c r="BV198" s="572">
        <f t="shared" si="309"/>
        <v>0.63381230354737317</v>
      </c>
      <c r="BW198" s="572">
        <f t="shared" si="309"/>
        <v>0.65714285714285714</v>
      </c>
      <c r="BX198" s="572">
        <f t="shared" si="309"/>
        <v>0.41649763353617308</v>
      </c>
      <c r="BY198" s="560">
        <f t="shared" si="309"/>
        <v>1.8447191011235955</v>
      </c>
      <c r="BZ198" s="572">
        <f t="shared" si="309"/>
        <v>0.23925825418362731</v>
      </c>
      <c r="CA198" s="572">
        <f t="shared" si="309"/>
        <v>0.66833030852994557</v>
      </c>
      <c r="CB198" s="572">
        <f t="shared" si="309"/>
        <v>0.61741304842009548</v>
      </c>
      <c r="CC198" s="572">
        <f t="shared" si="309"/>
        <v>0.28587699316628701</v>
      </c>
      <c r="CD198" s="560">
        <f t="shared" si="309"/>
        <v>1.8105454339065781</v>
      </c>
      <c r="CE198" s="572">
        <f t="shared" si="309"/>
        <v>1.5518028297581013E-2</v>
      </c>
      <c r="CF198" s="572">
        <f t="shared" ref="CF198" si="310">CF197/CF90</f>
        <v>0.60932145305003427</v>
      </c>
      <c r="CG198" s="572">
        <f t="shared" si="309"/>
        <v>0.55614115490375804</v>
      </c>
      <c r="CH198" s="572">
        <f t="shared" si="309"/>
        <v>0.31576524741081702</v>
      </c>
      <c r="CI198" s="560">
        <f t="shared" si="309"/>
        <v>1.4962216624685138</v>
      </c>
      <c r="CJ198" s="572">
        <f t="shared" si="309"/>
        <v>7.9833871712044299E-2</v>
      </c>
      <c r="CK198" s="572">
        <f t="shared" si="309"/>
        <v>0.51143979662583772</v>
      </c>
      <c r="CL198" s="572">
        <f t="shared" si="309"/>
        <v>0.50115740740740744</v>
      </c>
      <c r="CM198" s="572">
        <f t="shared" si="309"/>
        <v>0.1381228273464658</v>
      </c>
      <c r="CN198" s="560">
        <f t="shared" si="309"/>
        <v>1.2303422756706752</v>
      </c>
      <c r="CO198" s="572">
        <f t="shared" si="309"/>
        <v>7.8727357176033436E-2</v>
      </c>
      <c r="CP198" s="572">
        <f t="shared" ca="1" si="309"/>
        <v>0.63859432685133988</v>
      </c>
      <c r="CQ198" s="572">
        <f t="shared" ca="1" si="309"/>
        <v>0.597649541200308</v>
      </c>
      <c r="CR198" s="572">
        <f t="shared" ca="1" si="309"/>
        <v>0.23023991513825395</v>
      </c>
      <c r="CS198" s="560">
        <f t="shared" ca="1" si="309"/>
        <v>1.5451444536380825</v>
      </c>
      <c r="CT198" s="572">
        <f t="shared" ca="1" si="309"/>
        <v>0.34197637365712363</v>
      </c>
      <c r="CU198" s="572">
        <f t="shared" ca="1" si="309"/>
        <v>0.69959763552026488</v>
      </c>
      <c r="CV198" s="572">
        <f t="shared" ca="1" si="309"/>
        <v>0.69238126035147618</v>
      </c>
      <c r="CW198" s="572">
        <f t="shared" ca="1" si="309"/>
        <v>0.32471274887474411</v>
      </c>
      <c r="CX198" s="560">
        <f t="shared" ca="1" si="309"/>
        <v>2.0586765880634079</v>
      </c>
      <c r="CY198" s="572">
        <f t="shared" ref="CY198:DH198" ca="1" si="311">CY197/CY90</f>
        <v>0.35052996109447193</v>
      </c>
      <c r="CZ198" s="572">
        <f t="shared" ca="1" si="311"/>
        <v>0.71760273464131819</v>
      </c>
      <c r="DA198" s="572">
        <f t="shared" ca="1" si="311"/>
        <v>0.75426515288991913</v>
      </c>
      <c r="DB198" s="572">
        <f t="shared" ca="1" si="311"/>
        <v>0.3878225332839868</v>
      </c>
      <c r="DC198" s="560">
        <f t="shared" ca="1" si="311"/>
        <v>2.2101987842397501</v>
      </c>
      <c r="DD198" s="572">
        <f t="shared" ca="1" si="311"/>
        <v>0.35394622079484783</v>
      </c>
      <c r="DE198" s="572">
        <f t="shared" ca="1" si="311"/>
        <v>0.73398241740582604</v>
      </c>
      <c r="DF198" s="572">
        <f t="shared" ca="1" si="311"/>
        <v>0.81681589155193435</v>
      </c>
      <c r="DG198" s="572">
        <f t="shared" ca="1" si="311"/>
        <v>0.45276639593064266</v>
      </c>
      <c r="DH198" s="560">
        <f t="shared" ca="1" si="311"/>
        <v>2.3574778053549634</v>
      </c>
      <c r="DI198" s="572">
        <f ca="1">DI197/DI90</f>
        <v>0.35813306556508379</v>
      </c>
      <c r="DJ198" s="572">
        <f ca="1">DJ197/DJ90</f>
        <v>0.74799151392768726</v>
      </c>
      <c r="DK198" s="572">
        <f ca="1">DK197/DK90</f>
        <v>0.87913058791888088</v>
      </c>
      <c r="DL198" s="572">
        <f ca="1">DL197/DL90</f>
        <v>0.51788033049594562</v>
      </c>
      <c r="DM198" s="560">
        <f ca="1">DM197/DM90</f>
        <v>2.5031177232754254</v>
      </c>
      <c r="DN198" s="207"/>
    </row>
    <row r="199" spans="1:118" ht="15" x14ac:dyDescent="0.2">
      <c r="B199" s="223" t="s">
        <v>88</v>
      </c>
      <c r="C199" s="218"/>
      <c r="D199" s="218"/>
      <c r="E199" s="218"/>
      <c r="F199" s="218"/>
      <c r="G199" s="209"/>
      <c r="H199" s="218" t="s">
        <v>161</v>
      </c>
      <c r="I199" s="218" t="s">
        <v>161</v>
      </c>
      <c r="J199" s="218" t="s">
        <v>161</v>
      </c>
      <c r="K199" s="218" t="s">
        <v>161</v>
      </c>
      <c r="L199" s="209" t="s">
        <v>161</v>
      </c>
      <c r="M199" s="218">
        <f t="shared" ref="M199:AR199" si="312">M198/H198-1</f>
        <v>0.3578991188510372</v>
      </c>
      <c r="N199" s="218">
        <f t="shared" si="312"/>
        <v>-0.17138103161397666</v>
      </c>
      <c r="O199" s="218">
        <f t="shared" si="312"/>
        <v>0.40446368632078289</v>
      </c>
      <c r="P199" s="218">
        <f t="shared" si="312"/>
        <v>0.3135771257655604</v>
      </c>
      <c r="Q199" s="209">
        <f t="shared" si="312"/>
        <v>0.16696632478009721</v>
      </c>
      <c r="R199" s="218">
        <f t="shared" si="312"/>
        <v>-0.48330204138771549</v>
      </c>
      <c r="S199" s="218">
        <f t="shared" si="312"/>
        <v>0.34522844011895115</v>
      </c>
      <c r="T199" s="218">
        <f t="shared" si="312"/>
        <v>0.76926954976164397</v>
      </c>
      <c r="U199" s="218">
        <f t="shared" si="312"/>
        <v>2.9528749747970151E-2</v>
      </c>
      <c r="V199" s="209">
        <f t="shared" si="312"/>
        <v>0.20382504899452392</v>
      </c>
      <c r="W199" s="218">
        <f t="shared" si="312"/>
        <v>1.4785694608740743</v>
      </c>
      <c r="X199" s="218">
        <f t="shared" si="312"/>
        <v>0.23133990357485823</v>
      </c>
      <c r="Y199" s="218">
        <f t="shared" si="312"/>
        <v>-0.18499851629899822</v>
      </c>
      <c r="Z199" s="218">
        <f t="shared" si="312"/>
        <v>6.6646876141761124E-2</v>
      </c>
      <c r="AA199" s="209">
        <f t="shared" si="312"/>
        <v>0.13777411120082528</v>
      </c>
      <c r="AB199" s="218">
        <f t="shared" si="312"/>
        <v>0.23639213713902496</v>
      </c>
      <c r="AC199" s="218">
        <f t="shared" si="312"/>
        <v>0.22541206756581689</v>
      </c>
      <c r="AD199" s="218">
        <f t="shared" si="312"/>
        <v>3.2297699640488453E-2</v>
      </c>
      <c r="AE199" s="218">
        <f t="shared" si="312"/>
        <v>-0.21979831468434874</v>
      </c>
      <c r="AF199" s="209">
        <f t="shared" si="312"/>
        <v>7.5712300948760358E-2</v>
      </c>
      <c r="AG199" s="218">
        <f t="shared" si="312"/>
        <v>-0.61939755483825332</v>
      </c>
      <c r="AH199" s="218">
        <f t="shared" si="312"/>
        <v>-0.11834742866905867</v>
      </c>
      <c r="AI199" s="218">
        <f t="shared" si="312"/>
        <v>5.1423628160070844E-2</v>
      </c>
      <c r="AJ199" s="218">
        <f t="shared" si="312"/>
        <v>1.336689629172505E-2</v>
      </c>
      <c r="AK199" s="209">
        <f t="shared" si="312"/>
        <v>-0.1615159684544909</v>
      </c>
      <c r="AL199" s="218">
        <f t="shared" si="312"/>
        <v>0.35391026308524021</v>
      </c>
      <c r="AM199" s="218">
        <f t="shared" si="312"/>
        <v>0.15580344499414456</v>
      </c>
      <c r="AN199" s="218">
        <f t="shared" si="312"/>
        <v>0.20317131175388647</v>
      </c>
      <c r="AO199" s="218">
        <f t="shared" si="312"/>
        <v>0.29348843272184633</v>
      </c>
      <c r="AP199" s="209">
        <f t="shared" si="312"/>
        <v>0.21921583831717895</v>
      </c>
      <c r="AQ199" s="218">
        <f t="shared" si="312"/>
        <v>0.20973918674893421</v>
      </c>
      <c r="AR199" s="218">
        <f t="shared" si="312"/>
        <v>-0.18147558689878041</v>
      </c>
      <c r="AS199" s="218">
        <f t="shared" ref="AS199:BX199" si="313">AS198/AN198-1</f>
        <v>7.4251420753697506E-2</v>
      </c>
      <c r="AT199" s="218">
        <f t="shared" si="313"/>
        <v>0.16163617855344037</v>
      </c>
      <c r="AU199" s="209">
        <f t="shared" si="313"/>
        <v>1.6286243825408553E-2</v>
      </c>
      <c r="AV199" s="218">
        <f t="shared" si="313"/>
        <v>-0.43923376725615781</v>
      </c>
      <c r="AW199" s="218">
        <f t="shared" si="313"/>
        <v>0.4455890118636221</v>
      </c>
      <c r="AX199" s="218">
        <f t="shared" si="313"/>
        <v>0.10636840195554198</v>
      </c>
      <c r="AY199" s="218">
        <f t="shared" si="313"/>
        <v>3.9433172682092898E-3</v>
      </c>
      <c r="AZ199" s="209">
        <f t="shared" si="313"/>
        <v>0.10862280350793485</v>
      </c>
      <c r="BA199" s="218">
        <f t="shared" si="313"/>
        <v>1.2901291542208515</v>
      </c>
      <c r="BB199" s="218">
        <f t="shared" si="313"/>
        <v>9.0449571971200182E-2</v>
      </c>
      <c r="BC199" s="218">
        <f t="shared" si="313"/>
        <v>0.12734907413781227</v>
      </c>
      <c r="BD199" s="218">
        <f t="shared" si="313"/>
        <v>7.6962611314950857E-2</v>
      </c>
      <c r="BE199" s="209">
        <f t="shared" si="313"/>
        <v>0.17946952676476324</v>
      </c>
      <c r="BF199" s="218">
        <f t="shared" si="313"/>
        <v>-1.1401663491695646</v>
      </c>
      <c r="BG199" s="218">
        <f t="shared" si="313"/>
        <v>3.7623623810412399E-2</v>
      </c>
      <c r="BH199" s="218">
        <f t="shared" si="313"/>
        <v>-1.1545300486689114E-2</v>
      </c>
      <c r="BI199" s="218">
        <f t="shared" si="313"/>
        <v>0.19056152382895908</v>
      </c>
      <c r="BJ199" s="424">
        <f t="shared" si="313"/>
        <v>-0.10051862525870858</v>
      </c>
      <c r="BK199" s="436">
        <f t="shared" si="313"/>
        <v>-0.2344218079759548</v>
      </c>
      <c r="BL199" s="436">
        <f t="shared" si="313"/>
        <v>0.16763858031810774</v>
      </c>
      <c r="BM199" s="436">
        <f t="shared" si="313"/>
        <v>0.24885111527412995</v>
      </c>
      <c r="BN199" s="436">
        <f t="shared" si="313"/>
        <v>0.21035974257500989</v>
      </c>
      <c r="BO199" s="424">
        <f t="shared" si="313"/>
        <v>0.21639218832297247</v>
      </c>
      <c r="BP199" s="436">
        <f t="shared" si="313"/>
        <v>-0.79476888086159603</v>
      </c>
      <c r="BQ199" s="436">
        <f t="shared" si="313"/>
        <v>-7.8265267078551082E-3</v>
      </c>
      <c r="BR199" s="436">
        <f t="shared" si="313"/>
        <v>8.9224642787389286E-2</v>
      </c>
      <c r="BS199" s="436">
        <f t="shared" si="313"/>
        <v>-2.9620485951823206E-2</v>
      </c>
      <c r="BT199" s="424">
        <f t="shared" si="313"/>
        <v>3.299220247311796E-2</v>
      </c>
      <c r="BU199" s="436" t="s">
        <v>199</v>
      </c>
      <c r="BV199" s="436">
        <f t="shared" si="313"/>
        <v>-1.2979601596505574E-2</v>
      </c>
      <c r="BW199" s="436">
        <f t="shared" si="313"/>
        <v>-7.630357142857136E-2</v>
      </c>
      <c r="BX199" s="436">
        <f t="shared" si="313"/>
        <v>-2.0082733066074665E-2</v>
      </c>
      <c r="BY199" s="424">
        <f>BY198/BT198-1</f>
        <v>4.0828279121818412E-2</v>
      </c>
      <c r="BZ199" s="436">
        <f t="shared" ref="BZ199:CX199" si="314">BZ198/BU198-1</f>
        <v>0.73103540790228894</v>
      </c>
      <c r="CA199" s="436">
        <f t="shared" si="314"/>
        <v>5.4460926033431667E-2</v>
      </c>
      <c r="CB199" s="436">
        <f t="shared" si="314"/>
        <v>-6.0458404578115577E-2</v>
      </c>
      <c r="CC199" s="436">
        <f t="shared" si="314"/>
        <v>-0.31361676478419076</v>
      </c>
      <c r="CD199" s="424">
        <f t="shared" si="314"/>
        <v>-1.8525133282461637E-2</v>
      </c>
      <c r="CE199" s="436">
        <f t="shared" si="314"/>
        <v>-0.93514109533846579</v>
      </c>
      <c r="CF199" s="436">
        <f t="shared" si="314"/>
        <v>-8.829295144448368E-2</v>
      </c>
      <c r="CG199" s="436">
        <f t="shared" si="314"/>
        <v>-9.9239712657720358E-2</v>
      </c>
      <c r="CH199" s="436">
        <f t="shared" si="314"/>
        <v>0.10454935150078626</v>
      </c>
      <c r="CI199" s="424">
        <f t="shared" si="314"/>
        <v>-0.17360722661339356</v>
      </c>
      <c r="CJ199" s="436">
        <f t="shared" si="314"/>
        <v>4.1445886153261489</v>
      </c>
      <c r="CK199" s="436">
        <f t="shared" si="314"/>
        <v>-0.16064042376029553</v>
      </c>
      <c r="CL199" s="436">
        <f t="shared" si="314"/>
        <v>-9.8866532374978999E-2</v>
      </c>
      <c r="CM199" s="436">
        <f t="shared" si="314"/>
        <v>-0.56257748919796358</v>
      </c>
      <c r="CN199" s="424">
        <f t="shared" si="314"/>
        <v>-0.17770053292717503</v>
      </c>
      <c r="CO199" s="436">
        <f t="shared" si="314"/>
        <v>-1.3860213870147686E-2</v>
      </c>
      <c r="CP199" s="436">
        <f t="shared" ca="1" si="314"/>
        <v>0.24862071951457199</v>
      </c>
      <c r="CQ199" s="436">
        <f t="shared" ca="1" si="314"/>
        <v>0.19253857643664229</v>
      </c>
      <c r="CR199" s="436">
        <f t="shared" ca="1" si="314"/>
        <v>0.66692153325766101</v>
      </c>
      <c r="CS199" s="424">
        <f t="shared" ca="1" si="314"/>
        <v>0.2558655296111032</v>
      </c>
      <c r="CT199" s="436">
        <f t="shared" ca="1" si="314"/>
        <v>3.3438060913497774</v>
      </c>
      <c r="CU199" s="436">
        <f t="shared" ca="1" si="314"/>
        <v>9.5527482947912468E-2</v>
      </c>
      <c r="CV199" s="436">
        <f t="shared" ca="1" si="314"/>
        <v>0.15850713941971883</v>
      </c>
      <c r="CW199" s="436">
        <f t="shared" ca="1" si="314"/>
        <v>0.41032343883449274</v>
      </c>
      <c r="CX199" s="424">
        <f t="shared" ca="1" si="314"/>
        <v>0.33235218442922965</v>
      </c>
      <c r="CY199" s="436">
        <f t="shared" ref="CY199:DH199" ca="1" si="315">CY198/CT198-1</f>
        <v>2.5012217498757483E-2</v>
      </c>
      <c r="CZ199" s="436">
        <f t="shared" ca="1" si="315"/>
        <v>2.573636359943321E-2</v>
      </c>
      <c r="DA199" s="436">
        <f t="shared" ca="1" si="315"/>
        <v>8.9378346991986213E-2</v>
      </c>
      <c r="DB199" s="436">
        <f t="shared" ca="1" si="315"/>
        <v>0.19435573326868938</v>
      </c>
      <c r="DC199" s="424">
        <f t="shared" ca="1" si="315"/>
        <v>7.360174835372213E-2</v>
      </c>
      <c r="DD199" s="436">
        <f t="shared" ca="1" si="315"/>
        <v>9.7459848787511127E-3</v>
      </c>
      <c r="DE199" s="436">
        <f t="shared" ca="1" si="315"/>
        <v>2.2825557894083248E-2</v>
      </c>
      <c r="DF199" s="436">
        <f t="shared" ca="1" si="315"/>
        <v>8.2929376257614429E-2</v>
      </c>
      <c r="DG199" s="436">
        <f t="shared" ca="1" si="315"/>
        <v>0.16745768250422954</v>
      </c>
      <c r="DH199" s="424">
        <f t="shared" ca="1" si="315"/>
        <v>6.6636097244019421E-2</v>
      </c>
      <c r="DI199" s="436">
        <f ca="1">DI198/DD198-1</f>
        <v>1.1829042165879544E-2</v>
      </c>
      <c r="DJ199" s="436">
        <f ca="1">DJ198/DE198-1</f>
        <v>1.9086419769256402E-2</v>
      </c>
      <c r="DK199" s="436">
        <f ca="1">DK198/DF198-1</f>
        <v>7.6289769838524757E-2</v>
      </c>
      <c r="DL199" s="436">
        <f ca="1">DL198/DG198-1</f>
        <v>0.14381353199029689</v>
      </c>
      <c r="DM199" s="424">
        <f ca="1">DM198/DH198-1</f>
        <v>6.1777853258954796E-2</v>
      </c>
      <c r="DN199" s="207"/>
    </row>
    <row r="200" spans="1:118" ht="15" x14ac:dyDescent="0.2">
      <c r="A200" s="18" t="s">
        <v>276</v>
      </c>
      <c r="B200" s="223"/>
      <c r="C200" s="218"/>
      <c r="D200" s="218"/>
      <c r="E200" s="218"/>
      <c r="F200" s="218"/>
      <c r="G200" s="209"/>
      <c r="H200" s="218">
        <f t="shared" ref="H200:AM200" si="316">H197/H77</f>
        <v>0.66445182724252494</v>
      </c>
      <c r="I200" s="218">
        <f t="shared" si="316"/>
        <v>1.0752303426066732</v>
      </c>
      <c r="J200" s="218">
        <f t="shared" si="316"/>
        <v>0.73506133755441239</v>
      </c>
      <c r="K200" s="218">
        <f t="shared" si="316"/>
        <v>0.89277899343544853</v>
      </c>
      <c r="L200" s="209">
        <f t="shared" si="316"/>
        <v>0.85325365205843295</v>
      </c>
      <c r="M200" s="218">
        <f t="shared" si="316"/>
        <v>0.9147938222320503</v>
      </c>
      <c r="N200" s="218">
        <f t="shared" si="316"/>
        <v>0.81455735023512577</v>
      </c>
      <c r="O200" s="218">
        <f t="shared" si="316"/>
        <v>0.95402401556131389</v>
      </c>
      <c r="P200" s="218">
        <f t="shared" si="316"/>
        <v>1.1487034534107579</v>
      </c>
      <c r="Q200" s="209">
        <f t="shared" si="316"/>
        <v>0.94836022004223797</v>
      </c>
      <c r="R200" s="218">
        <f t="shared" si="316"/>
        <v>0.45441763680332942</v>
      </c>
      <c r="S200" s="218">
        <f t="shared" si="316"/>
        <v>0.99737138565527605</v>
      </c>
      <c r="T200" s="218">
        <f t="shared" si="316"/>
        <v>1.382001401700983</v>
      </c>
      <c r="U200" s="218">
        <f t="shared" si="316"/>
        <v>1.0523342863664675</v>
      </c>
      <c r="V200" s="209">
        <f t="shared" si="316"/>
        <v>1.0152446282650314</v>
      </c>
      <c r="W200" s="218">
        <f t="shared" si="316"/>
        <v>0.87843833185448095</v>
      </c>
      <c r="X200" s="218">
        <f t="shared" si="316"/>
        <v>1.0540597463791188</v>
      </c>
      <c r="Y200" s="218">
        <f t="shared" si="316"/>
        <v>1.199672667757774</v>
      </c>
      <c r="Z200" s="218">
        <f t="shared" si="316"/>
        <v>1.0310943040835123</v>
      </c>
      <c r="AA200" s="209">
        <f t="shared" si="316"/>
        <v>1.0449504069503535</v>
      </c>
      <c r="AB200" s="218">
        <f t="shared" si="316"/>
        <v>1.0767172167707404</v>
      </c>
      <c r="AC200" s="218">
        <f t="shared" si="316"/>
        <v>1.1923387195345541</v>
      </c>
      <c r="AD200" s="218">
        <f t="shared" si="316"/>
        <v>1.1165518120533606</v>
      </c>
      <c r="AE200" s="218">
        <f t="shared" si="316"/>
        <v>0.80903685868607611</v>
      </c>
      <c r="AF200" s="209">
        <f t="shared" si="316"/>
        <v>1.067469523300653</v>
      </c>
      <c r="AG200" s="218">
        <f t="shared" si="316"/>
        <v>0.38739048273492527</v>
      </c>
      <c r="AH200" s="218">
        <f t="shared" si="316"/>
        <v>0.97286374133949194</v>
      </c>
      <c r="AI200" s="218">
        <f t="shared" si="316"/>
        <v>1.0621546961325967</v>
      </c>
      <c r="AJ200" s="218">
        <f t="shared" si="316"/>
        <v>0.71451876019575855</v>
      </c>
      <c r="AK200" s="209">
        <f t="shared" si="316"/>
        <v>0.81684679185666587</v>
      </c>
      <c r="AL200" s="218">
        <f t="shared" si="316"/>
        <v>0.46434108527131784</v>
      </c>
      <c r="AM200" s="218">
        <f t="shared" si="316"/>
        <v>0.97223624432104994</v>
      </c>
      <c r="AN200" s="218">
        <f t="shared" ref="AN200:BS200" si="317">AN197/AN77</f>
        <v>1.1077015643802648</v>
      </c>
      <c r="AO200" s="218">
        <f t="shared" si="317"/>
        <v>0.83775811209439532</v>
      </c>
      <c r="AP200" s="209">
        <f t="shared" si="317"/>
        <v>0.87486086818254094</v>
      </c>
      <c r="AQ200" s="218">
        <f t="shared" si="317"/>
        <v>0.46573604060913704</v>
      </c>
      <c r="AR200" s="218">
        <f t="shared" si="317"/>
        <v>0.66975959510754957</v>
      </c>
      <c r="AS200" s="218">
        <f t="shared" si="317"/>
        <v>1.0217166494312306</v>
      </c>
      <c r="AT200" s="218">
        <f t="shared" si="317"/>
        <v>0.88235294117647056</v>
      </c>
      <c r="AU200" s="209">
        <f t="shared" si="317"/>
        <v>0.7612771739130435</v>
      </c>
      <c r="AV200" s="218">
        <f t="shared" si="317"/>
        <v>0.2686962276637988</v>
      </c>
      <c r="AW200" s="218">
        <f t="shared" si="317"/>
        <v>1.063551401869159</v>
      </c>
      <c r="AX200" s="218">
        <f t="shared" si="317"/>
        <v>1.1649813730707823</v>
      </c>
      <c r="AY200" s="218">
        <f t="shared" si="317"/>
        <v>0.85455720749838393</v>
      </c>
      <c r="AZ200" s="209">
        <f t="shared" si="317"/>
        <v>0.8750883142574537</v>
      </c>
      <c r="BA200" s="218">
        <f t="shared" si="317"/>
        <v>0.50242326332794829</v>
      </c>
      <c r="BB200" s="218">
        <f t="shared" si="317"/>
        <v>1.0109890109890109</v>
      </c>
      <c r="BC200" s="218">
        <f t="shared" si="317"/>
        <v>1.1524475524475524</v>
      </c>
      <c r="BD200" s="218">
        <f t="shared" si="317"/>
        <v>0.84798099762470314</v>
      </c>
      <c r="BE200" s="209">
        <f t="shared" si="317"/>
        <v>0.89856318310205086</v>
      </c>
      <c r="BF200" s="218">
        <f t="shared" si="317"/>
        <v>-6.5697091273821465E-2</v>
      </c>
      <c r="BG200" s="218">
        <f t="shared" si="317"/>
        <v>0.9489346069066863</v>
      </c>
      <c r="BH200" s="218">
        <f t="shared" si="317"/>
        <v>1.0145954962468724</v>
      </c>
      <c r="BI200" s="218">
        <f t="shared" si="317"/>
        <v>0.91804180418041803</v>
      </c>
      <c r="BJ200" s="424">
        <f t="shared" si="317"/>
        <v>0.73376623376623373</v>
      </c>
      <c r="BK200" s="436">
        <f t="shared" si="317"/>
        <v>-4.833984375E-2</v>
      </c>
      <c r="BL200" s="436">
        <f t="shared" si="317"/>
        <v>1.064851307774991</v>
      </c>
      <c r="BM200" s="436">
        <f t="shared" si="317"/>
        <v>1.2852852852852852</v>
      </c>
      <c r="BN200" s="436">
        <f t="shared" si="317"/>
        <v>0.97508549096238395</v>
      </c>
      <c r="BO200" s="424">
        <f t="shared" si="317"/>
        <v>0.8533145275035261</v>
      </c>
      <c r="BP200" s="436">
        <f t="shared" si="317"/>
        <v>-9.6805421103581795E-3</v>
      </c>
      <c r="BQ200" s="436">
        <f t="shared" si="317"/>
        <v>1.0132450331125828</v>
      </c>
      <c r="BR200" s="436">
        <f t="shared" si="317"/>
        <v>1.3434089000839631</v>
      </c>
      <c r="BS200" s="436">
        <f t="shared" si="317"/>
        <v>0.92610597958191543</v>
      </c>
      <c r="BT200" s="424">
        <f t="shared" ref="BT200:CY200" si="318">BT197/BT77</f>
        <v>0.85257094090036267</v>
      </c>
      <c r="BU200" s="436">
        <f t="shared" si="318"/>
        <v>0.31657260133401743</v>
      </c>
      <c r="BV200" s="436">
        <f t="shared" si="318"/>
        <v>0.98948475289169291</v>
      </c>
      <c r="BW200" s="436">
        <f t="shared" si="318"/>
        <v>1.2408666100254886</v>
      </c>
      <c r="BX200" s="436">
        <f t="shared" si="318"/>
        <v>0.95503875968992247</v>
      </c>
      <c r="BY200" s="424">
        <f t="shared" si="318"/>
        <v>0.9029809701902981</v>
      </c>
      <c r="BZ200" s="436">
        <f t="shared" si="318"/>
        <v>0.50285171102661597</v>
      </c>
      <c r="CA200" s="436">
        <f t="shared" si="318"/>
        <v>1.0593311758360302</v>
      </c>
      <c r="CB200" s="436">
        <f t="shared" si="318"/>
        <v>1.215756490599821</v>
      </c>
      <c r="CC200" s="436">
        <f t="shared" si="318"/>
        <v>0.74791418355184747</v>
      </c>
      <c r="CD200" s="424">
        <f t="shared" si="318"/>
        <v>0.90655905422303062</v>
      </c>
      <c r="CE200" s="436">
        <f t="shared" si="318"/>
        <v>3.4136546184738957E-2</v>
      </c>
      <c r="CF200" s="436">
        <f t="shared" si="318"/>
        <v>1.0183276059564719</v>
      </c>
      <c r="CG200" s="436">
        <f t="shared" si="318"/>
        <v>1.1288372093023256</v>
      </c>
      <c r="CH200" s="436">
        <f t="shared" si="318"/>
        <v>0.86452425960932577</v>
      </c>
      <c r="CI200" s="424">
        <f t="shared" si="318"/>
        <v>0.78270244369908959</v>
      </c>
      <c r="CJ200" s="436">
        <f t="shared" si="318"/>
        <v>0.18414050026609899</v>
      </c>
      <c r="CK200" s="436">
        <f t="shared" si="318"/>
        <v>0.86920659858601723</v>
      </c>
      <c r="CL200" s="436">
        <f t="shared" si="318"/>
        <v>0.99494485294117652</v>
      </c>
      <c r="CM200" s="436">
        <f t="shared" si="318"/>
        <v>0.35582089552238805</v>
      </c>
      <c r="CN200" s="424">
        <f t="shared" si="318"/>
        <v>0.64282261962300624</v>
      </c>
      <c r="CO200" s="436">
        <f t="shared" si="318"/>
        <v>0.16757291151754819</v>
      </c>
      <c r="CP200" s="436">
        <f t="shared" ca="1" si="318"/>
        <v>1.0524597055490501</v>
      </c>
      <c r="CQ200" s="436">
        <f t="shared" ca="1" si="318"/>
        <v>1.0573509415730107</v>
      </c>
      <c r="CR200" s="436">
        <f t="shared" ca="1" si="318"/>
        <v>0.51293597161239801</v>
      </c>
      <c r="CS200" s="424">
        <f t="shared" ca="1" si="318"/>
        <v>0.73906824101551827</v>
      </c>
      <c r="CT200" s="436">
        <f t="shared" ca="1" si="318"/>
        <v>0.68454629774130571</v>
      </c>
      <c r="CU200" s="436">
        <f t="shared" ca="1" si="318"/>
        <v>1.0852065559174049</v>
      </c>
      <c r="CV200" s="436">
        <f t="shared" ca="1" si="318"/>
        <v>1.1500073217038165</v>
      </c>
      <c r="CW200" s="436">
        <f t="shared" ca="1" si="318"/>
        <v>0.67410572365524912</v>
      </c>
      <c r="CX200" s="424">
        <f t="shared" ca="1" si="318"/>
        <v>0.92399829189358007</v>
      </c>
      <c r="CY200" s="436">
        <f t="shared" ca="1" si="318"/>
        <v>0.65347145966660491</v>
      </c>
      <c r="CZ200" s="436">
        <f t="shared" ref="CZ200:DM200" ca="1" si="319">CZ197/CZ77</f>
        <v>1.0404399883387885</v>
      </c>
      <c r="DA200" s="436">
        <f t="shared" ca="1" si="319"/>
        <v>1.1690997355301296</v>
      </c>
      <c r="DB200" s="436">
        <f t="shared" ca="1" si="319"/>
        <v>0.74831808955432511</v>
      </c>
      <c r="DC200" s="424">
        <f t="shared" ca="1" si="319"/>
        <v>0.92493821324676695</v>
      </c>
      <c r="DD200" s="436">
        <f t="shared" ca="1" si="319"/>
        <v>0.61725070142539673</v>
      </c>
      <c r="DE200" s="436">
        <f t="shared" ca="1" si="319"/>
        <v>0.9991756123029758</v>
      </c>
      <c r="DF200" s="436">
        <f t="shared" ca="1" si="319"/>
        <v>1.1870755968060043</v>
      </c>
      <c r="DG200" s="436">
        <f t="shared" ca="1" si="319"/>
        <v>0.81614095242362927</v>
      </c>
      <c r="DH200" s="424">
        <f t="shared" ca="1" si="319"/>
        <v>0.92418341793687875</v>
      </c>
      <c r="DI200" s="436">
        <f t="shared" ca="1" si="319"/>
        <v>0.58742574235745137</v>
      </c>
      <c r="DJ200" s="436">
        <f t="shared" ca="1" si="319"/>
        <v>0.96036737663196292</v>
      </c>
      <c r="DK200" s="436">
        <f t="shared" ca="1" si="319"/>
        <v>1.2037040218083221</v>
      </c>
      <c r="DL200" s="436">
        <f t="shared" ca="1" si="319"/>
        <v>0.8770084631438867</v>
      </c>
      <c r="DM200" s="424">
        <f t="shared" ca="1" si="319"/>
        <v>0.92386751174923931</v>
      </c>
      <c r="DN200" s="207"/>
    </row>
    <row r="201" spans="1:118" ht="15" x14ac:dyDescent="0.2">
      <c r="A201" s="223" t="s">
        <v>89</v>
      </c>
      <c r="C201" s="217"/>
      <c r="D201" s="217"/>
      <c r="E201" s="217"/>
      <c r="F201" s="217"/>
      <c r="G201" s="214"/>
      <c r="H201" s="217">
        <f t="shared" ref="H201:AM201" si="320">-H187-H186</f>
        <v>67</v>
      </c>
      <c r="I201" s="217">
        <f t="shared" si="320"/>
        <v>513</v>
      </c>
      <c r="J201" s="217">
        <f t="shared" si="320"/>
        <v>536</v>
      </c>
      <c r="K201" s="217">
        <f t="shared" si="320"/>
        <v>952</v>
      </c>
      <c r="L201" s="214">
        <f t="shared" si="320"/>
        <v>2068</v>
      </c>
      <c r="M201" s="217">
        <f t="shared" si="320"/>
        <v>183</v>
      </c>
      <c r="N201" s="217">
        <f t="shared" si="320"/>
        <v>615</v>
      </c>
      <c r="O201" s="217">
        <f t="shared" si="320"/>
        <v>674</v>
      </c>
      <c r="P201" s="217">
        <f t="shared" si="320"/>
        <v>1206</v>
      </c>
      <c r="Q201" s="214">
        <f t="shared" si="320"/>
        <v>2678</v>
      </c>
      <c r="R201" s="217">
        <f t="shared" si="320"/>
        <v>342</v>
      </c>
      <c r="S201" s="217">
        <f t="shared" si="320"/>
        <v>636</v>
      </c>
      <c r="T201" s="217">
        <f t="shared" si="320"/>
        <v>1046</v>
      </c>
      <c r="U201" s="217">
        <f t="shared" si="320"/>
        <v>1582</v>
      </c>
      <c r="V201" s="214">
        <f t="shared" si="320"/>
        <v>3606</v>
      </c>
      <c r="W201" s="217">
        <f t="shared" si="320"/>
        <v>1105</v>
      </c>
      <c r="X201" s="217">
        <f t="shared" si="320"/>
        <v>1100</v>
      </c>
      <c r="Y201" s="217">
        <f t="shared" si="320"/>
        <v>1076</v>
      </c>
      <c r="Z201" s="217">
        <f t="shared" si="320"/>
        <v>887</v>
      </c>
      <c r="AA201" s="214">
        <f t="shared" si="320"/>
        <v>4168</v>
      </c>
      <c r="AB201" s="217">
        <f t="shared" si="320"/>
        <v>756</v>
      </c>
      <c r="AC201" s="217">
        <f t="shared" si="320"/>
        <v>1632</v>
      </c>
      <c r="AD201" s="217">
        <f t="shared" si="320"/>
        <v>553</v>
      </c>
      <c r="AE201" s="217">
        <f t="shared" si="320"/>
        <v>1792</v>
      </c>
      <c r="AF201" s="214">
        <f t="shared" si="320"/>
        <v>4733</v>
      </c>
      <c r="AG201" s="217">
        <f t="shared" si="320"/>
        <v>509</v>
      </c>
      <c r="AH201" s="217">
        <f t="shared" si="320"/>
        <v>1410</v>
      </c>
      <c r="AI201" s="217">
        <f t="shared" si="320"/>
        <v>753</v>
      </c>
      <c r="AJ201" s="217">
        <f t="shared" si="320"/>
        <v>2655</v>
      </c>
      <c r="AK201" s="214">
        <f t="shared" si="320"/>
        <v>5327</v>
      </c>
      <c r="AL201" s="217">
        <f t="shared" si="320"/>
        <v>718</v>
      </c>
      <c r="AM201" s="217">
        <f t="shared" si="320"/>
        <v>1027</v>
      </c>
      <c r="AN201" s="217">
        <f t="shared" ref="AN201:BS201" si="321">-AN187-AN186</f>
        <v>1529</v>
      </c>
      <c r="AO201" s="217">
        <f t="shared" si="321"/>
        <v>1713</v>
      </c>
      <c r="AP201" s="214">
        <f t="shared" si="321"/>
        <v>4987</v>
      </c>
      <c r="AQ201" s="217">
        <f t="shared" si="321"/>
        <v>254</v>
      </c>
      <c r="AR201" s="217">
        <f t="shared" si="321"/>
        <v>1661</v>
      </c>
      <c r="AS201" s="217">
        <f t="shared" si="321"/>
        <v>928</v>
      </c>
      <c r="AT201" s="217">
        <f t="shared" si="321"/>
        <v>1757</v>
      </c>
      <c r="AU201" s="214">
        <f t="shared" si="321"/>
        <v>4600</v>
      </c>
      <c r="AV201" s="217">
        <f t="shared" si="321"/>
        <v>950</v>
      </c>
      <c r="AW201" s="217">
        <f t="shared" si="321"/>
        <v>953</v>
      </c>
      <c r="AX201" s="217">
        <f t="shared" si="321"/>
        <v>953</v>
      </c>
      <c r="AY201" s="217">
        <f t="shared" si="321"/>
        <v>2462</v>
      </c>
      <c r="AZ201" s="214">
        <f t="shared" si="321"/>
        <v>5318</v>
      </c>
      <c r="BA201" s="217">
        <f t="shared" si="321"/>
        <v>1017</v>
      </c>
      <c r="BB201" s="217">
        <f t="shared" si="321"/>
        <v>1015</v>
      </c>
      <c r="BC201" s="217">
        <f t="shared" si="321"/>
        <v>1005</v>
      </c>
      <c r="BD201" s="217">
        <f t="shared" si="321"/>
        <v>3992</v>
      </c>
      <c r="BE201" s="214">
        <f t="shared" si="321"/>
        <v>7029</v>
      </c>
      <c r="BF201" s="217">
        <f t="shared" si="321"/>
        <v>2194</v>
      </c>
      <c r="BG201" s="217">
        <f t="shared" si="321"/>
        <v>1320</v>
      </c>
      <c r="BH201" s="217">
        <f t="shared" si="321"/>
        <v>2253</v>
      </c>
      <c r="BI201" s="217">
        <f t="shared" si="321"/>
        <v>3046</v>
      </c>
      <c r="BJ201" s="430">
        <f t="shared" si="321"/>
        <v>8813</v>
      </c>
      <c r="BK201" s="434">
        <f t="shared" si="321"/>
        <v>1079</v>
      </c>
      <c r="BL201" s="434">
        <f t="shared" si="321"/>
        <v>2686</v>
      </c>
      <c r="BM201" s="434">
        <f t="shared" si="321"/>
        <v>2158</v>
      </c>
      <c r="BN201" s="434">
        <f t="shared" si="321"/>
        <v>3231</v>
      </c>
      <c r="BO201" s="430">
        <f t="shared" si="321"/>
        <v>9154</v>
      </c>
      <c r="BP201" s="434">
        <f t="shared" si="321"/>
        <v>1523</v>
      </c>
      <c r="BQ201" s="434">
        <f t="shared" si="321"/>
        <v>2704</v>
      </c>
      <c r="BR201" s="434">
        <f t="shared" si="321"/>
        <v>2159</v>
      </c>
      <c r="BS201" s="434">
        <f t="shared" si="321"/>
        <v>3415</v>
      </c>
      <c r="BT201" s="430">
        <f t="shared" ref="BT201:CY201" si="322">-BT187-BT186</f>
        <v>9801</v>
      </c>
      <c r="BU201" s="434">
        <f t="shared" si="322"/>
        <v>875</v>
      </c>
      <c r="BV201" s="434">
        <f t="shared" si="322"/>
        <v>2420</v>
      </c>
      <c r="BW201" s="434">
        <f t="shared" si="322"/>
        <v>2348</v>
      </c>
      <c r="BX201" s="434">
        <f t="shared" si="322"/>
        <v>3869</v>
      </c>
      <c r="BY201" s="430">
        <f t="shared" si="322"/>
        <v>9512</v>
      </c>
      <c r="BZ201" s="434">
        <f t="shared" si="322"/>
        <v>2095</v>
      </c>
      <c r="CA201" s="434">
        <f t="shared" si="322"/>
        <v>2080</v>
      </c>
      <c r="CB201" s="434">
        <f t="shared" si="322"/>
        <v>2104</v>
      </c>
      <c r="CC201" s="434">
        <f t="shared" si="322"/>
        <v>3026</v>
      </c>
      <c r="CD201" s="430">
        <f t="shared" si="322"/>
        <v>9305</v>
      </c>
      <c r="CE201" s="434">
        <f t="shared" si="322"/>
        <v>2244</v>
      </c>
      <c r="CF201" s="434">
        <f t="shared" si="322"/>
        <v>2929</v>
      </c>
      <c r="CG201" s="434">
        <f t="shared" si="322"/>
        <v>364</v>
      </c>
      <c r="CH201" s="434">
        <f t="shared" si="322"/>
        <v>4187</v>
      </c>
      <c r="CI201" s="430">
        <f t="shared" si="322"/>
        <v>9724</v>
      </c>
      <c r="CJ201" s="434">
        <f t="shared" si="322"/>
        <v>1304</v>
      </c>
      <c r="CK201" s="434">
        <f t="shared" si="322"/>
        <v>2492</v>
      </c>
      <c r="CL201" s="434">
        <f t="shared" si="322"/>
        <v>2498</v>
      </c>
      <c r="CM201" s="434">
        <f t="shared" si="322"/>
        <v>3708</v>
      </c>
      <c r="CN201" s="430">
        <f t="shared" si="322"/>
        <v>10002</v>
      </c>
      <c r="CO201" s="434">
        <f t="shared" si="322"/>
        <v>999</v>
      </c>
      <c r="CP201" s="434">
        <f t="shared" si="322"/>
        <v>2387.375</v>
      </c>
      <c r="CQ201" s="434">
        <f t="shared" si="322"/>
        <v>2390.9849999999997</v>
      </c>
      <c r="CR201" s="434">
        <f t="shared" si="322"/>
        <v>2257.4499999999998</v>
      </c>
      <c r="CS201" s="430">
        <f t="shared" si="322"/>
        <v>8034.8099999999995</v>
      </c>
      <c r="CT201" s="434">
        <f t="shared" si="322"/>
        <v>2558.9300000000003</v>
      </c>
      <c r="CU201" s="434">
        <f t="shared" si="322"/>
        <v>2582.7799999999997</v>
      </c>
      <c r="CV201" s="434">
        <f t="shared" si="322"/>
        <v>2606.63</v>
      </c>
      <c r="CW201" s="434">
        <f t="shared" si="322"/>
        <v>2630.48</v>
      </c>
      <c r="CX201" s="430">
        <f t="shared" si="322"/>
        <v>10378.82</v>
      </c>
      <c r="CY201" s="434">
        <f t="shared" si="322"/>
        <v>2803.1981249999999</v>
      </c>
      <c r="CZ201" s="434">
        <f t="shared" ref="CZ201:DM201" si="323">-CZ187-CZ186</f>
        <v>2827.0043750000004</v>
      </c>
      <c r="DA201" s="434">
        <f t="shared" si="323"/>
        <v>2850.8106250000001</v>
      </c>
      <c r="DB201" s="434">
        <f t="shared" si="323"/>
        <v>2874.6168750000002</v>
      </c>
      <c r="DC201" s="430">
        <f t="shared" si="323"/>
        <v>11355.630000000001</v>
      </c>
      <c r="DD201" s="434">
        <f t="shared" si="323"/>
        <v>3017.5337500000005</v>
      </c>
      <c r="DE201" s="434">
        <f t="shared" si="323"/>
        <v>3040.7912500000002</v>
      </c>
      <c r="DF201" s="434">
        <f t="shared" si="323"/>
        <v>3064.0487500000004</v>
      </c>
      <c r="DG201" s="434">
        <f t="shared" si="323"/>
        <v>3087.3062500000005</v>
      </c>
      <c r="DH201" s="430">
        <f t="shared" si="323"/>
        <v>12209.680000000002</v>
      </c>
      <c r="DI201" s="434">
        <f t="shared" si="323"/>
        <v>3226.5868750000004</v>
      </c>
      <c r="DJ201" s="434">
        <f t="shared" si="323"/>
        <v>3249.3306250000005</v>
      </c>
      <c r="DK201" s="434">
        <f t="shared" si="323"/>
        <v>3272.0743750000006</v>
      </c>
      <c r="DL201" s="434">
        <f t="shared" si="323"/>
        <v>3294.8181250000007</v>
      </c>
      <c r="DM201" s="430">
        <f t="shared" si="323"/>
        <v>13042.810000000001</v>
      </c>
      <c r="DN201" s="207"/>
    </row>
    <row r="202" spans="1:118" ht="15" x14ac:dyDescent="0.2">
      <c r="A202" s="223" t="s">
        <v>100</v>
      </c>
      <c r="C202" s="218"/>
      <c r="D202" s="218"/>
      <c r="E202" s="218"/>
      <c r="F202" s="218"/>
      <c r="G202" s="355"/>
      <c r="H202" s="218">
        <f t="shared" ref="H202:AM202" si="324">H201/H197</f>
        <v>0.11551724137931034</v>
      </c>
      <c r="I202" s="218">
        <f t="shared" si="324"/>
        <v>0.42678868552412647</v>
      </c>
      <c r="J202" s="218">
        <f t="shared" si="324"/>
        <v>0.72139973082099595</v>
      </c>
      <c r="K202" s="218">
        <f t="shared" si="324"/>
        <v>1.1666666666666667</v>
      </c>
      <c r="L202" s="355">
        <f t="shared" si="324"/>
        <v>0.61897635438491472</v>
      </c>
      <c r="M202" s="218">
        <f t="shared" si="324"/>
        <v>0.23282442748091603</v>
      </c>
      <c r="N202" s="218">
        <f t="shared" si="324"/>
        <v>0.61746987951807231</v>
      </c>
      <c r="O202" s="218">
        <f t="shared" si="324"/>
        <v>0.64745437079731027</v>
      </c>
      <c r="P202" s="218">
        <f t="shared" si="324"/>
        <v>1.1292134831460674</v>
      </c>
      <c r="Q202" s="355">
        <f t="shared" si="324"/>
        <v>0.68825494731431514</v>
      </c>
      <c r="R202" s="218">
        <f t="shared" si="324"/>
        <v>0.84653465346534651</v>
      </c>
      <c r="S202" s="218">
        <f t="shared" si="324"/>
        <v>0.47891566265060243</v>
      </c>
      <c r="T202" s="218">
        <f t="shared" si="324"/>
        <v>0.57346491228070173</v>
      </c>
      <c r="U202" s="218">
        <f t="shared" si="324"/>
        <v>1.4540441176470589</v>
      </c>
      <c r="V202" s="355">
        <f t="shared" si="324"/>
        <v>0.77648578811369506</v>
      </c>
      <c r="W202" s="218">
        <f t="shared" si="324"/>
        <v>1.1161616161616161</v>
      </c>
      <c r="X202" s="218">
        <f t="shared" si="324"/>
        <v>0.68153655514250311</v>
      </c>
      <c r="Y202" s="218">
        <f t="shared" si="324"/>
        <v>0.73396998635743516</v>
      </c>
      <c r="Z202" s="218">
        <f t="shared" si="324"/>
        <v>0.77602799650043741</v>
      </c>
      <c r="AA202" s="355">
        <f t="shared" si="324"/>
        <v>0.79953961250719352</v>
      </c>
      <c r="AB202" s="218">
        <f t="shared" si="324"/>
        <v>0.62634631317315659</v>
      </c>
      <c r="AC202" s="218">
        <f t="shared" si="324"/>
        <v>0.83649410558687853</v>
      </c>
      <c r="AD202" s="218">
        <f t="shared" si="324"/>
        <v>0.37139019476158497</v>
      </c>
      <c r="AE202" s="218">
        <f t="shared" si="324"/>
        <v>2.0433295324971494</v>
      </c>
      <c r="AF202" s="355">
        <f t="shared" si="324"/>
        <v>0.85680666183924692</v>
      </c>
      <c r="AG202" s="218">
        <f t="shared" si="324"/>
        <v>1.1286031042128604</v>
      </c>
      <c r="AH202" s="218">
        <f t="shared" si="324"/>
        <v>0.83679525222551931</v>
      </c>
      <c r="AI202" s="218">
        <f t="shared" si="324"/>
        <v>0.48959687906371913</v>
      </c>
      <c r="AJ202" s="218">
        <f t="shared" si="324"/>
        <v>3.0308219178082192</v>
      </c>
      <c r="AK202" s="355">
        <f t="shared" si="324"/>
        <v>1.1707692307692308</v>
      </c>
      <c r="AL202" s="218">
        <f t="shared" si="324"/>
        <v>1.1986644407345577</v>
      </c>
      <c r="AM202" s="218">
        <f t="shared" si="324"/>
        <v>0.53322949117341645</v>
      </c>
      <c r="AN202" s="218">
        <f t="shared" ref="AN202:BS202" si="325">AN201/AN197</f>
        <v>0.83052688756110804</v>
      </c>
      <c r="AO202" s="218">
        <f t="shared" si="325"/>
        <v>1.5079225352112675</v>
      </c>
      <c r="AP202" s="355">
        <f t="shared" si="325"/>
        <v>0.90639767357324608</v>
      </c>
      <c r="AQ202" s="218">
        <f t="shared" si="325"/>
        <v>0.34604904632152589</v>
      </c>
      <c r="AR202" s="218">
        <f t="shared" si="325"/>
        <v>1.0459697732997482</v>
      </c>
      <c r="AS202" s="218">
        <f t="shared" si="325"/>
        <v>0.46963562753036436</v>
      </c>
      <c r="AT202" s="218">
        <f t="shared" si="325"/>
        <v>1.3463601532567049</v>
      </c>
      <c r="AU202" s="355">
        <f t="shared" si="325"/>
        <v>0.82098875602355881</v>
      </c>
      <c r="AV202" s="218">
        <f t="shared" si="325"/>
        <v>2.3399014778325125</v>
      </c>
      <c r="AW202" s="218">
        <f t="shared" si="325"/>
        <v>0.4187170474516696</v>
      </c>
      <c r="AX202" s="218">
        <f t="shared" si="325"/>
        <v>0.43535861123800823</v>
      </c>
      <c r="AY202" s="218">
        <f t="shared" si="325"/>
        <v>1.8623298033282905</v>
      </c>
      <c r="AZ202" s="355">
        <f t="shared" si="325"/>
        <v>0.85871144840949454</v>
      </c>
      <c r="BA202" s="218">
        <f t="shared" si="325"/>
        <v>1.090032154340836</v>
      </c>
      <c r="BB202" s="218">
        <f t="shared" si="325"/>
        <v>0.40861513687600642</v>
      </c>
      <c r="BC202" s="218">
        <f t="shared" si="325"/>
        <v>0.40655339805825241</v>
      </c>
      <c r="BD202" s="218">
        <f t="shared" si="325"/>
        <v>2.795518207282913</v>
      </c>
      <c r="BE202" s="355">
        <f t="shared" si="325"/>
        <v>0.96063960639606394</v>
      </c>
      <c r="BF202" s="218">
        <f t="shared" si="325"/>
        <v>-16.748091603053435</v>
      </c>
      <c r="BG202" s="218">
        <f t="shared" si="325"/>
        <v>0.5110336817653891</v>
      </c>
      <c r="BH202" s="218">
        <f t="shared" si="325"/>
        <v>0.92601726263871764</v>
      </c>
      <c r="BI202" s="218">
        <f t="shared" si="325"/>
        <v>1.8250449370880768</v>
      </c>
      <c r="BJ202" s="581">
        <f t="shared" si="325"/>
        <v>1.3446750076289289</v>
      </c>
      <c r="BK202" s="436">
        <f t="shared" si="325"/>
        <v>-10.8989898989899</v>
      </c>
      <c r="BL202" s="436">
        <f t="shared" si="325"/>
        <v>0.90376850605652759</v>
      </c>
      <c r="BM202" s="436">
        <f t="shared" si="325"/>
        <v>0.72029372496662214</v>
      </c>
      <c r="BN202" s="436">
        <f t="shared" si="325"/>
        <v>1.6187374749498997</v>
      </c>
      <c r="BO202" s="581">
        <f t="shared" si="325"/>
        <v>1.1638906547997456</v>
      </c>
      <c r="BP202" s="436">
        <f t="shared" si="325"/>
        <v>-76.150000000000006</v>
      </c>
      <c r="BQ202" s="436">
        <f t="shared" si="325"/>
        <v>0.93016855865153081</v>
      </c>
      <c r="BR202" s="436">
        <f t="shared" si="325"/>
        <v>0.6746875</v>
      </c>
      <c r="BS202" s="436">
        <f t="shared" si="325"/>
        <v>1.7926509186351707</v>
      </c>
      <c r="BT202" s="581">
        <f t="shared" ref="BT202:CY202" si="326">BT201/BT197</f>
        <v>1.2263513513513513</v>
      </c>
      <c r="BU202" s="436">
        <f t="shared" si="326"/>
        <v>1.4181523500810373</v>
      </c>
      <c r="BV202" s="436">
        <f t="shared" si="326"/>
        <v>0.85724406659582009</v>
      </c>
      <c r="BW202" s="436">
        <f t="shared" si="326"/>
        <v>0.80383430332078054</v>
      </c>
      <c r="BX202" s="436">
        <f t="shared" si="326"/>
        <v>2.0936147186147185</v>
      </c>
      <c r="BY202" s="581">
        <f t="shared" si="326"/>
        <v>1.158728225118772</v>
      </c>
      <c r="BZ202" s="436">
        <f t="shared" si="326"/>
        <v>1.9801512287334593</v>
      </c>
      <c r="CA202" s="436">
        <f t="shared" si="326"/>
        <v>0.70604209097080783</v>
      </c>
      <c r="CB202" s="436">
        <f t="shared" si="326"/>
        <v>0.77466863033873345</v>
      </c>
      <c r="CC202" s="436">
        <f t="shared" si="326"/>
        <v>2.4111553784860558</v>
      </c>
      <c r="CD202" s="581">
        <f t="shared" si="326"/>
        <v>1.1667711598746082</v>
      </c>
      <c r="CE202" s="436">
        <f t="shared" si="326"/>
        <v>33</v>
      </c>
      <c r="CF202" s="436">
        <f t="shared" si="326"/>
        <v>1.0982377202849645</v>
      </c>
      <c r="CG202" s="436">
        <f t="shared" si="326"/>
        <v>0.14997939843428101</v>
      </c>
      <c r="CH202" s="436">
        <f t="shared" si="326"/>
        <v>3.0517492711370262</v>
      </c>
      <c r="CI202" s="581">
        <f t="shared" si="326"/>
        <v>1.4882154882154883</v>
      </c>
      <c r="CJ202" s="436">
        <f t="shared" si="326"/>
        <v>3.7687861271676302</v>
      </c>
      <c r="CK202" s="436">
        <f t="shared" si="326"/>
        <v>1.1260732037957524</v>
      </c>
      <c r="CL202" s="835">
        <f t="shared" si="326"/>
        <v>1.1538106235565819</v>
      </c>
      <c r="CM202" s="436">
        <f t="shared" si="326"/>
        <v>6.2214765100671139</v>
      </c>
      <c r="CN202" s="581">
        <f t="shared" si="326"/>
        <v>1.8800751879699249</v>
      </c>
      <c r="CO202" s="436">
        <f t="shared" si="326"/>
        <v>2.9469026548672566</v>
      </c>
      <c r="CP202" s="436">
        <f t="shared" ca="1" si="326"/>
        <v>0.8683043807681865</v>
      </c>
      <c r="CQ202" s="436">
        <f t="shared" ca="1" si="326"/>
        <v>0.92941044509967097</v>
      </c>
      <c r="CR202" s="436">
        <f t="shared" ca="1" si="326"/>
        <v>2.2775313706387657</v>
      </c>
      <c r="CS202" s="581">
        <f t="shared" ca="1" si="326"/>
        <v>1.2078364975976297</v>
      </c>
      <c r="CT202" s="436">
        <f t="shared" ca="1" si="326"/>
        <v>1.738006188342174</v>
      </c>
      <c r="CU202" s="436">
        <f t="shared" ca="1" si="326"/>
        <v>0.85773712172137673</v>
      </c>
      <c r="CV202" s="436">
        <f t="shared" ca="1" si="326"/>
        <v>0.87493412268288429</v>
      </c>
      <c r="CW202" s="436">
        <f t="shared" ca="1" si="326"/>
        <v>1.8832289267865994</v>
      </c>
      <c r="CX202" s="581">
        <f t="shared" ca="1" si="326"/>
        <v>1.171488547090479</v>
      </c>
      <c r="CY202" s="436">
        <f t="shared" ca="1" si="326"/>
        <v>1.8596119182092281</v>
      </c>
      <c r="CZ202" s="436">
        <f t="shared" ref="CZ202:DM202" ca="1" si="327">CZ201/CZ197</f>
        <v>0.9163519805219853</v>
      </c>
      <c r="DA202" s="436">
        <f t="shared" ca="1" si="327"/>
        <v>0.87940826862388655</v>
      </c>
      <c r="DB202" s="436">
        <f t="shared" ca="1" si="327"/>
        <v>1.7251206777284829</v>
      </c>
      <c r="DC202" s="581">
        <f t="shared" ca="1" si="327"/>
        <v>1.1952615986714841</v>
      </c>
      <c r="DD202" s="436">
        <f t="shared" ca="1" si="327"/>
        <v>1.9846708700188367</v>
      </c>
      <c r="DE202" s="436">
        <f t="shared" ca="1" si="327"/>
        <v>0.9646070283350785</v>
      </c>
      <c r="DF202" s="436">
        <f t="shared" ca="1" si="327"/>
        <v>0.87356818699595074</v>
      </c>
      <c r="DG202" s="436">
        <f t="shared" ca="1" si="327"/>
        <v>1.5882055258671126</v>
      </c>
      <c r="DH202" s="581">
        <f t="shared" ca="1" si="327"/>
        <v>1.2059909866625427</v>
      </c>
      <c r="DI202" s="436">
        <f t="shared" ca="1" si="327"/>
        <v>2.0987016297231804</v>
      </c>
      <c r="DJ202" s="436">
        <f t="shared" ca="1" si="327"/>
        <v>1.011985482851574</v>
      </c>
      <c r="DK202" s="436">
        <f t="shared" ca="1" si="327"/>
        <v>0.86710585569067078</v>
      </c>
      <c r="DL202" s="436">
        <f t="shared" ca="1" si="327"/>
        <v>1.4822780190619833</v>
      </c>
      <c r="DM202" s="581">
        <f t="shared" ca="1" si="327"/>
        <v>1.2138907126757292</v>
      </c>
      <c r="DN202" s="207"/>
    </row>
    <row r="203" spans="1:118" x14ac:dyDescent="0.2">
      <c r="A203" s="220"/>
      <c r="B203" s="220"/>
      <c r="C203" s="220"/>
      <c r="D203" s="220"/>
      <c r="E203" s="220"/>
      <c r="F203" s="220"/>
      <c r="G203" s="220"/>
      <c r="H203" s="220"/>
      <c r="I203" s="220"/>
      <c r="J203" s="220"/>
      <c r="K203" s="220"/>
      <c r="L203" s="220"/>
      <c r="M203" s="220"/>
      <c r="N203" s="220"/>
      <c r="O203" s="220"/>
      <c r="P203" s="220"/>
      <c r="Q203" s="220"/>
      <c r="R203" s="220"/>
      <c r="S203" s="220"/>
      <c r="T203" s="220"/>
      <c r="U203" s="220"/>
      <c r="V203" s="220"/>
      <c r="W203" s="220"/>
      <c r="X203" s="220"/>
      <c r="Y203" s="220"/>
      <c r="Z203" s="220"/>
      <c r="AA203" s="220"/>
      <c r="AB203" s="220"/>
      <c r="AC203" s="220"/>
      <c r="AD203" s="220"/>
      <c r="AE203" s="220"/>
      <c r="AF203" s="220"/>
      <c r="AG203" s="220"/>
      <c r="AH203" s="220"/>
      <c r="AI203" s="220"/>
      <c r="AJ203" s="220"/>
      <c r="AK203" s="220"/>
      <c r="AL203" s="220"/>
      <c r="AM203" s="220"/>
      <c r="AN203" s="220"/>
      <c r="AO203" s="220"/>
      <c r="AP203" s="220"/>
      <c r="AQ203" s="220"/>
      <c r="AR203" s="220"/>
      <c r="AS203" s="220"/>
      <c r="AT203" s="220"/>
      <c r="AU203" s="220"/>
      <c r="AV203" s="220"/>
      <c r="AW203" s="220"/>
      <c r="AX203" s="220"/>
      <c r="AY203" s="220"/>
      <c r="AZ203" s="220"/>
      <c r="BA203" s="220"/>
      <c r="BB203" s="220"/>
      <c r="BC203" s="220"/>
      <c r="BD203" s="220"/>
      <c r="BE203" s="327"/>
      <c r="BF203" s="327"/>
      <c r="BG203" s="327"/>
      <c r="BH203" s="327"/>
      <c r="BI203" s="327"/>
      <c r="BJ203" s="327"/>
      <c r="BK203" s="220"/>
      <c r="BL203" s="220"/>
      <c r="BM203" s="220"/>
      <c r="BN203" s="220"/>
      <c r="BO203" s="220"/>
      <c r="BP203" s="220"/>
      <c r="BQ203" s="220"/>
      <c r="BR203" s="220"/>
      <c r="BS203" s="220"/>
      <c r="BT203" s="220"/>
      <c r="BU203" s="220"/>
      <c r="BV203" s="220"/>
      <c r="BW203" s="220"/>
      <c r="BX203" s="220"/>
      <c r="BY203" s="220"/>
      <c r="BZ203" s="220"/>
      <c r="CA203" s="220"/>
      <c r="CB203" s="220"/>
      <c r="CC203" s="220"/>
      <c r="CD203" s="220"/>
      <c r="CE203" s="220"/>
      <c r="CF203" s="220"/>
      <c r="CG203" s="220"/>
      <c r="CH203" s="220"/>
      <c r="CI203" s="220"/>
      <c r="CJ203" s="220"/>
      <c r="CK203" s="220"/>
      <c r="CL203" s="220"/>
      <c r="CM203" s="220"/>
      <c r="CN203" s="220"/>
      <c r="CO203" s="220"/>
      <c r="CP203" s="220"/>
      <c r="CQ203" s="220"/>
      <c r="CR203" s="220"/>
      <c r="CS203" s="220"/>
      <c r="CT203" s="220"/>
      <c r="CU203" s="220"/>
      <c r="CV203" s="220"/>
      <c r="CW203" s="220"/>
      <c r="CX203" s="220"/>
      <c r="CY203" s="220"/>
      <c r="CZ203" s="220"/>
      <c r="DA203" s="220"/>
      <c r="DB203" s="220"/>
      <c r="DC203" s="220"/>
      <c r="DD203" s="220"/>
      <c r="DE203" s="220"/>
      <c r="DF203" s="220"/>
      <c r="DG203" s="220"/>
      <c r="DH203" s="220"/>
      <c r="DI203" s="220"/>
      <c r="DJ203" s="220"/>
      <c r="DK203" s="220"/>
      <c r="DL203" s="220"/>
      <c r="DM203" s="220"/>
      <c r="DN203" s="220"/>
    </row>
    <row r="204" spans="1:118" ht="15.75" x14ac:dyDescent="0.25">
      <c r="A204" s="346" t="s">
        <v>101</v>
      </c>
      <c r="B204" s="356"/>
      <c r="C204" s="202"/>
      <c r="D204" s="202"/>
      <c r="E204" s="202"/>
      <c r="F204" s="202"/>
      <c r="G204" s="203" t="str">
        <f t="shared" ref="G204:AL204" si="328">G4</f>
        <v>FY2000</v>
      </c>
      <c r="H204" s="202">
        <f t="shared" si="328"/>
        <v>36981</v>
      </c>
      <c r="I204" s="202">
        <f t="shared" si="328"/>
        <v>37051</v>
      </c>
      <c r="J204" s="202">
        <f t="shared" si="328"/>
        <v>37143</v>
      </c>
      <c r="K204" s="202">
        <f t="shared" si="328"/>
        <v>37234</v>
      </c>
      <c r="L204" s="203" t="str">
        <f t="shared" si="328"/>
        <v>FY2001</v>
      </c>
      <c r="M204" s="202">
        <f t="shared" si="328"/>
        <v>37346</v>
      </c>
      <c r="N204" s="202">
        <f t="shared" si="328"/>
        <v>37416</v>
      </c>
      <c r="O204" s="202">
        <f t="shared" si="328"/>
        <v>37508</v>
      </c>
      <c r="P204" s="202">
        <f t="shared" si="328"/>
        <v>37599</v>
      </c>
      <c r="Q204" s="203" t="str">
        <f t="shared" si="328"/>
        <v>FY2002</v>
      </c>
      <c r="R204" s="202">
        <f t="shared" si="328"/>
        <v>37711</v>
      </c>
      <c r="S204" s="202">
        <f t="shared" si="328"/>
        <v>37781</v>
      </c>
      <c r="T204" s="202">
        <f t="shared" si="328"/>
        <v>37873</v>
      </c>
      <c r="U204" s="202">
        <f t="shared" si="328"/>
        <v>37964</v>
      </c>
      <c r="V204" s="203" t="str">
        <f t="shared" si="328"/>
        <v>FY2003</v>
      </c>
      <c r="W204" s="202">
        <f t="shared" si="328"/>
        <v>38077</v>
      </c>
      <c r="X204" s="202">
        <f t="shared" si="328"/>
        <v>38147</v>
      </c>
      <c r="Y204" s="202">
        <f t="shared" si="328"/>
        <v>38239</v>
      </c>
      <c r="Z204" s="202">
        <f t="shared" si="328"/>
        <v>38330</v>
      </c>
      <c r="AA204" s="203" t="str">
        <f t="shared" si="328"/>
        <v>FY2004</v>
      </c>
      <c r="AB204" s="202">
        <f t="shared" si="328"/>
        <v>38442</v>
      </c>
      <c r="AC204" s="202">
        <f t="shared" si="328"/>
        <v>38512</v>
      </c>
      <c r="AD204" s="202">
        <f t="shared" si="328"/>
        <v>38604</v>
      </c>
      <c r="AE204" s="202">
        <f t="shared" si="328"/>
        <v>38695</v>
      </c>
      <c r="AF204" s="203" t="str">
        <f t="shared" si="328"/>
        <v>FY2005</v>
      </c>
      <c r="AG204" s="202">
        <f t="shared" si="328"/>
        <v>38807</v>
      </c>
      <c r="AH204" s="202">
        <f t="shared" si="328"/>
        <v>38877</v>
      </c>
      <c r="AI204" s="202">
        <f t="shared" si="328"/>
        <v>38969</v>
      </c>
      <c r="AJ204" s="202">
        <f t="shared" si="328"/>
        <v>39060</v>
      </c>
      <c r="AK204" s="203" t="str">
        <f t="shared" si="328"/>
        <v>FY2006</v>
      </c>
      <c r="AL204" s="202">
        <f t="shared" si="328"/>
        <v>39172</v>
      </c>
      <c r="AM204" s="202">
        <f t="shared" ref="AM204:BR204" si="329">AM4</f>
        <v>39242</v>
      </c>
      <c r="AN204" s="202">
        <f t="shared" si="329"/>
        <v>39334</v>
      </c>
      <c r="AO204" s="202">
        <f t="shared" si="329"/>
        <v>39425</v>
      </c>
      <c r="AP204" s="203" t="str">
        <f t="shared" si="329"/>
        <v>FY2007</v>
      </c>
      <c r="AQ204" s="202">
        <f t="shared" si="329"/>
        <v>39538</v>
      </c>
      <c r="AR204" s="202">
        <f t="shared" si="329"/>
        <v>39608</v>
      </c>
      <c r="AS204" s="202">
        <f t="shared" si="329"/>
        <v>39700</v>
      </c>
      <c r="AT204" s="202">
        <f t="shared" si="329"/>
        <v>39791</v>
      </c>
      <c r="AU204" s="203" t="str">
        <f t="shared" si="329"/>
        <v>FY2008</v>
      </c>
      <c r="AV204" s="202">
        <f t="shared" si="329"/>
        <v>39903</v>
      </c>
      <c r="AW204" s="202">
        <f t="shared" si="329"/>
        <v>39973</v>
      </c>
      <c r="AX204" s="202">
        <f t="shared" si="329"/>
        <v>40065</v>
      </c>
      <c r="AY204" s="202">
        <f t="shared" si="329"/>
        <v>40156</v>
      </c>
      <c r="AZ204" s="203" t="str">
        <f t="shared" si="329"/>
        <v>FY2009</v>
      </c>
      <c r="BA204" s="202">
        <f t="shared" si="329"/>
        <v>40247</v>
      </c>
      <c r="BB204" s="202">
        <f t="shared" si="329"/>
        <v>40339</v>
      </c>
      <c r="BC204" s="202">
        <f t="shared" si="329"/>
        <v>40431</v>
      </c>
      <c r="BD204" s="202">
        <f t="shared" si="329"/>
        <v>40522</v>
      </c>
      <c r="BE204" s="203" t="str">
        <f t="shared" si="329"/>
        <v>FY2010</v>
      </c>
      <c r="BF204" s="202">
        <f t="shared" si="329"/>
        <v>40613</v>
      </c>
      <c r="BG204" s="202">
        <f t="shared" si="329"/>
        <v>40705</v>
      </c>
      <c r="BH204" s="202">
        <f t="shared" si="329"/>
        <v>40797</v>
      </c>
      <c r="BI204" s="202">
        <f t="shared" si="329"/>
        <v>40888</v>
      </c>
      <c r="BJ204" s="416" t="str">
        <f t="shared" si="329"/>
        <v>FY2011</v>
      </c>
      <c r="BK204" s="414">
        <f t="shared" si="329"/>
        <v>40980</v>
      </c>
      <c r="BL204" s="414">
        <f t="shared" si="329"/>
        <v>41072</v>
      </c>
      <c r="BM204" s="414">
        <f t="shared" si="329"/>
        <v>41164</v>
      </c>
      <c r="BN204" s="414">
        <f t="shared" si="329"/>
        <v>41274</v>
      </c>
      <c r="BO204" s="416" t="str">
        <f t="shared" si="329"/>
        <v>FY2012</v>
      </c>
      <c r="BP204" s="414">
        <f t="shared" si="329"/>
        <v>41346</v>
      </c>
      <c r="BQ204" s="414">
        <f t="shared" si="329"/>
        <v>41438</v>
      </c>
      <c r="BR204" s="414">
        <f t="shared" si="329"/>
        <v>41530</v>
      </c>
      <c r="BS204" s="414">
        <f t="shared" ref="BS204:CX204" si="330">BS4</f>
        <v>41621</v>
      </c>
      <c r="BT204" s="416" t="str">
        <f t="shared" si="330"/>
        <v>FY2013</v>
      </c>
      <c r="BU204" s="414">
        <f t="shared" si="330"/>
        <v>41712</v>
      </c>
      <c r="BV204" s="414">
        <f t="shared" si="330"/>
        <v>41804</v>
      </c>
      <c r="BW204" s="414">
        <f t="shared" si="330"/>
        <v>41896</v>
      </c>
      <c r="BX204" s="414">
        <f t="shared" si="330"/>
        <v>41987</v>
      </c>
      <c r="BY204" s="416" t="str">
        <f t="shared" si="330"/>
        <v>FY2014</v>
      </c>
      <c r="BZ204" s="414">
        <f t="shared" si="330"/>
        <v>42078</v>
      </c>
      <c r="CA204" s="414">
        <f t="shared" si="330"/>
        <v>42170</v>
      </c>
      <c r="CB204" s="414">
        <f t="shared" si="330"/>
        <v>42262</v>
      </c>
      <c r="CC204" s="414">
        <f t="shared" si="330"/>
        <v>42353</v>
      </c>
      <c r="CD204" s="416" t="str">
        <f t="shared" si="330"/>
        <v>FY2015</v>
      </c>
      <c r="CE204" s="414">
        <f t="shared" si="330"/>
        <v>42445</v>
      </c>
      <c r="CF204" s="414">
        <f t="shared" si="330"/>
        <v>42537</v>
      </c>
      <c r="CG204" s="414">
        <f t="shared" si="330"/>
        <v>42629</v>
      </c>
      <c r="CH204" s="414">
        <f t="shared" si="330"/>
        <v>42720</v>
      </c>
      <c r="CI204" s="416" t="str">
        <f t="shared" si="330"/>
        <v>FY2016</v>
      </c>
      <c r="CJ204" s="414">
        <f t="shared" si="330"/>
        <v>42811</v>
      </c>
      <c r="CK204" s="414">
        <f t="shared" si="330"/>
        <v>42903</v>
      </c>
      <c r="CL204" s="414">
        <f t="shared" si="330"/>
        <v>42995</v>
      </c>
      <c r="CM204" s="414">
        <f t="shared" si="330"/>
        <v>43086</v>
      </c>
      <c r="CN204" s="416" t="str">
        <f t="shared" si="330"/>
        <v>FY2017</v>
      </c>
      <c r="CO204" s="414">
        <f t="shared" si="330"/>
        <v>43177</v>
      </c>
      <c r="CP204" s="414" t="str">
        <f t="shared" si="330"/>
        <v>Jun-18 E</v>
      </c>
      <c r="CQ204" s="414" t="str">
        <f t="shared" si="330"/>
        <v>Sep-18 E</v>
      </c>
      <c r="CR204" s="414" t="str">
        <f t="shared" si="330"/>
        <v>Dec-18 E</v>
      </c>
      <c r="CS204" s="416" t="str">
        <f t="shared" si="330"/>
        <v>FY2018E</v>
      </c>
      <c r="CT204" s="414" t="str">
        <f t="shared" si="330"/>
        <v>Mar-19 E</v>
      </c>
      <c r="CU204" s="414" t="str">
        <f t="shared" si="330"/>
        <v>Jun-19 E</v>
      </c>
      <c r="CV204" s="414" t="str">
        <f t="shared" si="330"/>
        <v>Sep-19 E</v>
      </c>
      <c r="CW204" s="414" t="str">
        <f t="shared" si="330"/>
        <v>Dec-19 E</v>
      </c>
      <c r="CX204" s="416" t="str">
        <f t="shared" si="330"/>
        <v>FY2019E</v>
      </c>
      <c r="CY204" s="414" t="str">
        <f t="shared" ref="CY204:DM204" si="331">CY4</f>
        <v>Mar-20 E</v>
      </c>
      <c r="CZ204" s="414" t="str">
        <f t="shared" si="331"/>
        <v>Jun-20 E</v>
      </c>
      <c r="DA204" s="414" t="str">
        <f t="shared" si="331"/>
        <v>Sep-20 E</v>
      </c>
      <c r="DB204" s="414" t="str">
        <f t="shared" si="331"/>
        <v>Dec-20 E</v>
      </c>
      <c r="DC204" s="416" t="str">
        <f t="shared" si="331"/>
        <v>FY2020E</v>
      </c>
      <c r="DD204" s="414" t="str">
        <f t="shared" si="331"/>
        <v>Mar-21 E</v>
      </c>
      <c r="DE204" s="414" t="str">
        <f t="shared" si="331"/>
        <v>Jun-21 E</v>
      </c>
      <c r="DF204" s="414" t="str">
        <f t="shared" si="331"/>
        <v>Sep-21 E</v>
      </c>
      <c r="DG204" s="414" t="str">
        <f t="shared" si="331"/>
        <v>Dec-21 E</v>
      </c>
      <c r="DH204" s="416" t="str">
        <f t="shared" si="331"/>
        <v>FY2021E</v>
      </c>
      <c r="DI204" s="414" t="str">
        <f t="shared" si="331"/>
        <v>Mar-22 E</v>
      </c>
      <c r="DJ204" s="414" t="str">
        <f t="shared" si="331"/>
        <v>Jun-22 E</v>
      </c>
      <c r="DK204" s="414" t="str">
        <f t="shared" si="331"/>
        <v>Sep-22 E</v>
      </c>
      <c r="DL204" s="414" t="str">
        <f t="shared" si="331"/>
        <v>Dec-22 E</v>
      </c>
      <c r="DM204" s="416" t="str">
        <f t="shared" si="331"/>
        <v>FY2022E</v>
      </c>
      <c r="DN204" s="207"/>
    </row>
    <row r="205" spans="1:118" ht="15" x14ac:dyDescent="0.2">
      <c r="A205" s="223" t="s">
        <v>102</v>
      </c>
      <c r="C205" s="218"/>
      <c r="D205" s="218"/>
      <c r="E205" s="218"/>
      <c r="F205" s="218"/>
      <c r="G205" s="209"/>
      <c r="H205" s="218">
        <f t="shared" ref="H205:AM205" si="332">-H9/H5</f>
        <v>0.33973225562010606</v>
      </c>
      <c r="I205" s="218">
        <f t="shared" si="332"/>
        <v>0.33935095637223295</v>
      </c>
      <c r="J205" s="218">
        <f t="shared" si="332"/>
        <v>0.36038338658146962</v>
      </c>
      <c r="K205" s="218">
        <f t="shared" si="332"/>
        <v>0.33695139216611608</v>
      </c>
      <c r="L205" s="209">
        <f t="shared" si="332"/>
        <v>0.34448560843545167</v>
      </c>
      <c r="M205" s="218">
        <f t="shared" si="332"/>
        <v>0.34175042902672226</v>
      </c>
      <c r="N205" s="218">
        <f t="shared" si="332"/>
        <v>0.35897913561847988</v>
      </c>
      <c r="O205" s="218">
        <f t="shared" si="332"/>
        <v>0.39139421270199171</v>
      </c>
      <c r="P205" s="218">
        <f t="shared" si="332"/>
        <v>0.35474452554744523</v>
      </c>
      <c r="Q205" s="209">
        <f t="shared" si="332"/>
        <v>0.36316704150480472</v>
      </c>
      <c r="R205" s="218">
        <f t="shared" si="332"/>
        <v>0.37505617977528088</v>
      </c>
      <c r="S205" s="218">
        <f t="shared" si="332"/>
        <v>0.37652681890600104</v>
      </c>
      <c r="T205" s="218">
        <f t="shared" si="332"/>
        <v>0.38412473423104182</v>
      </c>
      <c r="U205" s="218">
        <f t="shared" si="332"/>
        <v>0.36175205318732889</v>
      </c>
      <c r="V205" s="209">
        <f t="shared" si="332"/>
        <v>0.37464640168768282</v>
      </c>
      <c r="W205" s="218">
        <f t="shared" si="332"/>
        <v>0.34864757358790771</v>
      </c>
      <c r="X205" s="218">
        <f t="shared" si="332"/>
        <v>0.34477510990869126</v>
      </c>
      <c r="Y205" s="218">
        <f t="shared" si="332"/>
        <v>0.36669049320943531</v>
      </c>
      <c r="Z205" s="218">
        <f t="shared" si="332"/>
        <v>0.34838585703305147</v>
      </c>
      <c r="AA205" s="209">
        <f t="shared" si="332"/>
        <v>0.35217551283230614</v>
      </c>
      <c r="AB205" s="218">
        <f t="shared" si="332"/>
        <v>0.34921244717633498</v>
      </c>
      <c r="AC205" s="218">
        <f t="shared" si="332"/>
        <v>0.3467511885895404</v>
      </c>
      <c r="AD205" s="218">
        <f t="shared" si="332"/>
        <v>0.37021699519628953</v>
      </c>
      <c r="AE205" s="218">
        <f t="shared" si="332"/>
        <v>0.3604755899837867</v>
      </c>
      <c r="AF205" s="209">
        <f t="shared" si="332"/>
        <v>0.35673476454293629</v>
      </c>
      <c r="AG205" s="218">
        <f t="shared" si="332"/>
        <v>0.33027171833141983</v>
      </c>
      <c r="AH205" s="218">
        <f t="shared" si="332"/>
        <v>0.32581840642371834</v>
      </c>
      <c r="AI205" s="218">
        <f t="shared" si="332"/>
        <v>0.35094515029439105</v>
      </c>
      <c r="AJ205" s="218">
        <f t="shared" si="332"/>
        <v>0.34710047201618344</v>
      </c>
      <c r="AK205" s="209">
        <f t="shared" si="332"/>
        <v>0.33875788774493526</v>
      </c>
      <c r="AL205" s="218">
        <f t="shared" si="332"/>
        <v>0.35081107651974441</v>
      </c>
      <c r="AM205" s="218">
        <f t="shared" si="332"/>
        <v>0.35303245829561619</v>
      </c>
      <c r="AN205" s="218">
        <f t="shared" ref="AN205:BS205" si="333">-AN9/AN5</f>
        <v>0.37464239271781535</v>
      </c>
      <c r="AO205" s="218">
        <f t="shared" si="333"/>
        <v>0.36025098895102986</v>
      </c>
      <c r="AP205" s="209">
        <f t="shared" si="333"/>
        <v>0.36015524829330836</v>
      </c>
      <c r="AQ205" s="218">
        <f t="shared" si="333"/>
        <v>0.3556037403442201</v>
      </c>
      <c r="AR205" s="218">
        <f t="shared" si="333"/>
        <v>0.34954676099933674</v>
      </c>
      <c r="AS205" s="218">
        <f t="shared" si="333"/>
        <v>0.35982366257595616</v>
      </c>
      <c r="AT205" s="218">
        <f t="shared" si="333"/>
        <v>0.36037047431939379</v>
      </c>
      <c r="AU205" s="209">
        <f t="shared" si="333"/>
        <v>0.35606060606060608</v>
      </c>
      <c r="AV205" s="218">
        <f t="shared" si="333"/>
        <v>0.36127772353187332</v>
      </c>
      <c r="AW205" s="218">
        <f t="shared" si="333"/>
        <v>0.3523648239990323</v>
      </c>
      <c r="AX205" s="218">
        <f t="shared" si="333"/>
        <v>0.36474390850323224</v>
      </c>
      <c r="AY205" s="218">
        <f t="shared" si="333"/>
        <v>0.35299600532623171</v>
      </c>
      <c r="AZ205" s="209">
        <f t="shared" si="333"/>
        <v>0.35779283639883835</v>
      </c>
      <c r="BA205" s="218">
        <f t="shared" si="333"/>
        <v>0.33767441860465114</v>
      </c>
      <c r="BB205" s="218">
        <f t="shared" si="333"/>
        <v>0.34067327645838136</v>
      </c>
      <c r="BC205" s="218">
        <f t="shared" si="333"/>
        <v>0.34630904343698077</v>
      </c>
      <c r="BD205" s="218">
        <f t="shared" si="333"/>
        <v>0.38540674414174131</v>
      </c>
      <c r="BE205" s="209">
        <f t="shared" si="333"/>
        <v>0.35475329556131308</v>
      </c>
      <c r="BF205" s="218">
        <f t="shared" si="333"/>
        <v>0.37515410146989092</v>
      </c>
      <c r="BG205" s="218">
        <f t="shared" si="333"/>
        <v>0.3902898892293189</v>
      </c>
      <c r="BH205" s="218">
        <f t="shared" si="333"/>
        <v>0.39026382422608835</v>
      </c>
      <c r="BI205" s="218">
        <f t="shared" si="333"/>
        <v>0.39729999093956692</v>
      </c>
      <c r="BJ205" s="424">
        <f t="shared" si="333"/>
        <v>0.38851656141255314</v>
      </c>
      <c r="BK205" s="436">
        <f t="shared" si="333"/>
        <v>0.39303348595026483</v>
      </c>
      <c r="BL205" s="436">
        <f t="shared" si="333"/>
        <v>0.39682054417609292</v>
      </c>
      <c r="BM205" s="436">
        <f t="shared" si="333"/>
        <v>0.39735904082955281</v>
      </c>
      <c r="BN205" s="436">
        <f t="shared" si="333"/>
        <v>0.39755778456170954</v>
      </c>
      <c r="BO205" s="424">
        <f t="shared" si="333"/>
        <v>0.39625666222518319</v>
      </c>
      <c r="BP205" s="436">
        <f t="shared" si="333"/>
        <v>0.38490805326569438</v>
      </c>
      <c r="BQ205" s="436">
        <f t="shared" si="333"/>
        <v>0.38837464700345153</v>
      </c>
      <c r="BR205" s="436">
        <f t="shared" si="333"/>
        <v>0.39975237309120926</v>
      </c>
      <c r="BS205" s="436">
        <f t="shared" si="333"/>
        <v>0.39227771231759268</v>
      </c>
      <c r="BT205" s="424">
        <f t="shared" ref="BT205:CY205" si="334">-BT9/BT5</f>
        <v>0.39141365718546928</v>
      </c>
      <c r="BU205" s="436">
        <f t="shared" si="334"/>
        <v>0.39106198034769463</v>
      </c>
      <c r="BV205" s="436">
        <f t="shared" si="334"/>
        <v>0.38514267495616133</v>
      </c>
      <c r="BW205" s="436">
        <f t="shared" si="334"/>
        <v>0.38803104916117187</v>
      </c>
      <c r="BX205" s="436">
        <f t="shared" si="334"/>
        <v>0.39280799926612237</v>
      </c>
      <c r="BY205" s="424">
        <f t="shared" si="334"/>
        <v>0.38907241589150654</v>
      </c>
      <c r="BZ205" s="436">
        <f t="shared" si="334"/>
        <v>0.38363075773147715</v>
      </c>
      <c r="CA205" s="436">
        <f t="shared" si="334"/>
        <v>0.39278953000246936</v>
      </c>
      <c r="CB205" s="436">
        <f t="shared" si="334"/>
        <v>0.39333333333333331</v>
      </c>
      <c r="CC205" s="436">
        <f t="shared" si="334"/>
        <v>0.40519740129935033</v>
      </c>
      <c r="CD205" s="424">
        <f t="shared" si="334"/>
        <v>0.39351966920487153</v>
      </c>
      <c r="CE205" s="436">
        <f t="shared" si="334"/>
        <v>0.39858650401781393</v>
      </c>
      <c r="CF205" s="436">
        <f t="shared" si="334"/>
        <v>0.39508851093370356</v>
      </c>
      <c r="CG205" s="436">
        <f t="shared" si="334"/>
        <v>0.38895162808206285</v>
      </c>
      <c r="CH205" s="436">
        <f t="shared" si="334"/>
        <v>0.40639999999999998</v>
      </c>
      <c r="CI205" s="424">
        <f t="shared" si="334"/>
        <v>0.39692741434510442</v>
      </c>
      <c r="CJ205" s="436">
        <f t="shared" si="334"/>
        <v>0.38725597718797983</v>
      </c>
      <c r="CK205" s="436">
        <f t="shared" si="334"/>
        <v>0.37425273139558851</v>
      </c>
      <c r="CL205" s="436">
        <f t="shared" si="334"/>
        <v>0.37155761180876845</v>
      </c>
      <c r="CM205" s="436">
        <f t="shared" si="334"/>
        <v>0.36010709504685406</v>
      </c>
      <c r="CN205" s="424">
        <f t="shared" si="334"/>
        <v>0.37392558244741009</v>
      </c>
      <c r="CO205" s="436">
        <f t="shared" si="334"/>
        <v>0.36030954879328436</v>
      </c>
      <c r="CP205" s="436">
        <f t="shared" si="334"/>
        <v>0.33925273139558854</v>
      </c>
      <c r="CQ205" s="436">
        <f t="shared" si="334"/>
        <v>0.33355761180876847</v>
      </c>
      <c r="CR205" s="436">
        <f t="shared" si="334"/>
        <v>0.33109217762180826</v>
      </c>
      <c r="CS205" s="424">
        <f t="shared" si="334"/>
        <v>0.34092558244741011</v>
      </c>
      <c r="CT205" s="436">
        <f t="shared" si="334"/>
        <v>0.35530954879328436</v>
      </c>
      <c r="CU205" s="436">
        <f t="shared" si="334"/>
        <v>0.33425273139558853</v>
      </c>
      <c r="CV205" s="436">
        <f t="shared" si="334"/>
        <v>0.32855761180876847</v>
      </c>
      <c r="CW205" s="436">
        <f t="shared" si="334"/>
        <v>0.32619569999860382</v>
      </c>
      <c r="CX205" s="424">
        <f t="shared" si="334"/>
        <v>0.33592558244741011</v>
      </c>
      <c r="CY205" s="436">
        <f t="shared" si="334"/>
        <v>0.35180954879328435</v>
      </c>
      <c r="CZ205" s="436">
        <f t="shared" ref="CZ205:DM205" si="335">-CZ9/CZ5</f>
        <v>0.33075273139558853</v>
      </c>
      <c r="DA205" s="436">
        <f t="shared" si="335"/>
        <v>0.32505761180876847</v>
      </c>
      <c r="DB205" s="436">
        <f t="shared" si="335"/>
        <v>0.3227252094165301</v>
      </c>
      <c r="DC205" s="424">
        <f t="shared" si="335"/>
        <v>0.33242558244741011</v>
      </c>
      <c r="DD205" s="436">
        <f t="shared" si="335"/>
        <v>0.34930954879328435</v>
      </c>
      <c r="DE205" s="436">
        <f t="shared" si="335"/>
        <v>0.32825273139558853</v>
      </c>
      <c r="DF205" s="436">
        <f t="shared" si="335"/>
        <v>0.32255761180876846</v>
      </c>
      <c r="DG205" s="436">
        <f t="shared" si="335"/>
        <v>0.32026325395959471</v>
      </c>
      <c r="DH205" s="424">
        <f t="shared" si="335"/>
        <v>0.3299255824474101</v>
      </c>
      <c r="DI205" s="436">
        <f t="shared" si="335"/>
        <v>0.34730954879328435</v>
      </c>
      <c r="DJ205" s="436">
        <f t="shared" si="335"/>
        <v>0.32625273139558852</v>
      </c>
      <c r="DK205" s="436">
        <f t="shared" si="335"/>
        <v>0.32055761180876846</v>
      </c>
      <c r="DL205" s="436">
        <f t="shared" si="335"/>
        <v>0.31829548033888289</v>
      </c>
      <c r="DM205" s="424">
        <f t="shared" si="335"/>
        <v>0.3279255824474101</v>
      </c>
      <c r="DN205" s="207"/>
    </row>
    <row r="206" spans="1:118" ht="15" x14ac:dyDescent="0.2">
      <c r="A206" s="223" t="s">
        <v>103</v>
      </c>
      <c r="C206" s="357"/>
      <c r="D206" s="357"/>
      <c r="E206" s="357"/>
      <c r="F206" s="357"/>
      <c r="G206" s="358"/>
      <c r="H206" s="357">
        <f t="shared" ref="H206:AM206" si="336">-H17/H5</f>
        <v>0.33695377620611267</v>
      </c>
      <c r="I206" s="357">
        <f t="shared" si="336"/>
        <v>0.33548248441865464</v>
      </c>
      <c r="J206" s="357">
        <f t="shared" si="336"/>
        <v>0.36038338658146962</v>
      </c>
      <c r="K206" s="357">
        <f t="shared" si="336"/>
        <v>0.36857008022652193</v>
      </c>
      <c r="L206" s="358">
        <f t="shared" si="336"/>
        <v>0.3504702194357367</v>
      </c>
      <c r="M206" s="357">
        <f t="shared" si="336"/>
        <v>0.37435645991664623</v>
      </c>
      <c r="N206" s="357">
        <f t="shared" si="336"/>
        <v>0.35040983606557374</v>
      </c>
      <c r="O206" s="357">
        <f t="shared" si="336"/>
        <v>0.33615182262307403</v>
      </c>
      <c r="P206" s="357">
        <f t="shared" si="336"/>
        <v>0.37622523461939522</v>
      </c>
      <c r="Q206" s="358">
        <f t="shared" si="336"/>
        <v>0.35785115518298916</v>
      </c>
      <c r="R206" s="357">
        <f t="shared" si="336"/>
        <v>0.36247191011235957</v>
      </c>
      <c r="S206" s="357">
        <f t="shared" si="336"/>
        <v>0.34147636749867233</v>
      </c>
      <c r="T206" s="357">
        <f t="shared" si="336"/>
        <v>0.35489014883061659</v>
      </c>
      <c r="U206" s="357">
        <f t="shared" si="336"/>
        <v>0.3846304262807978</v>
      </c>
      <c r="V206" s="358">
        <f t="shared" si="336"/>
        <v>0.36016685045787983</v>
      </c>
      <c r="W206" s="357">
        <f t="shared" si="336"/>
        <v>0.36276849642004771</v>
      </c>
      <c r="X206" s="357">
        <f t="shared" si="336"/>
        <v>0.33699695637470412</v>
      </c>
      <c r="Y206" s="357">
        <f t="shared" si="336"/>
        <v>0.36722659042172978</v>
      </c>
      <c r="Z206" s="357">
        <f t="shared" si="336"/>
        <v>0.39469638739431206</v>
      </c>
      <c r="AA206" s="358">
        <f t="shared" si="336"/>
        <v>0.36454787967988228</v>
      </c>
      <c r="AB206" s="357">
        <f t="shared" si="336"/>
        <v>0.38013830195927778</v>
      </c>
      <c r="AC206" s="357">
        <f t="shared" si="336"/>
        <v>0.34738510301109349</v>
      </c>
      <c r="AD206" s="357">
        <f t="shared" si="336"/>
        <v>0.3678979625641875</v>
      </c>
      <c r="AE206" s="357">
        <f t="shared" si="336"/>
        <v>0.41307872455413441</v>
      </c>
      <c r="AF206" s="358">
        <f t="shared" si="336"/>
        <v>0.37590893351800553</v>
      </c>
      <c r="AG206" s="357">
        <f t="shared" si="336"/>
        <v>0.39418293149636435</v>
      </c>
      <c r="AH206" s="357">
        <f t="shared" si="336"/>
        <v>0.35453983940704137</v>
      </c>
      <c r="AI206" s="357">
        <f t="shared" si="336"/>
        <v>0.38549736597458939</v>
      </c>
      <c r="AJ206" s="357">
        <f t="shared" si="336"/>
        <v>0.41925151719487525</v>
      </c>
      <c r="AK206" s="358">
        <f t="shared" si="336"/>
        <v>0.38737130521421453</v>
      </c>
      <c r="AL206" s="357">
        <f t="shared" si="336"/>
        <v>0.38096018351630345</v>
      </c>
      <c r="AM206" s="357">
        <f t="shared" si="336"/>
        <v>0.34721324195008407</v>
      </c>
      <c r="AN206" s="357">
        <f t="shared" ref="AN206:BS206" si="337">-AN17/AN5</f>
        <v>0.37659297789336799</v>
      </c>
      <c r="AO206" s="357">
        <f t="shared" si="337"/>
        <v>0.41454099031510028</v>
      </c>
      <c r="AP206" s="358">
        <f t="shared" si="337"/>
        <v>0.37928405586166269</v>
      </c>
      <c r="AQ206" s="357">
        <f t="shared" si="337"/>
        <v>0.37986176988751863</v>
      </c>
      <c r="AR206" s="357">
        <f t="shared" si="337"/>
        <v>0.34214017245191247</v>
      </c>
      <c r="AS206" s="357">
        <f t="shared" si="337"/>
        <v>0.3740021446443465</v>
      </c>
      <c r="AT206" s="357">
        <f t="shared" si="337"/>
        <v>0.3850687622789784</v>
      </c>
      <c r="AU206" s="358">
        <f t="shared" si="337"/>
        <v>0.368801652892562</v>
      </c>
      <c r="AV206" s="357">
        <f t="shared" si="337"/>
        <v>0.36602036546240757</v>
      </c>
      <c r="AW206" s="357">
        <f t="shared" si="337"/>
        <v>0.34401838635538889</v>
      </c>
      <c r="AX206" s="357">
        <f t="shared" si="337"/>
        <v>0.36200895077076084</v>
      </c>
      <c r="AY206" s="357">
        <f t="shared" si="337"/>
        <v>0.39653794940079895</v>
      </c>
      <c r="AZ206" s="358">
        <f t="shared" si="337"/>
        <v>0.36650532429816068</v>
      </c>
      <c r="BA206" s="357">
        <f t="shared" si="337"/>
        <v>0.35946843853820598</v>
      </c>
      <c r="BB206" s="357">
        <f t="shared" si="337"/>
        <v>0.33179617246944892</v>
      </c>
      <c r="BC206" s="357">
        <f t="shared" si="337"/>
        <v>0.36363636363636365</v>
      </c>
      <c r="BD206" s="357">
        <f t="shared" si="337"/>
        <v>0.42265193370165743</v>
      </c>
      <c r="BE206" s="358">
        <f t="shared" si="337"/>
        <v>0.37251943171141416</v>
      </c>
      <c r="BF206" s="357">
        <f t="shared" si="337"/>
        <v>0.38748221906116642</v>
      </c>
      <c r="BG206" s="357">
        <f t="shared" si="337"/>
        <v>0.34645298138109826</v>
      </c>
      <c r="BH206" s="357">
        <f t="shared" si="337"/>
        <v>0.3678020093114433</v>
      </c>
      <c r="BI206" s="357">
        <f t="shared" si="337"/>
        <v>0.40028993385883843</v>
      </c>
      <c r="BJ206" s="568">
        <f t="shared" si="337"/>
        <v>0.37412467242342229</v>
      </c>
      <c r="BK206" s="569">
        <f t="shared" si="337"/>
        <v>0.37678427147858873</v>
      </c>
      <c r="BL206" s="569">
        <f t="shared" si="337"/>
        <v>0.34232650565576278</v>
      </c>
      <c r="BM206" s="569">
        <f t="shared" si="337"/>
        <v>0.37662022034996762</v>
      </c>
      <c r="BN206" s="569">
        <f t="shared" si="337"/>
        <v>0.38587003924989099</v>
      </c>
      <c r="BO206" s="568">
        <f t="shared" si="337"/>
        <v>0.36952448367754831</v>
      </c>
      <c r="BP206" s="569">
        <f t="shared" si="337"/>
        <v>0.37856689917564995</v>
      </c>
      <c r="BQ206" s="569">
        <f t="shared" si="337"/>
        <v>0.34350486350800125</v>
      </c>
      <c r="BR206" s="569">
        <f t="shared" si="337"/>
        <v>0.36516714816343376</v>
      </c>
      <c r="BS206" s="569">
        <f t="shared" si="337"/>
        <v>0.39173388924136682</v>
      </c>
      <c r="BT206" s="568">
        <f t="shared" ref="BT206:CY206" si="338">-BT17/BT5</f>
        <v>0.36868008948545861</v>
      </c>
      <c r="BU206" s="569">
        <f t="shared" si="338"/>
        <v>0.37660619803476947</v>
      </c>
      <c r="BV206" s="569">
        <f t="shared" si="338"/>
        <v>0.34975290929379882</v>
      </c>
      <c r="BW206" s="569">
        <f t="shared" si="338"/>
        <v>0.37492696769885653</v>
      </c>
      <c r="BX206" s="569">
        <f t="shared" si="338"/>
        <v>0.39354187689202824</v>
      </c>
      <c r="BY206" s="568">
        <f t="shared" si="338"/>
        <v>0.37285925410762411</v>
      </c>
      <c r="BZ206" s="569">
        <f t="shared" si="338"/>
        <v>0.38204241801364103</v>
      </c>
      <c r="CA206" s="569">
        <f t="shared" si="338"/>
        <v>0.34760062556589022</v>
      </c>
      <c r="CB206" s="569">
        <f t="shared" si="338"/>
        <v>0.36938596491228071</v>
      </c>
      <c r="CC206" s="569">
        <f t="shared" si="338"/>
        <v>0.39430284857571213</v>
      </c>
      <c r="CD206" s="568">
        <f t="shared" si="338"/>
        <v>0.37209932891971892</v>
      </c>
      <c r="CE206" s="569">
        <f t="shared" si="338"/>
        <v>0.36450769677606737</v>
      </c>
      <c r="CF206" s="569">
        <f t="shared" si="338"/>
        <v>0.34024644220756683</v>
      </c>
      <c r="CG206" s="569">
        <f t="shared" si="338"/>
        <v>0.37747035573122528</v>
      </c>
      <c r="CH206" s="569">
        <f t="shared" si="338"/>
        <v>0.38250666666666666</v>
      </c>
      <c r="CI206" s="568">
        <f t="shared" si="338"/>
        <v>0.36515028432168967</v>
      </c>
      <c r="CJ206" s="569">
        <f t="shared" si="338"/>
        <v>0.36576003509541566</v>
      </c>
      <c r="CK206" s="569">
        <f t="shared" si="338"/>
        <v>0.32694289837146978</v>
      </c>
      <c r="CL206" s="569">
        <f t="shared" si="338"/>
        <v>0.35933024895351401</v>
      </c>
      <c r="CM206" s="569">
        <f t="shared" si="338"/>
        <v>0.37938420348058904</v>
      </c>
      <c r="CN206" s="568">
        <f t="shared" si="338"/>
        <v>0.3563390635602805</v>
      </c>
      <c r="CO206" s="569">
        <f t="shared" si="338"/>
        <v>0.33315844700944386</v>
      </c>
      <c r="CP206" s="569">
        <f t="shared" si="338"/>
        <v>0.33032236190113595</v>
      </c>
      <c r="CQ206" s="569">
        <f t="shared" si="338"/>
        <v>0.34799838703847918</v>
      </c>
      <c r="CR206" s="569">
        <f t="shared" si="338"/>
        <v>0.37259085064676017</v>
      </c>
      <c r="CS206" s="568">
        <f t="shared" si="338"/>
        <v>0.34526439381920265</v>
      </c>
      <c r="CT206" s="569">
        <f t="shared" si="338"/>
        <v>0.32843482642977595</v>
      </c>
      <c r="CU206" s="569">
        <f t="shared" si="338"/>
        <v>0.32564277423210658</v>
      </c>
      <c r="CV206" s="569">
        <f t="shared" si="338"/>
        <v>0.34325057236465895</v>
      </c>
      <c r="CW206" s="569">
        <f t="shared" si="338"/>
        <v>0.36777189326961762</v>
      </c>
      <c r="CX206" s="568">
        <f t="shared" si="338"/>
        <v>0.34055389879684889</v>
      </c>
      <c r="CY206" s="569">
        <f t="shared" si="338"/>
        <v>0.32170578220311868</v>
      </c>
      <c r="CZ206" s="569">
        <f t="shared" ref="CZ206:DM206" si="339">-CZ17/CZ5</f>
        <v>0.31952992481851278</v>
      </c>
      <c r="DA206" s="569">
        <f t="shared" si="339"/>
        <v>0.33707737990049397</v>
      </c>
      <c r="DB206" s="569">
        <f t="shared" si="339"/>
        <v>0.36161083364988689</v>
      </c>
      <c r="DC206" s="568">
        <f t="shared" si="339"/>
        <v>0.33428606546590611</v>
      </c>
      <c r="DD206" s="569">
        <f t="shared" si="339"/>
        <v>0.31387131950981956</v>
      </c>
      <c r="DE206" s="569">
        <f t="shared" si="339"/>
        <v>0.31231888581965195</v>
      </c>
      <c r="DF206" s="569">
        <f t="shared" si="339"/>
        <v>0.32990322851357096</v>
      </c>
      <c r="DG206" s="569">
        <f t="shared" si="339"/>
        <v>0.35451455981488444</v>
      </c>
      <c r="DH206" s="568">
        <f t="shared" si="339"/>
        <v>0.32698378964451341</v>
      </c>
      <c r="DI206" s="569">
        <f t="shared" si="339"/>
        <v>0.30649417167471682</v>
      </c>
      <c r="DJ206" s="569">
        <f t="shared" si="339"/>
        <v>0.3054551597444623</v>
      </c>
      <c r="DK206" s="569">
        <f t="shared" si="339"/>
        <v>0.32311337491049058</v>
      </c>
      <c r="DL206" s="569">
        <f t="shared" si="339"/>
        <v>0.34782919432905907</v>
      </c>
      <c r="DM206" s="568">
        <f t="shared" si="339"/>
        <v>0.32007550938892154</v>
      </c>
      <c r="DN206" s="207"/>
    </row>
    <row r="207" spans="1:118" ht="15" x14ac:dyDescent="0.2">
      <c r="A207" s="223" t="s">
        <v>104</v>
      </c>
      <c r="C207" s="357"/>
      <c r="D207" s="357"/>
      <c r="E207" s="357"/>
      <c r="F207" s="357"/>
      <c r="G207" s="358"/>
      <c r="H207" s="357">
        <f t="shared" ref="H207:AM207" si="340">H71</f>
        <v>0.30000000000000004</v>
      </c>
      <c r="I207" s="357">
        <f t="shared" si="340"/>
        <v>0.3</v>
      </c>
      <c r="J207" s="357">
        <f t="shared" si="340"/>
        <v>0.3</v>
      </c>
      <c r="K207" s="357">
        <f t="shared" si="340"/>
        <v>0.29256965944272445</v>
      </c>
      <c r="L207" s="358">
        <f t="shared" si="340"/>
        <v>0.29827956989247312</v>
      </c>
      <c r="M207" s="357">
        <f t="shared" si="340"/>
        <v>0.27</v>
      </c>
      <c r="N207" s="357">
        <f t="shared" si="340"/>
        <v>0.27</v>
      </c>
      <c r="O207" s="357">
        <f t="shared" si="340"/>
        <v>0.26999999999999996</v>
      </c>
      <c r="P207" s="357">
        <f t="shared" si="340"/>
        <v>0.26950000000000002</v>
      </c>
      <c r="Q207" s="358">
        <f t="shared" si="340"/>
        <v>0.26988675593914047</v>
      </c>
      <c r="R207" s="357">
        <f t="shared" si="340"/>
        <v>0.26827160493827157</v>
      </c>
      <c r="S207" s="357">
        <f t="shared" si="340"/>
        <v>0.23520964962665136</v>
      </c>
      <c r="T207" s="357">
        <f t="shared" si="340"/>
        <v>0.1787025513378967</v>
      </c>
      <c r="U207" s="357">
        <f t="shared" si="340"/>
        <v>0.22205267118133937</v>
      </c>
      <c r="V207" s="358">
        <f t="shared" si="340"/>
        <v>0.223647827562797</v>
      </c>
      <c r="W207" s="357">
        <f t="shared" si="340"/>
        <v>0.25462962962962965</v>
      </c>
      <c r="X207" s="357">
        <f t="shared" si="340"/>
        <v>0.25160190615835781</v>
      </c>
      <c r="Y207" s="357">
        <f t="shared" si="340"/>
        <v>0.24892440073755379</v>
      </c>
      <c r="Z207" s="357">
        <f t="shared" si="340"/>
        <v>0.22857967988865693</v>
      </c>
      <c r="AA207" s="358">
        <f t="shared" si="340"/>
        <v>0.24663945937783149</v>
      </c>
      <c r="AB207" s="357">
        <f t="shared" si="340"/>
        <v>0.24</v>
      </c>
      <c r="AC207" s="357">
        <f t="shared" si="340"/>
        <v>0.24000000000000002</v>
      </c>
      <c r="AD207" s="357">
        <f t="shared" si="340"/>
        <v>0.23446039035591273</v>
      </c>
      <c r="AE207" s="357">
        <f t="shared" si="340"/>
        <v>0.23500000000000001</v>
      </c>
      <c r="AF207" s="358">
        <f t="shared" si="340"/>
        <v>0.2375342566671578</v>
      </c>
      <c r="AG207" s="357">
        <f t="shared" si="340"/>
        <v>0.23858731196860694</v>
      </c>
      <c r="AH207" s="357">
        <f t="shared" si="340"/>
        <v>0.23968393327480245</v>
      </c>
      <c r="AI207" s="357">
        <f t="shared" si="340"/>
        <v>0.22483940042826553</v>
      </c>
      <c r="AJ207" s="357">
        <f t="shared" si="340"/>
        <v>0.18266666666666667</v>
      </c>
      <c r="AK207" s="358">
        <f t="shared" si="340"/>
        <v>0.22366550522648082</v>
      </c>
      <c r="AL207" s="357">
        <f t="shared" si="340"/>
        <v>0.2298507462686567</v>
      </c>
      <c r="AM207" s="357">
        <f t="shared" si="340"/>
        <v>0.22191673212882954</v>
      </c>
      <c r="AN207" s="357">
        <f t="shared" ref="AN207:BS207" si="341">AN71</f>
        <v>0.20970042796005706</v>
      </c>
      <c r="AO207" s="357">
        <f t="shared" si="341"/>
        <v>0.22024151811385853</v>
      </c>
      <c r="AP207" s="358">
        <f t="shared" si="341"/>
        <v>0.22001736326429369</v>
      </c>
      <c r="AQ207" s="357">
        <f t="shared" si="341"/>
        <v>0.22018802572983673</v>
      </c>
      <c r="AR207" s="357">
        <f t="shared" si="341"/>
        <v>0.21903820816864294</v>
      </c>
      <c r="AS207" s="357">
        <f t="shared" si="341"/>
        <v>0.21984671238402581</v>
      </c>
      <c r="AT207" s="357">
        <f t="shared" si="341"/>
        <v>0.22034791776489193</v>
      </c>
      <c r="AU207" s="358">
        <f t="shared" si="341"/>
        <v>0.21976041556238737</v>
      </c>
      <c r="AV207" s="357">
        <f t="shared" si="341"/>
        <v>0.23363544813695872</v>
      </c>
      <c r="AW207" s="357">
        <f t="shared" si="341"/>
        <v>0.23416370106761566</v>
      </c>
      <c r="AX207" s="357">
        <f t="shared" si="341"/>
        <v>0.23482106956172094</v>
      </c>
      <c r="AY207" s="357">
        <f t="shared" si="341"/>
        <v>0.22640586797066015</v>
      </c>
      <c r="AZ207" s="358">
        <f t="shared" si="341"/>
        <v>0.23252572898799315</v>
      </c>
      <c r="BA207" s="357">
        <f t="shared" si="341"/>
        <v>0.23181257706535141</v>
      </c>
      <c r="BB207" s="357">
        <f t="shared" si="341"/>
        <v>0.23220391669257071</v>
      </c>
      <c r="BC207" s="357">
        <f t="shared" si="341"/>
        <v>0.22604951560818085</v>
      </c>
      <c r="BD207" s="357">
        <f t="shared" si="341"/>
        <v>0.2150786308973173</v>
      </c>
      <c r="BE207" s="358">
        <f t="shared" si="341"/>
        <v>0.22700254741013304</v>
      </c>
      <c r="BF207" s="357">
        <f t="shared" si="341"/>
        <v>0.2400605831124574</v>
      </c>
      <c r="BG207" s="357">
        <f t="shared" si="341"/>
        <v>0.2400445558340295</v>
      </c>
      <c r="BH207" s="357">
        <f t="shared" si="341"/>
        <v>0.2399497487437186</v>
      </c>
      <c r="BI207" s="357">
        <f t="shared" si="341"/>
        <v>0.23512276321265085</v>
      </c>
      <c r="BJ207" s="568">
        <f t="shared" si="341"/>
        <v>0.23902191386750149</v>
      </c>
      <c r="BK207" s="569">
        <f t="shared" si="341"/>
        <v>0.24790069368382622</v>
      </c>
      <c r="BL207" s="569">
        <f t="shared" si="341"/>
        <v>0.2342981977061715</v>
      </c>
      <c r="BM207" s="569">
        <f t="shared" si="341"/>
        <v>0.23972824328696216</v>
      </c>
      <c r="BN207" s="569">
        <f t="shared" si="341"/>
        <v>0.24</v>
      </c>
      <c r="BO207" s="568">
        <f t="shared" si="341"/>
        <v>0.23999345174756487</v>
      </c>
      <c r="BP207" s="569">
        <f t="shared" si="341"/>
        <v>0.23522935779816515</v>
      </c>
      <c r="BQ207" s="569">
        <f t="shared" si="341"/>
        <v>0.22621281157866524</v>
      </c>
      <c r="BR207" s="569">
        <f t="shared" si="341"/>
        <v>0.22977763454721237</v>
      </c>
      <c r="BS207" s="569">
        <f t="shared" si="341"/>
        <v>0.2303370786516854</v>
      </c>
      <c r="BT207" s="568">
        <f t="shared" ref="BT207:CY207" si="342">BT71</f>
        <v>0.23002698503557117</v>
      </c>
      <c r="BU207" s="569">
        <f t="shared" si="342"/>
        <v>0.23022432113341204</v>
      </c>
      <c r="BV207" s="569">
        <f t="shared" si="342"/>
        <v>0.22137612183845526</v>
      </c>
      <c r="BW207" s="569">
        <f t="shared" si="342"/>
        <v>0.22506561679790027</v>
      </c>
      <c r="BX207" s="569">
        <f t="shared" si="342"/>
        <v>0.22466960352422907</v>
      </c>
      <c r="BY207" s="568">
        <f t="shared" si="342"/>
        <v>0.22494261667941851</v>
      </c>
      <c r="BZ207" s="569">
        <f t="shared" si="342"/>
        <v>0.22487160674981657</v>
      </c>
      <c r="CA207" s="569">
        <f t="shared" si="342"/>
        <v>0.22516003339827442</v>
      </c>
      <c r="CB207" s="569">
        <f t="shared" si="342"/>
        <v>0.22506925207756232</v>
      </c>
      <c r="CC207" s="569">
        <f t="shared" si="342"/>
        <v>0.22468793342579751</v>
      </c>
      <c r="CD207" s="568">
        <f t="shared" si="342"/>
        <v>0.22497801231310466</v>
      </c>
      <c r="CE207" s="569">
        <f t="shared" si="342"/>
        <v>0.22493224932249323</v>
      </c>
      <c r="CF207" s="569">
        <f t="shared" si="342"/>
        <v>0.22503681885125185</v>
      </c>
      <c r="CG207" s="569">
        <f t="shared" si="342"/>
        <v>0.22517985611510791</v>
      </c>
      <c r="CH207" s="569">
        <f t="shared" si="342"/>
        <v>0.22476840565577766</v>
      </c>
      <c r="CI207" s="568">
        <f t="shared" si="342"/>
        <v>0.22499768711259135</v>
      </c>
      <c r="CJ207" s="569">
        <f t="shared" si="342"/>
        <v>0.24</v>
      </c>
      <c r="CK207" s="569">
        <f t="shared" si="342"/>
        <v>0.24015513126491647</v>
      </c>
      <c r="CL207" s="569">
        <f t="shared" si="342"/>
        <v>0.23994403637635536</v>
      </c>
      <c r="CM207" s="569">
        <f t="shared" si="342"/>
        <v>0.2401270994098956</v>
      </c>
      <c r="CN207" s="568">
        <f t="shared" si="342"/>
        <v>0.2400587749104601</v>
      </c>
      <c r="CO207" s="569">
        <f t="shared" si="342"/>
        <v>0.21007418976962125</v>
      </c>
      <c r="CP207" s="569">
        <f t="shared" si="342"/>
        <v>0.21</v>
      </c>
      <c r="CQ207" s="569">
        <f t="shared" si="342"/>
        <v>0.21</v>
      </c>
      <c r="CR207" s="569">
        <f t="shared" ca="1" si="342"/>
        <v>0.20992227475394601</v>
      </c>
      <c r="CS207" s="568">
        <f t="shared" si="342"/>
        <v>0.21</v>
      </c>
      <c r="CT207" s="569">
        <f t="shared" si="342"/>
        <v>0.21</v>
      </c>
      <c r="CU207" s="569">
        <f t="shared" si="342"/>
        <v>0.21</v>
      </c>
      <c r="CV207" s="569">
        <f t="shared" si="342"/>
        <v>0.21</v>
      </c>
      <c r="CW207" s="569">
        <f t="shared" ca="1" si="342"/>
        <v>0.2100000000000001</v>
      </c>
      <c r="CX207" s="568">
        <f t="shared" si="342"/>
        <v>0.21</v>
      </c>
      <c r="CY207" s="569">
        <f t="shared" si="342"/>
        <v>0.21</v>
      </c>
      <c r="CZ207" s="569">
        <f t="shared" ref="CZ207:DM207" si="343">CZ71</f>
        <v>0.21</v>
      </c>
      <c r="DA207" s="569">
        <f t="shared" si="343"/>
        <v>0.21</v>
      </c>
      <c r="DB207" s="569">
        <f t="shared" ca="1" si="343"/>
        <v>0.20999999999999985</v>
      </c>
      <c r="DC207" s="568">
        <f t="shared" si="343"/>
        <v>0.21</v>
      </c>
      <c r="DD207" s="569">
        <f t="shared" si="343"/>
        <v>0.21</v>
      </c>
      <c r="DE207" s="569">
        <f t="shared" si="343"/>
        <v>0.21</v>
      </c>
      <c r="DF207" s="569">
        <f t="shared" si="343"/>
        <v>0.21</v>
      </c>
      <c r="DG207" s="569">
        <f t="shared" ca="1" si="343"/>
        <v>0.20999999999999994</v>
      </c>
      <c r="DH207" s="568">
        <f t="shared" si="343"/>
        <v>0.21</v>
      </c>
      <c r="DI207" s="569">
        <f t="shared" si="343"/>
        <v>0.21</v>
      </c>
      <c r="DJ207" s="569">
        <f t="shared" si="343"/>
        <v>0.21</v>
      </c>
      <c r="DK207" s="569">
        <f t="shared" si="343"/>
        <v>0.21</v>
      </c>
      <c r="DL207" s="569">
        <f t="shared" ca="1" si="343"/>
        <v>0.2099999999999998</v>
      </c>
      <c r="DM207" s="568">
        <f t="shared" si="343"/>
        <v>0.21</v>
      </c>
      <c r="DN207" s="207"/>
    </row>
    <row r="208" spans="1:118" ht="15" x14ac:dyDescent="0.2">
      <c r="A208" s="359" t="s">
        <v>105</v>
      </c>
      <c r="C208" s="218"/>
      <c r="D208" s="218"/>
      <c r="E208" s="218"/>
      <c r="F208" s="218"/>
      <c r="G208" s="209"/>
      <c r="H208" s="218">
        <f>((H115+H114)/H5)/4</f>
        <v>0.16519323061379138</v>
      </c>
      <c r="I208" s="218">
        <f>((I115+I114)/I5)/4</f>
        <v>0.13964109176875134</v>
      </c>
      <c r="J208" s="218">
        <f>((J115+J114)/J5)/4</f>
        <v>0.13285410010649626</v>
      </c>
      <c r="K208" s="218">
        <f>((K115+K114)/K5)/4</f>
        <v>0.11007550731477111</v>
      </c>
      <c r="L208" s="209">
        <f>SUM(H114:K115)/4/L5</f>
        <v>0.13644913080649756</v>
      </c>
      <c r="M208" s="218">
        <f>((M115+M114)/M5)/4</f>
        <v>0.13900465800441283</v>
      </c>
      <c r="N208" s="218">
        <f>((N115+N114)/N5)/4</f>
        <v>0.12439456035767511</v>
      </c>
      <c r="O208" s="218">
        <f>((O115+O114)/O5)/4</f>
        <v>0.1243423524990605</v>
      </c>
      <c r="P208" s="218">
        <f>((P115+P114)/P5)/4</f>
        <v>0.11084462982273201</v>
      </c>
      <c r="Q208" s="209">
        <f>SUM(M114:P115)/4/Q5</f>
        <v>0.12410549989777142</v>
      </c>
      <c r="R208" s="218">
        <f>((R115+R114)/R5)/4</f>
        <v>0.16938202247191012</v>
      </c>
      <c r="S208" s="218">
        <f>((S115+S114)/S5)/4</f>
        <v>0.14710568242166755</v>
      </c>
      <c r="T208" s="218">
        <f>((T115+T114)/T5)/4</f>
        <v>0.16194188518781005</v>
      </c>
      <c r="U208" s="218">
        <f>((U115+U114)/U5)/4</f>
        <v>0.16435275713727024</v>
      </c>
      <c r="V208" s="209">
        <f>SUM(R114:U115)/4/V5</f>
        <v>0.1601021239871506</v>
      </c>
      <c r="W208" s="218">
        <f>((W115+W114)/W5)/4</f>
        <v>0.2135043754972156</v>
      </c>
      <c r="X208" s="218">
        <f>((X115+X114)/X5)/4</f>
        <v>0.21313831586066959</v>
      </c>
      <c r="Y208" s="218">
        <f>((Y115+Y114)/Y5)/4</f>
        <v>0.23968012866333094</v>
      </c>
      <c r="Z208" s="218">
        <f>((Z115+Z114)/Z5)/4</f>
        <v>0.32220407378939275</v>
      </c>
      <c r="AA208" s="209">
        <f>SUM(W114:Z115)/4/AA5</f>
        <v>0.24615950694508326</v>
      </c>
      <c r="AB208" s="218">
        <f>((AB115+AB114)/AB5)/4</f>
        <v>0.33446984248943529</v>
      </c>
      <c r="AC208" s="218">
        <f>((AC115+AC114)/AC5)/4</f>
        <v>0.19619651347068146</v>
      </c>
      <c r="AD208" s="218">
        <f>((AD115+AD114)/AD5)/4</f>
        <v>0.2050273314560212</v>
      </c>
      <c r="AE208" s="218">
        <f>((AE115+AE114)/AE5)/4</f>
        <v>0.21171860925959288</v>
      </c>
      <c r="AF208" s="209">
        <f>SUM(AB114:AE115)/4/AF5</f>
        <v>0.23339032202216067</v>
      </c>
      <c r="AG208" s="218">
        <f>((AG115+AG114)/AG5)/4</f>
        <v>0.20876387294297741</v>
      </c>
      <c r="AH208" s="218">
        <f>((AH115+AH114)/AH5)/4</f>
        <v>0.15457072266831379</v>
      </c>
      <c r="AI208" s="218">
        <f>((AI115+AI114)/AI5)/4</f>
        <v>0.13123644251626898</v>
      </c>
      <c r="AJ208" s="218">
        <f>((AJ115+AJ114)/AJ5)/4</f>
        <v>0.10283209710047202</v>
      </c>
      <c r="AK208" s="209">
        <f>SUM(AG114:AJ115)/4/AK5</f>
        <v>0.1473347725008303</v>
      </c>
      <c r="AL208" s="218">
        <f>((AL115+AL114)/AL5)/4</f>
        <v>0.14877928887432409</v>
      </c>
      <c r="AM208" s="218">
        <f>((AM115+AM114)/AM5)/4</f>
        <v>0.14108366739945688</v>
      </c>
      <c r="AN208" s="218">
        <f>((AN115+AN114)/AN5)/4</f>
        <v>0.15006501950585174</v>
      </c>
      <c r="AO208" s="218">
        <f>((AO115+AO114)/AO5)/4</f>
        <v>0.13957850225071614</v>
      </c>
      <c r="AP208" s="209">
        <f>SUM(AL114:AO115)/4/AP5</f>
        <v>0.14472225110025297</v>
      </c>
      <c r="AQ208" s="218">
        <f>((AQ115+AQ114)/AQ5)/4</f>
        <v>0.21002168315489902</v>
      </c>
      <c r="AR208" s="218">
        <f>((AR115+AR114)/AR5)/4</f>
        <v>0.18159960203404821</v>
      </c>
      <c r="AS208" s="218">
        <f>((AS115+AS114)/AS5)/4</f>
        <v>0.23224711068747766</v>
      </c>
      <c r="AT208" s="218">
        <f>((AT115+AT114)/AT5)/4</f>
        <v>0.16492422116194219</v>
      </c>
      <c r="AU208" s="209">
        <f>SUM(AQ114:AT115)/4/AU5</f>
        <v>0.19775231655396944</v>
      </c>
      <c r="AV208" s="218">
        <f>((AV115+AV114)/AV5)/4</f>
        <v>0.23769005440089272</v>
      </c>
      <c r="AW208" s="218">
        <f>((AW115+AW114)/AW5)/4</f>
        <v>0.23125075601790251</v>
      </c>
      <c r="AX208" s="218">
        <f>((AX115+AX114)/AX5)/4</f>
        <v>0.27492541024365985</v>
      </c>
      <c r="AY208" s="218">
        <f>((AY115+AY114)/AY5)/4</f>
        <v>0.23372170439414114</v>
      </c>
      <c r="AZ208" s="209">
        <f>SUM(AV114:AY115)/4/AZ5</f>
        <v>0.24467570183930301</v>
      </c>
      <c r="BA208" s="218">
        <f>((BA115+BA114)/BA5)/4</f>
        <v>0.18883720930232559</v>
      </c>
      <c r="BB208" s="218">
        <f>((BB115+BB114)/BB5)/4</f>
        <v>0.22293636154023519</v>
      </c>
      <c r="BC208" s="218">
        <f>((BC115+BC114)/BC5)/4</f>
        <v>0.31180275338238783</v>
      </c>
      <c r="BD208" s="218">
        <f>((BD115+BD114)/BD5)/4</f>
        <v>0.20282434749476091</v>
      </c>
      <c r="BE208" s="209">
        <f>SUM(BA114:BD115)/4/BE5</f>
        <v>0.23093841642228738</v>
      </c>
      <c r="BF208" s="218">
        <f>((BF115+BF114)/BF5)/4</f>
        <v>0.21514935988620199</v>
      </c>
      <c r="BG208" s="218">
        <f>((BG115+BG114)/BG5)/4</f>
        <v>0.19966218870296173</v>
      </c>
      <c r="BH208" s="218">
        <f>((BH115+BH114)/BH5)/4</f>
        <v>0.25896430613411747</v>
      </c>
      <c r="BI208" s="218">
        <f>((BI115+BI114)/BI5)/4</f>
        <v>0.29000181208661774</v>
      </c>
      <c r="BJ208" s="424">
        <f>SUM(BF114:BI115)/4/BJ5</f>
        <v>0.2401834428835331</v>
      </c>
      <c r="BK208" s="436">
        <f>((BK115+BK114)/BK5)/4</f>
        <v>0.23933925846126222</v>
      </c>
      <c r="BL208" s="436">
        <f>((BL115+BL114)/BL5)/4</f>
        <v>0.17840492204218894</v>
      </c>
      <c r="BM208" s="436">
        <f>((BM115+BM114)/BM5)/4</f>
        <v>0.19473023331173039</v>
      </c>
      <c r="BN208" s="436">
        <f>((BN115+BN114)/BN5)/4</f>
        <v>0.18408198866114261</v>
      </c>
      <c r="BO208" s="424">
        <f>SUM(BK114:BN115)/4/BO5</f>
        <v>0.19808669220519654</v>
      </c>
      <c r="BP208" s="436">
        <f>((BP115+BP114)/BP5)/4</f>
        <v>0.2074916206178096</v>
      </c>
      <c r="BQ208" s="436">
        <f>((BQ115+BQ114)/BQ5)/4</f>
        <v>0.18446030749921558</v>
      </c>
      <c r="BR208" s="436">
        <f>((BR115+BR114)/BR5)/4</f>
        <v>0.22942633099463475</v>
      </c>
      <c r="BS208" s="436">
        <f>((BS115+BS114)/BS5)/4</f>
        <v>0.23597389649234116</v>
      </c>
      <c r="BT208" s="424">
        <f>SUM(BP114:BS115)/4/BT5</f>
        <v>0.21359326728454245</v>
      </c>
      <c r="BU208" s="436">
        <f>((BU115+BU114)/BU5)/4</f>
        <v>0.21567932728647016</v>
      </c>
      <c r="BV208" s="436">
        <f>((BV115+BV114)/BV5)/4</f>
        <v>0.23150805037462138</v>
      </c>
      <c r="BW208" s="436">
        <f>((BW115+BW114)/BW5)/4</f>
        <v>0.23128286453551455</v>
      </c>
      <c r="BX208" s="436">
        <f>((BX115+BX114)/BX5)/4</f>
        <v>0.20543986790202734</v>
      </c>
      <c r="BY208" s="424">
        <f>SUM(BU114:BX115)/4/BY5</f>
        <v>0.22163240024341477</v>
      </c>
      <c r="BZ208" s="436">
        <f>((BZ115+BZ114)/BZ5)/4</f>
        <v>0.19179202092871159</v>
      </c>
      <c r="CA208" s="436">
        <f>((CA115+CA114)/CA5)/4</f>
        <v>0.18118775207836035</v>
      </c>
      <c r="CB208" s="436">
        <f>((CB115+CB114)/CB5)/4</f>
        <v>0.21892543859649122</v>
      </c>
      <c r="CC208" s="436">
        <f>((CC115+CC114)/CC5)/4</f>
        <v>0.1826336831584208</v>
      </c>
      <c r="CD208" s="424">
        <f>SUM(BZ114:CC115)/4/CD5</f>
        <v>0.19379985087104865</v>
      </c>
      <c r="CE208" s="436">
        <f>((CE115+CE114)/CE5)/4</f>
        <v>0.21173395294801045</v>
      </c>
      <c r="CF208" s="436">
        <f>((CF115+CF114)/CF5)/4</f>
        <v>0.20928063172509545</v>
      </c>
      <c r="CG208" s="436">
        <f>((CG115+CG114)/CG5)/4</f>
        <v>0.26225766986636551</v>
      </c>
      <c r="CH208" s="436">
        <f>((CH115+CH114)/CH5)/4</f>
        <v>0.22813333333333333</v>
      </c>
      <c r="CI208" s="424">
        <f>SUM(CE114:CH115)/4/CI5</f>
        <v>0.22755889520714867</v>
      </c>
      <c r="CJ208" s="436">
        <f>((CJ115+CJ114)/CJ5)/4</f>
        <v>0.33230971704321122</v>
      </c>
      <c r="CK208" s="436">
        <f>((CK115+CK114)/CK5)/4</f>
        <v>0.30194805194805197</v>
      </c>
      <c r="CL208" s="436">
        <f>((CL115+CL114)/CL5)/4</f>
        <v>0.34500991407799075</v>
      </c>
      <c r="CM208" s="436">
        <f>((CM115+CM114)/CM5)/4</f>
        <v>0.20100401606425702</v>
      </c>
      <c r="CN208" s="424">
        <f>SUM(CJ114:CM115)/4/CN5</f>
        <v>0.2995080298574983</v>
      </c>
      <c r="CO208" s="436">
        <f>((CO115+CO114)/CO5)/4</f>
        <v>0.27187172088142708</v>
      </c>
      <c r="CP208" s="436">
        <f ca="1">((CP115+CP114)/CP5)/4</f>
        <v>0.3706957832571558</v>
      </c>
      <c r="CQ208" s="436">
        <f ca="1">((CQ115+CQ114)/CQ5)/4</f>
        <v>0.35099230973706497</v>
      </c>
      <c r="CR208" s="436">
        <f ca="1">((CR115+CR114)/CR5)/4</f>
        <v>0.29855830258840838</v>
      </c>
      <c r="CS208" s="424">
        <f ca="1">SUM(CO114:CR115)/4/CS5</f>
        <v>0.32550679803554583</v>
      </c>
      <c r="CT208" s="436">
        <f ca="1">((CT115+CT114)/CT5)/4</f>
        <v>0.15149338113811223</v>
      </c>
      <c r="CU208" s="436">
        <f ca="1">((CU115+CU114)/CU5)/4</f>
        <v>0.22511177628678922</v>
      </c>
      <c r="CV208" s="436">
        <f ca="1">((CV115+CV114)/CV5)/4</f>
        <v>0.25627582041026586</v>
      </c>
      <c r="CW208" s="436">
        <f ca="1">((CW115+CW114)/CW5)/4</f>
        <v>0.25389802550309698</v>
      </c>
      <c r="CX208" s="424">
        <f ca="1">SUM(CT114:CW115)/4/CX5</f>
        <v>0.22232730305605589</v>
      </c>
      <c r="CY208" s="436">
        <f ca="1">((CY115+CY114)/CY5)/4</f>
        <v>0.14559033003632199</v>
      </c>
      <c r="CZ208" s="436">
        <f ca="1">((CZ115+CZ114)/CZ5)/4</f>
        <v>0.21939024278057398</v>
      </c>
      <c r="DA208" s="436">
        <f ca="1">((DA115+DA114)/DA5)/4</f>
        <v>0.25092312390522387</v>
      </c>
      <c r="DB208" s="436">
        <f ca="1">((DB115+DB114)/DB5)/4</f>
        <v>0.25049039691822078</v>
      </c>
      <c r="DC208" s="424">
        <f ca="1">SUM(CY114:DB115)/4/DC5</f>
        <v>0.21721473870791297</v>
      </c>
      <c r="DD208" s="436">
        <f ca="1">((DD115+DD114)/DD5)/4</f>
        <v>0.14055650472357475</v>
      </c>
      <c r="DE208" s="436">
        <f ca="1">((DE115+DE114)/DE5)/4</f>
        <v>0.21300206022950816</v>
      </c>
      <c r="DF208" s="436">
        <f ca="1">((DF115+DF114)/DF5)/4</f>
        <v>0.24591366217828062</v>
      </c>
      <c r="DG208" s="436">
        <f ca="1">((DG115+DG114)/DG5)/4</f>
        <v>0.24848579585259667</v>
      </c>
      <c r="DH208" s="424">
        <f ca="1">SUM(DD114:DG115)/4/DH5</f>
        <v>0.21254896067455931</v>
      </c>
      <c r="DI208" s="436">
        <f ca="1">((DI115+DI114)/DI5)/4</f>
        <v>0.13593239412921915</v>
      </c>
      <c r="DJ208" s="436">
        <f ca="1">((DJ115+DJ114)/DJ5)/4</f>
        <v>0.20777518036466247</v>
      </c>
      <c r="DK208" s="436">
        <f ca="1">((DK115+DK114)/DK5)/4</f>
        <v>0.24238330685055062</v>
      </c>
      <c r="DL208" s="436">
        <f ca="1">((DL115+DL114)/DL5)/4</f>
        <v>0.24840234249810064</v>
      </c>
      <c r="DM208" s="424">
        <f ca="1">SUM(DI114:DL115)/4/DM5</f>
        <v>0.20912262190206349</v>
      </c>
      <c r="DN208" s="207"/>
    </row>
    <row r="209" spans="1:118" ht="15" x14ac:dyDescent="0.2">
      <c r="A209" s="359" t="s">
        <v>106</v>
      </c>
      <c r="C209" s="218"/>
      <c r="D209" s="218"/>
      <c r="E209" s="218"/>
      <c r="F209" s="218"/>
      <c r="G209" s="209"/>
      <c r="H209" s="218">
        <f>H118/H5/4</f>
        <v>0.11044455670623896</v>
      </c>
      <c r="I209" s="218">
        <f>I118/I5/4</f>
        <v>9.9774339136041265E-2</v>
      </c>
      <c r="J209" s="218">
        <f>J118/J5/4</f>
        <v>9.6219382321618738E-2</v>
      </c>
      <c r="K209" s="218">
        <f>K118/K5/4</f>
        <v>0.11101934874941009</v>
      </c>
      <c r="L209" s="209">
        <f>AVERAGE(G118:K118)/L5</f>
        <v>0.10369905956112853</v>
      </c>
      <c r="M209" s="218">
        <f>M118/M5/4</f>
        <v>0.12141456239274331</v>
      </c>
      <c r="N209" s="218">
        <f>N118/N5/4</f>
        <v>0.10869970193740686</v>
      </c>
      <c r="O209" s="218">
        <f>O118/O5/4</f>
        <v>0.10254603532506576</v>
      </c>
      <c r="P209" s="218">
        <f>P118/P5/4</f>
        <v>0.10933263816475496</v>
      </c>
      <c r="Q209" s="209">
        <f>AVERAGE(L118:P118)/Q5</f>
        <v>0.10710488652627274</v>
      </c>
      <c r="R209" s="218">
        <f>R118/R5/4</f>
        <v>0.11730337078651686</v>
      </c>
      <c r="S209" s="218">
        <f>S118/S5/4</f>
        <v>0.10360240750575322</v>
      </c>
      <c r="T209" s="218">
        <f>T118/T5/4</f>
        <v>9.4879518072289157E-2</v>
      </c>
      <c r="U209" s="218">
        <f>U118/U5/4</f>
        <v>0.10221939773171686</v>
      </c>
      <c r="V209" s="209">
        <f>AVERAGE(Q118:U118)/V5</f>
        <v>0.10316919978903966</v>
      </c>
      <c r="W209" s="218">
        <f>W118/W5/4</f>
        <v>0.10038782816229117</v>
      </c>
      <c r="X209" s="218">
        <f>X118/X5/4</f>
        <v>9.046330740615488E-2</v>
      </c>
      <c r="Y209" s="218">
        <f>Y118/Y5/4</f>
        <v>8.867941386704789E-2</v>
      </c>
      <c r="Z209" s="218">
        <f>Z118/Z5/4</f>
        <v>0.10429477325134512</v>
      </c>
      <c r="AA209" s="209">
        <f>AVERAGE(V118:Z118)/AA5</f>
        <v>9.5722564621469955E-2</v>
      </c>
      <c r="AB209" s="218">
        <f>AB118/AB5/4</f>
        <v>0.10156550134460238</v>
      </c>
      <c r="AC209" s="218">
        <f>AC118/AC5/4</f>
        <v>9.3066561014263069E-2</v>
      </c>
      <c r="AD209" s="218">
        <f>AD118/AD5/4</f>
        <v>9.1808845453039592E-2</v>
      </c>
      <c r="AE209" s="218">
        <f>AE118/AE5/4</f>
        <v>0.10272923797513961</v>
      </c>
      <c r="AF209" s="209">
        <f>AVERAGE(AA118:AE118)/AF5</f>
        <v>9.637292243767312E-2</v>
      </c>
      <c r="AG209" s="218">
        <f>AG118/AG5/4</f>
        <v>0.10701301186375813</v>
      </c>
      <c r="AH209" s="218">
        <f>AH118/AH5/4</f>
        <v>0.10010037059913526</v>
      </c>
      <c r="AI209" s="218">
        <f>AI118/AI5/4</f>
        <v>9.641307716145027E-2</v>
      </c>
      <c r="AJ209" s="218">
        <f>AJ118/AJ5/4</f>
        <v>0.10902730950775455</v>
      </c>
      <c r="AK209" s="209">
        <f>AVERAGE(AF118:AJ118)/AK5</f>
        <v>0.10118731318498839</v>
      </c>
      <c r="AL209" s="218">
        <f>AL118/AL5/4</f>
        <v>0.11391938390955268</v>
      </c>
      <c r="AM209" s="218">
        <f>AM118/AM5/4</f>
        <v>0.10717056769688349</v>
      </c>
      <c r="AN209" s="218">
        <f>AN118/AN5/4</f>
        <v>0.10130039011703511</v>
      </c>
      <c r="AO209" s="218">
        <f>AO118/AO5/4</f>
        <v>0.1131155367616969</v>
      </c>
      <c r="AP209" s="209">
        <f>AVERAGE(AK118:AO118)/AP5</f>
        <v>0.10476487507363898</v>
      </c>
      <c r="AQ209" s="218">
        <f>AQ118/AQ5/4</f>
        <v>0.11857975335411303</v>
      </c>
      <c r="AR209" s="218">
        <f>AR118/AR5/4</f>
        <v>0.11256356400619058</v>
      </c>
      <c r="AS209" s="218">
        <f>AS118/AS5/4</f>
        <v>0.10943643512450851</v>
      </c>
      <c r="AT209" s="218">
        <f>AT118/AT5/4</f>
        <v>0.10840583777715408</v>
      </c>
      <c r="AU209" s="209">
        <f>AVERAGE(AP118:AT118)/AU5</f>
        <v>0.11053092912597046</v>
      </c>
      <c r="AV209" s="218">
        <f>AV118/AV5/4</f>
        <v>0.10946436044078672</v>
      </c>
      <c r="AW209" s="218">
        <f>AW118/AW5/4</f>
        <v>0.11328172251118906</v>
      </c>
      <c r="AX209" s="218">
        <f>AX118/AX5/4</f>
        <v>0.10768896071606165</v>
      </c>
      <c r="AY209" s="218">
        <f>AY118/AY5/4</f>
        <v>0.12509986684420774</v>
      </c>
      <c r="AZ209" s="209">
        <f>AVERAGE(AU118:AY118)/AZ5</f>
        <v>0.11099064214262665</v>
      </c>
      <c r="BA209" s="218">
        <f>BA118/BA5/4</f>
        <v>0.12308970099667774</v>
      </c>
      <c r="BB209" s="218">
        <f>BB118/BB5/4</f>
        <v>0.11531588655752825</v>
      </c>
      <c r="BC209" s="218">
        <f>BC118/BC5/4</f>
        <v>0.11037265606456206</v>
      </c>
      <c r="BD209" s="218">
        <f>BD118/BD5/4</f>
        <v>0.10549628500666794</v>
      </c>
      <c r="BE209" s="209">
        <f>AVERAGE(AZ118:BD118)/BE5</f>
        <v>0.11168749822053925</v>
      </c>
      <c r="BF209" s="218">
        <f>BF118/BF5/4</f>
        <v>0.10746799431009957</v>
      </c>
      <c r="BG209" s="218">
        <f>BG118/BG5/4</f>
        <v>0.11057427920496504</v>
      </c>
      <c r="BH209" s="218">
        <f>BH118/BH5/4</f>
        <v>0.10477415666094911</v>
      </c>
      <c r="BI209" s="218">
        <f>BI118/BI5/4</f>
        <v>0.11144332699103017</v>
      </c>
      <c r="BJ209" s="424">
        <f>AVERAGE(BE118:BI118)/BJ5</f>
        <v>0.10587274992481849</v>
      </c>
      <c r="BK209" s="436">
        <f>BK118/BK5/4</f>
        <v>0.10804381003680762</v>
      </c>
      <c r="BL209" s="436">
        <f>BL118/BL5/4</f>
        <v>0.10312213390400489</v>
      </c>
      <c r="BM209" s="436">
        <f>BM118/BM5/4</f>
        <v>0.10294475048606611</v>
      </c>
      <c r="BN209" s="436">
        <f>BN118/BN5/4</f>
        <v>0.10377235063235936</v>
      </c>
      <c r="BO209" s="424">
        <f>AVERAGE(BJ118:BN118)/BO5</f>
        <v>0.1039848434377082</v>
      </c>
      <c r="BP209" s="436">
        <f>BP118/BP5/4</f>
        <v>0.11339342331732946</v>
      </c>
      <c r="BQ209" s="436">
        <f>BQ118/BQ5/4</f>
        <v>0.10817383118920615</v>
      </c>
      <c r="BR209" s="436">
        <f>BR118/BR5/4</f>
        <v>0.105571605447792</v>
      </c>
      <c r="BS209" s="436">
        <f>BS118/BS5/4</f>
        <v>0.11041874376869391</v>
      </c>
      <c r="BT209" s="424">
        <f>AVERAGE(BO118:BS118)/BT5</f>
        <v>0.10768509640992863</v>
      </c>
      <c r="BU209" s="436">
        <f>BU118/BU5/4</f>
        <v>0.12360638699924414</v>
      </c>
      <c r="BV209" s="436">
        <f>BV118/BV5/4</f>
        <v>0.11696955204846166</v>
      </c>
      <c r="BW209" s="436">
        <f>BW118/BW5/4</f>
        <v>0.10602203488857358</v>
      </c>
      <c r="BX209" s="436">
        <f>BX118/BX5/4</f>
        <v>0.10242179616548941</v>
      </c>
      <c r="BY209" s="424">
        <f>AVERAGE(BT118:BX118)/BY5</f>
        <v>0.11094062418499523</v>
      </c>
      <c r="BZ209" s="436">
        <f>BZ118/BZ5/4</f>
        <v>0.10419975707745492</v>
      </c>
      <c r="CA209" s="436">
        <f>CA118/CA5/4</f>
        <v>0.10239525886904272</v>
      </c>
      <c r="CB209" s="436">
        <f>CB118/CB5/4</f>
        <v>8.8333333333333333E-2</v>
      </c>
      <c r="CC209" s="436">
        <f>CC118/CC5/4</f>
        <v>9.8475762118940532E-2</v>
      </c>
      <c r="CD209" s="424">
        <f>AVERAGE(BY118:CC118)/CD5</f>
        <v>9.8840861332670532E-2</v>
      </c>
      <c r="CE209" s="436">
        <f>CE118/CE5/4</f>
        <v>0.10037273695420661</v>
      </c>
      <c r="CF209" s="436">
        <f>CF118/CF5/4</f>
        <v>0.1034363068379035</v>
      </c>
      <c r="CG209" s="436">
        <f>CG118/CG5/4</f>
        <v>9.6038019951063425E-2</v>
      </c>
      <c r="CH209" s="436">
        <f>CH118/CH5/4</f>
        <v>0.10282666666666666</v>
      </c>
      <c r="CI209" s="424">
        <f>AVERAGE(CD118:CH118)/CI5</f>
        <v>9.9364457399531717E-2</v>
      </c>
      <c r="CJ209" s="436">
        <f>CJ118/CJ5/4</f>
        <v>0.10150252248300065</v>
      </c>
      <c r="CK209" s="436">
        <f>CK118/CK5/4</f>
        <v>0.10368996083281798</v>
      </c>
      <c r="CL209" s="436">
        <f>CL118/CL5/4</f>
        <v>0.10090328266137916</v>
      </c>
      <c r="CM209" s="436">
        <f>CM118/CM5/4</f>
        <v>0.12272423025435074</v>
      </c>
      <c r="CN209" s="424">
        <f>AVERAGE(CI118:CM118)/CN5</f>
        <v>0.10694978511648948</v>
      </c>
      <c r="CO209" s="436">
        <f>CO118/CO5/4</f>
        <v>0.12801678908709338</v>
      </c>
      <c r="CP209" s="570">
        <f>CK209-0.022</f>
        <v>8.1689960832817987E-2</v>
      </c>
      <c r="CQ209" s="570">
        <f>CL209-0.022</f>
        <v>7.8903282661379165E-2</v>
      </c>
      <c r="CR209" s="570">
        <f>CM209-0.022</f>
        <v>0.10072423025435073</v>
      </c>
      <c r="CS209" s="424">
        <f>AVERAGE(CN118:CR118)/CS5</f>
        <v>0.10002560449630406</v>
      </c>
      <c r="CT209" s="570">
        <f>CO209+0.02</f>
        <v>0.14801678908709337</v>
      </c>
      <c r="CU209" s="570">
        <f>CP209+0.02</f>
        <v>0.10168996083281799</v>
      </c>
      <c r="CV209" s="570">
        <f>CQ209+0.02</f>
        <v>9.8903282661379169E-2</v>
      </c>
      <c r="CW209" s="570">
        <f>CR209+0.02</f>
        <v>0.12072423025435074</v>
      </c>
      <c r="CX209" s="424">
        <f>AVERAGE(CS118:CW118)/CX5</f>
        <v>0.11080677124843659</v>
      </c>
      <c r="CY209" s="570">
        <f>CT209+0.02</f>
        <v>0.16801678908709336</v>
      </c>
      <c r="CZ209" s="570">
        <f>CU209+0.02</f>
        <v>0.12168996083281799</v>
      </c>
      <c r="DA209" s="570">
        <f>CV209+0.02</f>
        <v>0.11890328266137917</v>
      </c>
      <c r="DB209" s="570">
        <f>CW209+0.02</f>
        <v>0.14072423025435074</v>
      </c>
      <c r="DC209" s="424">
        <f>AVERAGE(CX118:DB118)/DC5</f>
        <v>0.13037707314439803</v>
      </c>
      <c r="DD209" s="570">
        <f>CY209+0.02</f>
        <v>0.18801678908709335</v>
      </c>
      <c r="DE209" s="570">
        <f>CZ209+0.02</f>
        <v>0.14168996083281798</v>
      </c>
      <c r="DF209" s="570">
        <f>DA209+0.02</f>
        <v>0.13890328266137916</v>
      </c>
      <c r="DG209" s="570">
        <f>DB209+0.02</f>
        <v>0.16072423025435073</v>
      </c>
      <c r="DH209" s="424">
        <f>AVERAGE(DC118:DG118)/DH5</f>
        <v>0.15005981856850859</v>
      </c>
      <c r="DI209" s="570">
        <f>DD209+0.02</f>
        <v>0.20801678908709334</v>
      </c>
      <c r="DJ209" s="570">
        <f>DE209+0.02</f>
        <v>0.16168996083281797</v>
      </c>
      <c r="DK209" s="570">
        <f>DF209+0.02</f>
        <v>0.15890328266137915</v>
      </c>
      <c r="DL209" s="570">
        <f>DG209+0.02</f>
        <v>0.18072423025435072</v>
      </c>
      <c r="DM209" s="424">
        <f>AVERAGE(DH118:DL118)/DM5</f>
        <v>0.16972403362174701</v>
      </c>
      <c r="DN209" s="207"/>
    </row>
    <row r="210" spans="1:118" ht="15" x14ac:dyDescent="0.2">
      <c r="B210" s="359" t="s">
        <v>107</v>
      </c>
      <c r="C210" s="235"/>
      <c r="D210" s="235"/>
      <c r="E210" s="235"/>
      <c r="F210" s="235"/>
      <c r="G210" s="237"/>
      <c r="H210" s="235">
        <f>H118/H5*365/4</f>
        <v>40.31226319777722</v>
      </c>
      <c r="I210" s="235">
        <f>I118/I5*365/4</f>
        <v>36.41763378465506</v>
      </c>
      <c r="J210" s="235">
        <f>J118/J5*365/4</f>
        <v>35.120074547390843</v>
      </c>
      <c r="K210" s="235">
        <f>K118/K5*365/4</f>
        <v>40.522062293534681</v>
      </c>
      <c r="L210" s="237">
        <f>AVERAGE(G118:K118)/L5*365</f>
        <v>37.850156739811915</v>
      </c>
      <c r="M210" s="235">
        <f>M118/M5*365/4</f>
        <v>44.316315273351307</v>
      </c>
      <c r="N210" s="235">
        <f>N118/N5*365/4</f>
        <v>39.675391207153503</v>
      </c>
      <c r="O210" s="235">
        <f>O118/O5*365/4</f>
        <v>37.429302893649002</v>
      </c>
      <c r="P210" s="235">
        <f>P118/P5*365/4</f>
        <v>39.906412930135559</v>
      </c>
      <c r="Q210" s="237">
        <f>AVERAGE(L118:P118)/Q5*365</f>
        <v>39.093283582089555</v>
      </c>
      <c r="R210" s="235">
        <f>R118/R5*365/4</f>
        <v>42.815730337078655</v>
      </c>
      <c r="S210" s="235">
        <f>S118/S5*365/4</f>
        <v>37.814878739599926</v>
      </c>
      <c r="T210" s="235">
        <f>T118/T5*365/4</f>
        <v>34.631024096385545</v>
      </c>
      <c r="U210" s="235">
        <f>U118/U5*365/4</f>
        <v>37.310080172076653</v>
      </c>
      <c r="V210" s="237">
        <f>AVERAGE(Q118:U118)/V5*365</f>
        <v>37.656757922999475</v>
      </c>
      <c r="W210" s="235">
        <f>W118/W5*365/4</f>
        <v>36.641557279236274</v>
      </c>
      <c r="X210" s="235">
        <f>X118/X5*365/4</f>
        <v>33.019107203246534</v>
      </c>
      <c r="Y210" s="235">
        <f>Y118/Y5*365/4</f>
        <v>32.367986061472479</v>
      </c>
      <c r="Z210" s="235">
        <f>Z118/Z5*365/4</f>
        <v>38.067592236740971</v>
      </c>
      <c r="AA210" s="237">
        <f>AVERAGE(V118:Z118)/AA5*365</f>
        <v>34.938736086836535</v>
      </c>
      <c r="AB210" s="235">
        <f>AB118/AB5*365/4</f>
        <v>37.071407990779868</v>
      </c>
      <c r="AC210" s="235">
        <f>AC118/AC5*365/4</f>
        <v>33.96929477020602</v>
      </c>
      <c r="AD210" s="235">
        <f>AD118/AD5*365/4</f>
        <v>33.510228590359453</v>
      </c>
      <c r="AE210" s="235">
        <f>AE118/AE5*365/4</f>
        <v>37.496171860925955</v>
      </c>
      <c r="AF210" s="237">
        <f>AVERAGE(AA118:AE118)/AF5*365</f>
        <v>35.176116689750685</v>
      </c>
      <c r="AG210" s="235">
        <f>AG118/AG5*365/4</f>
        <v>39.059749330271714</v>
      </c>
      <c r="AH210" s="235">
        <f>AH118/AH5*365/4</f>
        <v>36.536635268684371</v>
      </c>
      <c r="AI210" s="235">
        <f>AI118/AI5*365/4</f>
        <v>35.19077316392935</v>
      </c>
      <c r="AJ210" s="235">
        <f>AJ118/AJ5*365/4</f>
        <v>39.794967970330411</v>
      </c>
      <c r="AK210" s="237">
        <f>AVERAGE(AF118:AJ118)/AK5*365</f>
        <v>36.93336931252076</v>
      </c>
      <c r="AL210" s="235">
        <f>AL118/AL5*365/4</f>
        <v>41.58057512698673</v>
      </c>
      <c r="AM210" s="235">
        <f>AM118/AM5*365/4</f>
        <v>39.117257209362471</v>
      </c>
      <c r="AN210" s="235">
        <f>AN118/AN5*365/4</f>
        <v>36.974642392717811</v>
      </c>
      <c r="AO210" s="235">
        <f>AO118/AO5*365/4</f>
        <v>41.28717091801937</v>
      </c>
      <c r="AP210" s="237">
        <f>AVERAGE(AK118:AO118)/AP5*365</f>
        <v>38.239179401878225</v>
      </c>
      <c r="AQ210" s="235">
        <f>AQ118/AQ5*365/4</f>
        <v>43.281609974251253</v>
      </c>
      <c r="AR210" s="235">
        <f>AR118/AR5*365/4</f>
        <v>41.085700862259564</v>
      </c>
      <c r="AS210" s="235">
        <f>AS118/AS5*365/4</f>
        <v>39.94429882044561</v>
      </c>
      <c r="AT210" s="235">
        <f>AT118/AT5*365/4</f>
        <v>39.568130788661243</v>
      </c>
      <c r="AU210" s="237">
        <f>AVERAGE(AP118:AT118)/AU5*365</f>
        <v>40.343789130979218</v>
      </c>
      <c r="AV210" s="235">
        <f>AV118/AV5*365/4</f>
        <v>39.954491560887156</v>
      </c>
      <c r="AW210" s="235">
        <f>AW118/AW5*365/4</f>
        <v>41.347828716584011</v>
      </c>
      <c r="AX210" s="235">
        <f>AX118/AX5*365/4</f>
        <v>39.306470661362503</v>
      </c>
      <c r="AY210" s="235">
        <f>AY118/AY5*365/4</f>
        <v>45.661451398135824</v>
      </c>
      <c r="AZ210" s="237">
        <f>AVERAGE(AU118:AY118)/AZ5*365</f>
        <v>40.511584382058729</v>
      </c>
      <c r="BA210" s="235">
        <f>BA118/BA5*365/4</f>
        <v>44.927740863787371</v>
      </c>
      <c r="BB210" s="235">
        <f>BB118/BB5*365/4</f>
        <v>42.090298593497813</v>
      </c>
      <c r="BC210" s="235">
        <f>BC118/BC5*365/4</f>
        <v>40.286019463565154</v>
      </c>
      <c r="BD210" s="235">
        <f>BD118/BD5*365/4</f>
        <v>38.506144027433798</v>
      </c>
      <c r="BE210" s="237">
        <f>AVERAGE(AZ118:BD118)/BE5*365</f>
        <v>40.765936850496828</v>
      </c>
      <c r="BF210" s="235">
        <f>BF118/BF5*365/4</f>
        <v>39.225817923186341</v>
      </c>
      <c r="BG210" s="235">
        <f>BG118/BG5*365/4</f>
        <v>40.359611909812237</v>
      </c>
      <c r="BH210" s="235">
        <f>BH118/BH5*365/4</f>
        <v>38.242567181246422</v>
      </c>
      <c r="BI210" s="235">
        <f>BI118/BI5*365/4</f>
        <v>40.676814351726009</v>
      </c>
      <c r="BJ210" s="491">
        <f>AVERAGE(BE118:BI118)/BJ5*365</f>
        <v>38.64355372255875</v>
      </c>
      <c r="BK210" s="486">
        <f>BK118/BK5*365/4</f>
        <v>39.435990663434779</v>
      </c>
      <c r="BL210" s="486">
        <f>BL118/BL5*365/4</f>
        <v>37.639578874961785</v>
      </c>
      <c r="BM210" s="486">
        <f>BM118/BM5*365/4</f>
        <v>37.574833927414126</v>
      </c>
      <c r="BN210" s="486">
        <f>BN118/BN5*365/4</f>
        <v>37.876907980811168</v>
      </c>
      <c r="BO210" s="491">
        <f>AVERAGE(BJ118:BN118)/BO5*365</f>
        <v>37.954467854763493</v>
      </c>
      <c r="BP210" s="486">
        <f>BP118/BP5*365/4</f>
        <v>41.388599510825252</v>
      </c>
      <c r="BQ210" s="486">
        <f>BQ118/BQ5*365/4</f>
        <v>39.483448384060246</v>
      </c>
      <c r="BR210" s="486">
        <f>BR118/BR5*365/4</f>
        <v>38.533635988444075</v>
      </c>
      <c r="BS210" s="486">
        <f>BS118/BS5*365/4</f>
        <v>40.302841475573281</v>
      </c>
      <c r="BT210" s="491">
        <f>AVERAGE(BO118:BS118)/BT5*365</f>
        <v>39.305060189623951</v>
      </c>
      <c r="BU210" s="486">
        <f>BU118/BU5*365/4</f>
        <v>45.116331254724116</v>
      </c>
      <c r="BV210" s="486">
        <f>BV118/BV5*365/4</f>
        <v>42.693886497688503</v>
      </c>
      <c r="BW210" s="486">
        <f>BW118/BW5*365/4</f>
        <v>38.698042734329356</v>
      </c>
      <c r="BX210" s="486">
        <f>BX118/BX5*365/4</f>
        <v>37.383955600403631</v>
      </c>
      <c r="BY210" s="491">
        <f>AVERAGE(BT118:BX118)/BY5*365</f>
        <v>40.49332782752326</v>
      </c>
      <c r="BZ210" s="486">
        <f>BZ118/BZ5*365/4</f>
        <v>38.032911333271045</v>
      </c>
      <c r="CA210" s="486">
        <f>CA118/CA5*365/4</f>
        <v>37.374269487200593</v>
      </c>
      <c r="CB210" s="486">
        <f>CB118/CB5*365/4</f>
        <v>32.241666666666667</v>
      </c>
      <c r="CC210" s="486">
        <f>CC118/CC5*365/4</f>
        <v>35.943653173413296</v>
      </c>
      <c r="CD210" s="491">
        <f>AVERAGE(BY118:CC118)/CD5*365</f>
        <v>36.076914386424747</v>
      </c>
      <c r="CE210" s="486">
        <f>CE118/CE5*365/4</f>
        <v>36.63604898828541</v>
      </c>
      <c r="CF210" s="486">
        <f>CF118/CF5*365/4</f>
        <v>37.754251995834778</v>
      </c>
      <c r="CG210" s="486">
        <f>CG118/CG5*365/4</f>
        <v>35.053877282138153</v>
      </c>
      <c r="CH210" s="486">
        <f>CH118/CH5*365/4</f>
        <v>37.531733333333335</v>
      </c>
      <c r="CI210" s="491">
        <f>AVERAGE(CD118:CH118)/CI5*365</f>
        <v>36.268026950829075</v>
      </c>
      <c r="CJ210" s="486">
        <f>CJ118/CJ5*365/4</f>
        <v>37.048420706295239</v>
      </c>
      <c r="CK210" s="486">
        <f>CK118/CK5*365/4</f>
        <v>37.846835703978563</v>
      </c>
      <c r="CL210" s="486">
        <f>CL118/CL5*365/4</f>
        <v>36.829698171403393</v>
      </c>
      <c r="CM210" s="486">
        <f>CM118/CM5*365/4</f>
        <v>44.79434404283802</v>
      </c>
      <c r="CN210" s="491">
        <f>AVERAGE(CI118:CM118)/CN5*365</f>
        <v>39.03667156751866</v>
      </c>
      <c r="CO210" s="486">
        <f>CO118/CO5*365/4</f>
        <v>46.726128016789083</v>
      </c>
      <c r="CP210" s="486">
        <f>CP118/CP5*365/4</f>
        <v>29.816835703978565</v>
      </c>
      <c r="CQ210" s="486">
        <f>CQ118/CQ5*365/4</f>
        <v>28.799698171403396</v>
      </c>
      <c r="CR210" s="486">
        <f>CR118/CR5*365/4</f>
        <v>36.764344042838019</v>
      </c>
      <c r="CS210" s="491">
        <f>AVERAGE(CN118:CR118)/CS5*365</f>
        <v>36.509345641150979</v>
      </c>
      <c r="CT210" s="486">
        <f>CT118/CT5*365/4</f>
        <v>54.02612801678908</v>
      </c>
      <c r="CU210" s="486">
        <f>CU118/CU5*365/4</f>
        <v>37.116835703978566</v>
      </c>
      <c r="CV210" s="486">
        <f>CV118/CV5*365/4</f>
        <v>36.099698171403396</v>
      </c>
      <c r="CW210" s="486">
        <f>CW118/CW5*365/4</f>
        <v>44.064344042838016</v>
      </c>
      <c r="CX210" s="491">
        <f>AVERAGE(CS118:CW118)/CX5*365</f>
        <v>40.444471505679353</v>
      </c>
      <c r="CY210" s="486">
        <f>CY118/CY5*365/4</f>
        <v>61.326128016789077</v>
      </c>
      <c r="CZ210" s="486">
        <f>CZ118/CZ5*365/4</f>
        <v>44.41683570397857</v>
      </c>
      <c r="DA210" s="486">
        <f>DA118/DA5*365/4</f>
        <v>43.399698171403401</v>
      </c>
      <c r="DB210" s="486">
        <f>DB118/DB5*365/4</f>
        <v>51.36434404283802</v>
      </c>
      <c r="DC210" s="491">
        <f>AVERAGE(CX118:DB118)/DC5*365</f>
        <v>47.587631697705284</v>
      </c>
      <c r="DD210" s="486">
        <f>DD118/DD5*365/4</f>
        <v>68.626128016789067</v>
      </c>
      <c r="DE210" s="486">
        <f>DE118/DE5*365/4</f>
        <v>51.716835703978568</v>
      </c>
      <c r="DF210" s="486">
        <f>DF118/DF5*365/4</f>
        <v>50.699698171403398</v>
      </c>
      <c r="DG210" s="486">
        <f>DG118/DG5*365/4</f>
        <v>58.664344042838017</v>
      </c>
      <c r="DH210" s="491">
        <f>AVERAGE(DC118:DG118)/DH5*365</f>
        <v>54.771833777505634</v>
      </c>
      <c r="DI210" s="486">
        <f>DI118/DI5*365/4</f>
        <v>75.926128016789065</v>
      </c>
      <c r="DJ210" s="486">
        <f>DJ118/DJ5*365/4</f>
        <v>59.016835703978558</v>
      </c>
      <c r="DK210" s="486">
        <f>DK118/DK5*365/4</f>
        <v>57.999698171403388</v>
      </c>
      <c r="DL210" s="486">
        <f>DL118/DL5*365/4</f>
        <v>65.964344042838007</v>
      </c>
      <c r="DM210" s="491">
        <f>AVERAGE(DH118:DL118)/DM5*365</f>
        <v>61.949272271937659</v>
      </c>
      <c r="DN210" s="207"/>
    </row>
    <row r="211" spans="1:118" ht="15" x14ac:dyDescent="0.2">
      <c r="A211" s="359" t="s">
        <v>108</v>
      </c>
      <c r="C211" s="218"/>
      <c r="D211" s="218"/>
      <c r="E211" s="218"/>
      <c r="F211" s="218"/>
      <c r="G211" s="209"/>
      <c r="H211" s="218">
        <f>-H119/H9/4</f>
        <v>0.20817843866171004</v>
      </c>
      <c r="I211" s="218">
        <f>-I119/I9/4</f>
        <v>0.18936035465484483</v>
      </c>
      <c r="J211" s="218">
        <f>-J119/J9/4</f>
        <v>0.16843971631205673</v>
      </c>
      <c r="K211" s="218">
        <f>-K119/K9/4</f>
        <v>0.18469887955182074</v>
      </c>
      <c r="L211" s="209">
        <f>-AVERAGE(G119:K119)/L9</f>
        <v>0.18570483123759102</v>
      </c>
      <c r="M211" s="218">
        <f>-M119/M9/4</f>
        <v>0.22489239598278335</v>
      </c>
      <c r="N211" s="218">
        <f>-N119/N9/4</f>
        <v>0.17968344577062792</v>
      </c>
      <c r="O211" s="218">
        <f>-O119/O9/4</f>
        <v>0.15446471435429668</v>
      </c>
      <c r="P211" s="218">
        <f>-P119/P9/4</f>
        <v>0.19018224573780129</v>
      </c>
      <c r="Q211" s="209">
        <f>-AVERAGE(L119:P119)/Q9</f>
        <v>0.17663617171006332</v>
      </c>
      <c r="R211" s="218">
        <f>-R119/R9/4</f>
        <v>0.20416417016177352</v>
      </c>
      <c r="S211" s="218">
        <f>-S119/S9/4</f>
        <v>0.17136812411847674</v>
      </c>
      <c r="T211" s="218">
        <f>-T119/T9/4</f>
        <v>0.14910055350553506</v>
      </c>
      <c r="U211" s="218">
        <f>-U119/U9/4</f>
        <v>0.16918918918918918</v>
      </c>
      <c r="V211" s="209">
        <f>-AVERAGE(Q119:U119)/V9</f>
        <v>0.17046327105195802</v>
      </c>
      <c r="W211" s="218">
        <f>-W119/W9/4</f>
        <v>0.19837421563034799</v>
      </c>
      <c r="X211" s="218">
        <f>-X119/X9/4</f>
        <v>0.18281020107896029</v>
      </c>
      <c r="Y211" s="218">
        <f>-Y119/Y9/4</f>
        <v>0.17227095516569202</v>
      </c>
      <c r="Z211" s="218">
        <f>-Z119/Z9/4</f>
        <v>0.19580805295091008</v>
      </c>
      <c r="AA211" s="209">
        <f>-AVERAGE(V119:Z119)/AA9</f>
        <v>0.18200339558573853</v>
      </c>
      <c r="AB211" s="218">
        <f>-AB119/AB9/4</f>
        <v>0.20778327832783278</v>
      </c>
      <c r="AC211" s="218">
        <f>-AC119/AC9/4</f>
        <v>0.16864716636197441</v>
      </c>
      <c r="AD211" s="218">
        <f>-AD119/AD9/4</f>
        <v>0.16006711409395974</v>
      </c>
      <c r="AE211" s="218">
        <f>-AE119/AE9/4</f>
        <v>0.17791104447776113</v>
      </c>
      <c r="AF211" s="209">
        <f>-AVERAGE(AA119:AE119)/AF9</f>
        <v>0.17621936423198253</v>
      </c>
      <c r="AG211" s="218">
        <f>-AG119/AG9/4</f>
        <v>0.22436268829663963</v>
      </c>
      <c r="AH211" s="218">
        <f>-AH119/AH9/4</f>
        <v>0.1924170616113744</v>
      </c>
      <c r="AI211" s="218">
        <f>-AI119/AI9/4</f>
        <v>0.17571743929359823</v>
      </c>
      <c r="AJ211" s="218">
        <f>-AJ119/AJ9/4</f>
        <v>0.19924720738222437</v>
      </c>
      <c r="AK211" s="209">
        <f>-AVERAGE(AF119:AJ119)/AK9</f>
        <v>0.19191176470588237</v>
      </c>
      <c r="AL211" s="218">
        <f>-AL119/AL9/4</f>
        <v>0.22290985520784681</v>
      </c>
      <c r="AM211" s="218">
        <f>-AM119/AM9/4</f>
        <v>0.19102564102564101</v>
      </c>
      <c r="AN211" s="218">
        <f>-AN119/AN9/4</f>
        <v>0.17771607080874696</v>
      </c>
      <c r="AO211" s="218">
        <f>-AO119/AO9/4</f>
        <v>0.21014767133661491</v>
      </c>
      <c r="AP211" s="209">
        <f>-AVERAGE(AK119:AO119)/AP9</f>
        <v>0.19058982007120176</v>
      </c>
      <c r="AQ211" s="218">
        <f>-AQ119/AQ9/4</f>
        <v>0.23313643292682926</v>
      </c>
      <c r="AR211" s="218">
        <f>-AR119/AR9/4</f>
        <v>0.20011068943706514</v>
      </c>
      <c r="AS211" s="218">
        <f>-AS119/AS9/4</f>
        <v>0.19213576158940399</v>
      </c>
      <c r="AT211" s="218">
        <f>-AT119/AT9/4</f>
        <v>0.21290887850467291</v>
      </c>
      <c r="AU211" s="209">
        <f>-AVERAGE(AP119:AT119)/AU9</f>
        <v>0.20583787585721819</v>
      </c>
      <c r="AV211" s="218">
        <f>-AV119/AV9/4</f>
        <v>0.22181467181467182</v>
      </c>
      <c r="AW211" s="218">
        <f>-AW119/AW9/4</f>
        <v>0.21309646412633024</v>
      </c>
      <c r="AX211" s="218">
        <f>-AX119/AX9/4</f>
        <v>0.19947171097477845</v>
      </c>
      <c r="AY211" s="218">
        <f>-AY119/AY9/4</f>
        <v>0.22199170124481327</v>
      </c>
      <c r="AZ211" s="209">
        <f>-AVERAGE(AU119:AY119)/AZ9</f>
        <v>0.21037157287157288</v>
      </c>
      <c r="BA211" s="218">
        <f>-BA119/BA9/4</f>
        <v>0.22894529712711531</v>
      </c>
      <c r="BB211" s="218">
        <f>-BB119/BB9/4</f>
        <v>0.19991539763113367</v>
      </c>
      <c r="BC211" s="218">
        <f>-BC119/BC9/4</f>
        <v>0.19354009595613433</v>
      </c>
      <c r="BD211" s="218">
        <f>-BD119/BD9/4</f>
        <v>0.16374196737518537</v>
      </c>
      <c r="BE211" s="209">
        <f>-AVERAGE(AZ119:BD119)/BE9</f>
        <v>0.19186195826645264</v>
      </c>
      <c r="BF211" s="218">
        <f>-BF119/BF9/4</f>
        <v>0.19167087967644084</v>
      </c>
      <c r="BG211" s="218">
        <f>-BG119/BG9/4</f>
        <v>0.16289251207729469</v>
      </c>
      <c r="BH211" s="218">
        <f>-BH119/BH9/4</f>
        <v>0.16596902469652575</v>
      </c>
      <c r="BI211" s="218">
        <f>-BI119/BI9/4</f>
        <v>0.17628278221208665</v>
      </c>
      <c r="BJ211" s="424">
        <f>-AVERAGE(BE119:BI119)/BJ9</f>
        <v>0.167899596395201</v>
      </c>
      <c r="BK211" s="436">
        <f>-BK119/BK9/4</f>
        <v>0.19655093650068525</v>
      </c>
      <c r="BL211" s="436">
        <f>-BL119/BL9/4</f>
        <v>0.17271764252696456</v>
      </c>
      <c r="BM211" s="436">
        <f>-BM119/BM9/4</f>
        <v>0.17568807339449541</v>
      </c>
      <c r="BN211" s="436">
        <f>-BN119/BN9/4</f>
        <v>0.17902588854760859</v>
      </c>
      <c r="BO211" s="424">
        <f>-AVERAGE(BJ119:BN119)/BO9</f>
        <v>0.17687174906740924</v>
      </c>
      <c r="BP211" s="436">
        <f>-BP119/BP9/4</f>
        <v>0.21222640621322664</v>
      </c>
      <c r="BQ211" s="436">
        <f>-BQ119/BQ9/4</f>
        <v>0.18395273682084429</v>
      </c>
      <c r="BR211" s="436">
        <f>-BR119/BR9/4</f>
        <v>0.17143299607681189</v>
      </c>
      <c r="BS211" s="436">
        <f>-BS119/BS9/4</f>
        <v>0.18929066543438078</v>
      </c>
      <c r="BT211" s="424">
        <f>-AVERAGE(BO119:BS119)/BT9</f>
        <v>0.18629361493658483</v>
      </c>
      <c r="BU211" s="436">
        <f>-BU119/BU9/4</f>
        <v>0.20276636868808892</v>
      </c>
      <c r="BV211" s="436">
        <f>-BV119/BV9/4</f>
        <v>0.18294701986754966</v>
      </c>
      <c r="BW211" s="436">
        <f>-BW119/BW9/4</f>
        <v>0.17622069262206927</v>
      </c>
      <c r="BX211" s="436">
        <f>-BX119/BX9/4</f>
        <v>0.1809901914992994</v>
      </c>
      <c r="BY211" s="424">
        <f>-AVERAGE(BT119:BX119)/BY9</f>
        <v>0.18486202658920792</v>
      </c>
      <c r="BZ211" s="436">
        <f>-BZ119/BZ9/4</f>
        <v>0.19599366780321481</v>
      </c>
      <c r="CA211" s="436">
        <f>-CA119/CA9/4</f>
        <v>0.16890192791282482</v>
      </c>
      <c r="CB211" s="436">
        <f>-CB119/CB9/4</f>
        <v>0.16224353256021409</v>
      </c>
      <c r="CC211" s="436">
        <f>-CC119/CC9/4</f>
        <v>0.17895905278737051</v>
      </c>
      <c r="CD211" s="424">
        <f>-AVERAGE(BY119:CC119)/CD9</f>
        <v>0.17633210840606339</v>
      </c>
      <c r="CE211" s="436">
        <f>-CE119/CE9/4</f>
        <v>0.18532912314792324</v>
      </c>
      <c r="CF211" s="436">
        <f>-CF119/CF9/4</f>
        <v>0.16500109817702613</v>
      </c>
      <c r="CG211" s="436">
        <f>-CG119/CG9/4</f>
        <v>0.16640454875393176</v>
      </c>
      <c r="CH211" s="436">
        <f>-CH119/CH9/4</f>
        <v>0.1755249343832021</v>
      </c>
      <c r="CI211" s="424">
        <f>-AVERAGE(CD119:CH119)/CI9</f>
        <v>0.17317763197495936</v>
      </c>
      <c r="CJ211" s="436">
        <f>-CJ119/CJ9/4</f>
        <v>0.20426224865477202</v>
      </c>
      <c r="CK211" s="436">
        <f>-CK119/CK9/4</f>
        <v>0.19209584136601487</v>
      </c>
      <c r="CL211" s="436">
        <f>-CL119/CL9/4</f>
        <v>0.19329973317521496</v>
      </c>
      <c r="CM211" s="436">
        <f>-CM119/CM9/4</f>
        <v>0.24674721189591078</v>
      </c>
      <c r="CN211" s="424">
        <f>-AVERAGE(CI119:CM119)/CN9</f>
        <v>0.20586767485822305</v>
      </c>
      <c r="CO211" s="436">
        <f>-CO119/CO9/4</f>
        <v>0.26729159082635601</v>
      </c>
      <c r="CP211" s="570">
        <f>CK211-0.028</f>
        <v>0.16409584136601488</v>
      </c>
      <c r="CQ211" s="570">
        <f>CL211-0.028</f>
        <v>0.16529973317521496</v>
      </c>
      <c r="CR211" s="570">
        <f>CM211-0.028</f>
        <v>0.21874721189591079</v>
      </c>
      <c r="CS211" s="424">
        <f>-AVERAGE(CN119:CR119)/CS9</f>
        <v>0.2107404528687768</v>
      </c>
      <c r="CT211" s="570">
        <f>CO211+0.03</f>
        <v>0.29729159082635603</v>
      </c>
      <c r="CU211" s="570">
        <f>CP211+0.03</f>
        <v>0.19409584136601488</v>
      </c>
      <c r="CV211" s="570">
        <f>CQ211+0.03</f>
        <v>0.19529973317521496</v>
      </c>
      <c r="CW211" s="570">
        <f>CR211+0.03</f>
        <v>0.24874721189591079</v>
      </c>
      <c r="CX211" s="424">
        <f>-AVERAGE(CS119:CW119)/CX9</f>
        <v>0.22397114097346318</v>
      </c>
      <c r="CY211" s="570">
        <f>CT211+0.03</f>
        <v>0.32729159082635606</v>
      </c>
      <c r="CZ211" s="570">
        <f>CU211+0.03</f>
        <v>0.22409584136601488</v>
      </c>
      <c r="DA211" s="570">
        <f>CV211+0.03</f>
        <v>0.22529973317521496</v>
      </c>
      <c r="DB211" s="570">
        <f>CW211+0.03</f>
        <v>0.27874721189591078</v>
      </c>
      <c r="DC211" s="424">
        <f>-AVERAGE(CX119:DB119)/DC9</f>
        <v>0.25309858932666934</v>
      </c>
      <c r="DD211" s="570">
        <f>CY211+0.03</f>
        <v>0.35729159082635609</v>
      </c>
      <c r="DE211" s="570">
        <f>CZ211+0.03</f>
        <v>0.25409584136601487</v>
      </c>
      <c r="DF211" s="570">
        <f>DA211+0.03</f>
        <v>0.25529973317521493</v>
      </c>
      <c r="DG211" s="570">
        <f>DB211+0.03</f>
        <v>0.30874721189591081</v>
      </c>
      <c r="DH211" s="424">
        <f>-AVERAGE(DC119:DG119)/DH9</f>
        <v>0.28244963677971086</v>
      </c>
      <c r="DI211" s="570">
        <f>DD211+0.03</f>
        <v>0.38729159082635611</v>
      </c>
      <c r="DJ211" s="570">
        <f>DE211+0.03</f>
        <v>0.28409584136601485</v>
      </c>
      <c r="DK211" s="570">
        <f>DF211+0.03</f>
        <v>0.28529973317521495</v>
      </c>
      <c r="DL211" s="570">
        <f>DG211+0.03</f>
        <v>0.33874721189591084</v>
      </c>
      <c r="DM211" s="424">
        <f>-AVERAGE(DH119:DL119)/DM9</f>
        <v>0.31179599697762256</v>
      </c>
      <c r="DN211" s="207"/>
    </row>
    <row r="212" spans="1:118" ht="15" x14ac:dyDescent="0.2">
      <c r="B212" s="360" t="s">
        <v>109</v>
      </c>
      <c r="C212" s="235"/>
      <c r="D212" s="235"/>
      <c r="E212" s="235"/>
      <c r="F212" s="235"/>
      <c r="G212" s="237"/>
      <c r="H212" s="235">
        <f>-H119/H9*365/4</f>
        <v>75.985130111524171</v>
      </c>
      <c r="I212" s="235">
        <f>-I119/I9*365/4</f>
        <v>69.116529449018358</v>
      </c>
      <c r="J212" s="235">
        <f>-J119/J9*365/4</f>
        <v>61.480496453900706</v>
      </c>
      <c r="K212" s="235">
        <f>-K119/K9*365/4</f>
        <v>67.415091036414566</v>
      </c>
      <c r="L212" s="237">
        <f>-AVERAGE(G119:K119)/L9*365</f>
        <v>67.782263401720726</v>
      </c>
      <c r="M212" s="235">
        <f>-M119/M9*365/4</f>
        <v>82.085724533715918</v>
      </c>
      <c r="N212" s="235">
        <f>-N119/N9*365/4</f>
        <v>65.584457706279196</v>
      </c>
      <c r="O212" s="235">
        <f>-O119/O9*365/4</f>
        <v>56.379620739318291</v>
      </c>
      <c r="P212" s="235">
        <f>-P119/P9*365/4</f>
        <v>69.416519694297477</v>
      </c>
      <c r="Q212" s="237">
        <f>-AVERAGE(L119:P119)/Q9*365</f>
        <v>64.472202674173118</v>
      </c>
      <c r="R212" s="235">
        <f>-R119/R9*365/4</f>
        <v>74.519922109047329</v>
      </c>
      <c r="S212" s="235">
        <f>-S119/S9*365/4</f>
        <v>62.549365303244009</v>
      </c>
      <c r="T212" s="235">
        <f>-T119/T9*365/4</f>
        <v>54.421702029520297</v>
      </c>
      <c r="U212" s="235">
        <f>-U119/U9*365/4</f>
        <v>61.754054054054052</v>
      </c>
      <c r="V212" s="237">
        <f>-AVERAGE(Q119:U119)/V9*365</f>
        <v>62.219093933964679</v>
      </c>
      <c r="W212" s="235">
        <f>-W119/W9*365/4</f>
        <v>72.406588705077013</v>
      </c>
      <c r="X212" s="235">
        <f>-X119/X9*365/4</f>
        <v>66.725723393820502</v>
      </c>
      <c r="Y212" s="235">
        <f>-Y119/Y9*365/4</f>
        <v>62.87889863547759</v>
      </c>
      <c r="Z212" s="235">
        <f>-Z119/Z9*365/4</f>
        <v>71.469939327082187</v>
      </c>
      <c r="AA212" s="237">
        <f>-AVERAGE(V119:Z119)/AA9*365</f>
        <v>66.431239388794566</v>
      </c>
      <c r="AB212" s="235">
        <f>-AB119/AB9*365/4</f>
        <v>75.840896589658968</v>
      </c>
      <c r="AC212" s="235">
        <f>-AC119/AC9*365/4</f>
        <v>61.556215722120662</v>
      </c>
      <c r="AD212" s="235">
        <f>-AD119/AD9*365/4</f>
        <v>58.424496644295303</v>
      </c>
      <c r="AE212" s="235">
        <f>-AE119/AE9*365/4</f>
        <v>64.937531234382817</v>
      </c>
      <c r="AF212" s="237">
        <f>-AVERAGE(AA119:AE119)/AF9*365</f>
        <v>64.320067944673625</v>
      </c>
      <c r="AG212" s="235">
        <f>-AG119/AG9*365/4</f>
        <v>81.892381228273464</v>
      </c>
      <c r="AH212" s="235">
        <f>-AH119/AH9*365/4</f>
        <v>70.232227488151651</v>
      </c>
      <c r="AI212" s="235">
        <f>-AI119/AI9*365/4</f>
        <v>64.136865342163361</v>
      </c>
      <c r="AJ212" s="235">
        <f>-AJ119/AJ9*365/4</f>
        <v>72.725230694511893</v>
      </c>
      <c r="AK212" s="237">
        <f>-AVERAGE(AF119:AJ119)/AK9*365</f>
        <v>70.047794117647058</v>
      </c>
      <c r="AL212" s="235">
        <f>-AL119/AL9*365/4</f>
        <v>81.362097150864088</v>
      </c>
      <c r="AM212" s="235">
        <f>-AM119/AM9*365/4</f>
        <v>69.724358974358964</v>
      </c>
      <c r="AN212" s="235">
        <f>-AN119/AN9*365/4</f>
        <v>64.866365845192647</v>
      </c>
      <c r="AO212" s="235">
        <f>-AO119/AO9*365/4</f>
        <v>76.703900037864443</v>
      </c>
      <c r="AP212" s="237">
        <f>-AVERAGE(AK119:AO119)/AP9*365</f>
        <v>69.565284325988642</v>
      </c>
      <c r="AQ212" s="235">
        <f>-AQ119/AQ9*365/4</f>
        <v>85.094798018292678</v>
      </c>
      <c r="AR212" s="235">
        <f>-AR119/AR9*365/4</f>
        <v>73.040401644528771</v>
      </c>
      <c r="AS212" s="235">
        <f>-AS119/AS9*365/4</f>
        <v>70.129552980132459</v>
      </c>
      <c r="AT212" s="235">
        <f>-AT119/AT9*365/4</f>
        <v>77.711740654205613</v>
      </c>
      <c r="AU212" s="237">
        <f>-AVERAGE(AP119:AT119)/AU9*365</f>
        <v>75.13082468788464</v>
      </c>
      <c r="AV212" s="235">
        <f>-AV119/AV9*365/4</f>
        <v>80.96235521235522</v>
      </c>
      <c r="AW212" s="235">
        <f>-AW119/AW9*365/4</f>
        <v>77.780209406110544</v>
      </c>
      <c r="AX212" s="235">
        <f>-AX119/AX9*365/4</f>
        <v>72.807174505794137</v>
      </c>
      <c r="AY212" s="235">
        <f>-AY119/AY9*365/4</f>
        <v>81.026970954356841</v>
      </c>
      <c r="AZ212" s="237">
        <f>-AVERAGE(AU119:AY119)/AZ9*365</f>
        <v>76.785624098124103</v>
      </c>
      <c r="BA212" s="235">
        <f>-BA119/BA9*365/4</f>
        <v>83.565033451397085</v>
      </c>
      <c r="BB212" s="235">
        <f>-BB119/BB9*365/4</f>
        <v>72.969120135363795</v>
      </c>
      <c r="BC212" s="235">
        <f>-BC119/BC9*365/4</f>
        <v>70.642135023989027</v>
      </c>
      <c r="BD212" s="235">
        <f>-BD119/BD9*365/4</f>
        <v>59.765818091942663</v>
      </c>
      <c r="BE212" s="237">
        <f>-AVERAGE(AZ119:BD119)/BE9*365</f>
        <v>70.029614767255211</v>
      </c>
      <c r="BF212" s="235">
        <f>-BF119/BF9*365/4</f>
        <v>69.9598710819009</v>
      </c>
      <c r="BG212" s="235">
        <f>-BG119/BG9*365/4</f>
        <v>59.45576690821256</v>
      </c>
      <c r="BH212" s="235">
        <f>-BH119/BH9*365/4</f>
        <v>60.5786940142319</v>
      </c>
      <c r="BI212" s="235">
        <f>-BI119/BI9*365/4</f>
        <v>64.343215507411628</v>
      </c>
      <c r="BJ212" s="491">
        <f>-AVERAGE(BE119:BI119)/BJ9*365</f>
        <v>61.283352684248364</v>
      </c>
      <c r="BK212" s="486">
        <f>-BK119/BK9*365/4</f>
        <v>71.741091822750121</v>
      </c>
      <c r="BL212" s="486">
        <f>-BL119/BL9*365/4</f>
        <v>63.041939522342062</v>
      </c>
      <c r="BM212" s="486">
        <f>-BM119/BM9*365/4</f>
        <v>64.126146788990823</v>
      </c>
      <c r="BN212" s="486">
        <f>-BN119/BN9*365/4</f>
        <v>65.344449319877143</v>
      </c>
      <c r="BO212" s="491">
        <f>-AVERAGE(BJ119:BN119)/BO9*365</f>
        <v>64.558188409604369</v>
      </c>
      <c r="BP212" s="486">
        <f>-BP119/BP9*365/4</f>
        <v>77.462638267827728</v>
      </c>
      <c r="BQ212" s="486">
        <f>-BQ119/BQ9*365/4</f>
        <v>67.142748939608168</v>
      </c>
      <c r="BR212" s="486">
        <f>-BR119/BR9*365/4</f>
        <v>62.57304356803634</v>
      </c>
      <c r="BS212" s="486">
        <f>-BS119/BS9*365/4</f>
        <v>69.091092883548981</v>
      </c>
      <c r="BT212" s="491">
        <f>-AVERAGE(BO119:BS119)/BT9*365</f>
        <v>67.997169451853466</v>
      </c>
      <c r="BU212" s="486">
        <f>-BU119/BU9*365/4</f>
        <v>74.009724571152461</v>
      </c>
      <c r="BV212" s="486">
        <f>-BV119/BV9*365/4</f>
        <v>66.775662251655632</v>
      </c>
      <c r="BW212" s="486">
        <f>-BW119/BW9*365/4</f>
        <v>64.320552807055279</v>
      </c>
      <c r="BX212" s="486">
        <f>-BX119/BX9*365/4</f>
        <v>66.061419897244278</v>
      </c>
      <c r="BY212" s="491">
        <f>-AVERAGE(BT119:BX119)/BY9*365</f>
        <v>67.474639705060895</v>
      </c>
      <c r="BZ212" s="486">
        <f>-BZ119/BZ9*365/4</f>
        <v>71.537688748173409</v>
      </c>
      <c r="CA212" s="486">
        <f>-CA119/CA9*365/4</f>
        <v>61.649203688181061</v>
      </c>
      <c r="CB212" s="486">
        <f>-CB119/CB9*365/4</f>
        <v>59.218889384478146</v>
      </c>
      <c r="CC212" s="486">
        <f>-CC119/CC9*365/4</f>
        <v>65.320054267390233</v>
      </c>
      <c r="CD212" s="491">
        <f>-AVERAGE(BY119:CC119)/CD9*365</f>
        <v>64.361219568213144</v>
      </c>
      <c r="CE212" s="486">
        <f>-CE119/CE9*365/4</f>
        <v>67.645129948991979</v>
      </c>
      <c r="CF212" s="486">
        <f>-CF119/CF9*365/4</f>
        <v>60.22540083461454</v>
      </c>
      <c r="CG212" s="486">
        <f>-CG119/CG9*365/4</f>
        <v>60.737660295185094</v>
      </c>
      <c r="CH212" s="486">
        <f>-CH119/CH9*365/4</f>
        <v>64.066601049868765</v>
      </c>
      <c r="CI212" s="491">
        <f>-AVERAGE(CD119:CH119)/CI9*365</f>
        <v>63.209835670860166</v>
      </c>
      <c r="CJ212" s="486">
        <f>-CJ119/CJ9*365/4</f>
        <v>74.555720758991782</v>
      </c>
      <c r="CK212" s="486">
        <f>-CK119/CK9*365/4</f>
        <v>70.114982098595434</v>
      </c>
      <c r="CL212" s="486">
        <f>-CL119/CL9*365/4</f>
        <v>70.554402608953453</v>
      </c>
      <c r="CM212" s="486">
        <f>-CM119/CM9*365/4</f>
        <v>90.062732342007436</v>
      </c>
      <c r="CN212" s="491">
        <f>-AVERAGE(CI119:CM119)/CN9*365</f>
        <v>75.141701323251411</v>
      </c>
      <c r="CO212" s="486">
        <f>-CO119/CO9*365/4</f>
        <v>97.561430651619943</v>
      </c>
      <c r="CP212" s="486">
        <f>-CP119/CP9*365/4</f>
        <v>59.894982098595428</v>
      </c>
      <c r="CQ212" s="486">
        <f>-CQ119/CQ9*365/4</f>
        <v>60.334402608953461</v>
      </c>
      <c r="CR212" s="486">
        <f>-CR119/CR9*365/4</f>
        <v>79.842732342007437</v>
      </c>
      <c r="CS212" s="491">
        <f>-AVERAGE(CN119:CR119)/CS9*365</f>
        <v>76.920265297103526</v>
      </c>
      <c r="CT212" s="486">
        <f>-CT119/CT9*365/4</f>
        <v>108.51143065161995</v>
      </c>
      <c r="CU212" s="486">
        <f>-CU119/CU9*365/4</f>
        <v>70.844982098595437</v>
      </c>
      <c r="CV212" s="486">
        <f>-CV119/CV9*365/4</f>
        <v>71.284402608953457</v>
      </c>
      <c r="CW212" s="486">
        <f>-CW119/CW9*365/4</f>
        <v>90.792732342007426</v>
      </c>
      <c r="CX212" s="491">
        <f>-AVERAGE(CS119:CW119)/CX9*365</f>
        <v>81.749466455314064</v>
      </c>
      <c r="CY212" s="486">
        <f>-CY119/CY9*365/4</f>
        <v>119.46143065161996</v>
      </c>
      <c r="CZ212" s="486">
        <f>-CZ119/CZ9*365/4</f>
        <v>81.794982098595426</v>
      </c>
      <c r="DA212" s="486">
        <f>-DA119/DA9*365/4</f>
        <v>82.234402608953445</v>
      </c>
      <c r="DB212" s="486">
        <f>-DB119/DB9*365/4</f>
        <v>101.74273234200744</v>
      </c>
      <c r="DC212" s="491">
        <f>-AVERAGE(CX119:DB119)/DC9*365</f>
        <v>92.380985104234313</v>
      </c>
      <c r="DD212" s="486">
        <f>-DD119/DD9*365/4</f>
        <v>130.41143065161998</v>
      </c>
      <c r="DE212" s="486">
        <f>-DE119/DE9*365/4</f>
        <v>92.744982098595429</v>
      </c>
      <c r="DF212" s="486">
        <f>-DF119/DF9*365/4</f>
        <v>93.184402608953448</v>
      </c>
      <c r="DG212" s="486">
        <f>-DG119/DG9*365/4</f>
        <v>112.69273234200745</v>
      </c>
      <c r="DH212" s="491">
        <f>-AVERAGE(DC119:DG119)/DH9*365</f>
        <v>103.09411742459446</v>
      </c>
      <c r="DI212" s="486">
        <f>-DI119/DI9*365/4</f>
        <v>141.36143065161997</v>
      </c>
      <c r="DJ212" s="486">
        <f>-DJ119/DJ9*365/4</f>
        <v>103.69498209859542</v>
      </c>
      <c r="DK212" s="486">
        <f>-DK119/DK9*365/4</f>
        <v>104.13440260895345</v>
      </c>
      <c r="DL212" s="486">
        <f>-DL119/DL9*365/4</f>
        <v>123.64273234200746</v>
      </c>
      <c r="DM212" s="491">
        <f>-AVERAGE(DH119:DL119)/DM9*365</f>
        <v>113.80553889683223</v>
      </c>
      <c r="DN212" s="207"/>
    </row>
    <row r="213" spans="1:118" ht="15" x14ac:dyDescent="0.2">
      <c r="A213" s="359" t="s">
        <v>211</v>
      </c>
      <c r="C213" s="218"/>
      <c r="D213" s="218"/>
      <c r="E213" s="218"/>
      <c r="F213" s="218"/>
      <c r="G213" s="209"/>
      <c r="H213" s="218">
        <f>H120/H5/4</f>
        <v>0.1399343268502147</v>
      </c>
      <c r="I213" s="218">
        <f>I120/I5/4</f>
        <v>0.12491940683430044</v>
      </c>
      <c r="J213" s="218">
        <f>J120/J5/4</f>
        <v>0.11453674121405751</v>
      </c>
      <c r="K213" s="218">
        <f>K120/K5/4</f>
        <v>0.13567720622935348</v>
      </c>
      <c r="L213" s="209">
        <f>AVERAGE(G120:K120)/L5</f>
        <v>0.12518666286691366</v>
      </c>
      <c r="M213" s="218">
        <f>M120/M5/4</f>
        <v>0.12974993871046825</v>
      </c>
      <c r="N213" s="218">
        <f>N120/N5/4</f>
        <v>9.2911698956780919E-2</v>
      </c>
      <c r="O213" s="218">
        <f>O120/O5/4</f>
        <v>9.3245020668921458E-2</v>
      </c>
      <c r="P213" s="218">
        <f>P120/P5/4</f>
        <v>8.4254431699687174E-2</v>
      </c>
      <c r="Q213" s="209">
        <f>AVERAGE(L120:P120)/Q5</f>
        <v>0.10236148026988345</v>
      </c>
      <c r="R213" s="218">
        <f>R120/R5/4</f>
        <v>9.8820224719101124E-2</v>
      </c>
      <c r="S213" s="218">
        <f>S120/S5/4</f>
        <v>8.2580987785448756E-2</v>
      </c>
      <c r="T213" s="218">
        <f>T120/T5/4</f>
        <v>7.8047484053862512E-2</v>
      </c>
      <c r="U213" s="218">
        <f>U120/U5/4</f>
        <v>7.6798983183418074E-2</v>
      </c>
      <c r="V213" s="209">
        <f>AVERAGE(Q120:U120)/V5</f>
        <v>8.2217001486311544E-2</v>
      </c>
      <c r="W213" s="218">
        <f>W120/W5/4</f>
        <v>8.875298329355609E-2</v>
      </c>
      <c r="X213" s="218">
        <f>X120/X5/4</f>
        <v>7.1863375042272568E-2</v>
      </c>
      <c r="Y213" s="218">
        <f>Y120/Y5/4</f>
        <v>6.7056826304503214E-2</v>
      </c>
      <c r="Z213" s="218">
        <f>Z120/Z5/4</f>
        <v>8.3349346656418147E-2</v>
      </c>
      <c r="AA213" s="209">
        <f>AVERAGE(V120:Z120)/AA5</f>
        <v>7.6276331524238808E-2</v>
      </c>
      <c r="AB213" s="218">
        <f>AB120/AB5/4</f>
        <v>7.8467153284671534E-2</v>
      </c>
      <c r="AC213" s="218">
        <f>AC120/AC5/4</f>
        <v>6.9611727416798733E-2</v>
      </c>
      <c r="AD213" s="218">
        <f>AD120/AD5/4</f>
        <v>7.4954447573298E-2</v>
      </c>
      <c r="AE213" s="218">
        <f>AE120/AE5/4</f>
        <v>8.0075662042875154E-2</v>
      </c>
      <c r="AF213" s="209">
        <f>AVERAGE(AA120:AE120)/AF5</f>
        <v>7.5432825484764543E-2</v>
      </c>
      <c r="AG213" s="218">
        <f>AG120/AG5/4</f>
        <v>8.7638729429774201E-2</v>
      </c>
      <c r="AH213" s="218">
        <f>AH120/AH5/4</f>
        <v>6.5858554663372454E-2</v>
      </c>
      <c r="AI213" s="218">
        <f>AI120/AI5/4</f>
        <v>6.8019832661915094E-2</v>
      </c>
      <c r="AJ213" s="218">
        <f>AJ120/AJ5/4</f>
        <v>6.8400202292650036E-2</v>
      </c>
      <c r="AK213" s="209">
        <f>AVERAGE(AF120:AJ120)/AK5</f>
        <v>7.2193623380936572E-2</v>
      </c>
      <c r="AL213" s="218">
        <f>AL120/AL5/4</f>
        <v>8.2500409634605934E-2</v>
      </c>
      <c r="AM213" s="218">
        <f>AM120/AM5/4</f>
        <v>6.3688090003879483E-2</v>
      </c>
      <c r="AN213" s="218">
        <f>AN120/AN5/4</f>
        <v>6.8920676202860853E-2</v>
      </c>
      <c r="AO213" s="218">
        <f>AO120/AO5/4</f>
        <v>7.7069976810803437E-2</v>
      </c>
      <c r="AP213" s="209">
        <f>AVERAGE(AK120:AO120)/AP5</f>
        <v>6.9217174342447244E-2</v>
      </c>
      <c r="AQ213" s="218">
        <f>AQ120/AQ5/4</f>
        <v>8.5411302344491125E-2</v>
      </c>
      <c r="AR213" s="218">
        <f>AR120/AR5/4</f>
        <v>7.2628786203847009E-2</v>
      </c>
      <c r="AS213" s="218">
        <f>AS120/AS5/4</f>
        <v>8.1645418801382111E-2</v>
      </c>
      <c r="AT213" s="218">
        <f>AT120/AT5/4</f>
        <v>6.7358967162503502E-2</v>
      </c>
      <c r="AU213" s="209">
        <f>AVERAGE(AP120:AT120)/AU5</f>
        <v>7.5569747057350367E-2</v>
      </c>
      <c r="AV213" s="218">
        <f>AV120/AV5/4</f>
        <v>7.6649462965546103E-2</v>
      </c>
      <c r="AW213" s="218">
        <f>AW120/AW5/4</f>
        <v>6.6469093988145642E-2</v>
      </c>
      <c r="AX213" s="218">
        <f>AX120/AX5/4</f>
        <v>6.405395325708603E-2</v>
      </c>
      <c r="AY213" s="218">
        <f>AY120/AY5/4</f>
        <v>7.4101198402130489E-2</v>
      </c>
      <c r="AZ213" s="209">
        <f>AVERAGE(AU120:AY120)/AZ5</f>
        <v>6.8428525330751847E-2</v>
      </c>
      <c r="BA213" s="218">
        <f>BA120/BA5/4</f>
        <v>7.9136212624584715E-2</v>
      </c>
      <c r="BB213" s="218">
        <f>BB120/BB5/4</f>
        <v>5.8911690108369844E-2</v>
      </c>
      <c r="BC213" s="218">
        <f>BC120/BC5/4</f>
        <v>0.11455613577023499</v>
      </c>
      <c r="BD213" s="218">
        <f>BD120/BD5/4</f>
        <v>7.5300057153743577E-2</v>
      </c>
      <c r="BE213" s="209">
        <f>AVERAGE(AZ120:BD120)/BE5</f>
        <v>7.7869202516869282E-2</v>
      </c>
      <c r="BF213" s="218">
        <f>BF120/BF5/4</f>
        <v>8.7695590327169268E-2</v>
      </c>
      <c r="BG213" s="218">
        <f>BG120/BG5/4</f>
        <v>7.178490062063006E-2</v>
      </c>
      <c r="BH213" s="218">
        <f>BH120/BH5/4</f>
        <v>6.9243649432328677E-2</v>
      </c>
      <c r="BI213" s="218">
        <f>BI120/BI5/4</f>
        <v>7.8146235390051638E-2</v>
      </c>
      <c r="BJ213" s="424">
        <f>AVERAGE(BE120:BI120)/BJ5</f>
        <v>7.4567169308759729E-2</v>
      </c>
      <c r="BK213" s="436">
        <f>BK120/BK5/4</f>
        <v>8.9505341592602566E-2</v>
      </c>
      <c r="BL213" s="436">
        <f>BL120/BL5/4</f>
        <v>6.4487159889941914E-2</v>
      </c>
      <c r="BM213" s="436">
        <f>BM120/BM5/4</f>
        <v>6.276328580686974E-2</v>
      </c>
      <c r="BN213" s="436">
        <f>BN120/BN5/4</f>
        <v>0.12546881814217184</v>
      </c>
      <c r="BO213" s="424">
        <f>AVERAGE(BJ120:BN120)/BO5</f>
        <v>8.1887075283144567E-2</v>
      </c>
      <c r="BP213" s="436">
        <f>BP120/BP5/4</f>
        <v>0.10139052450403116</v>
      </c>
      <c r="BQ213" s="436">
        <f>BQ120/BQ5/4</f>
        <v>8.2365861311578289E-2</v>
      </c>
      <c r="BR213" s="436">
        <f>BR120/BR5/4</f>
        <v>5.5303342963268678E-2</v>
      </c>
      <c r="BS213" s="436">
        <f>BS120/BS5/4</f>
        <v>6.5394724916160607E-2</v>
      </c>
      <c r="BT213" s="424">
        <f>AVERAGE(BO120:BS120)/BT5</f>
        <v>8.5211462661127099E-2</v>
      </c>
      <c r="BU213" s="436">
        <f>BU120/BU5/4</f>
        <v>7.154667422524566E-2</v>
      </c>
      <c r="BV213" s="436">
        <f>BV120/BV5/4</f>
        <v>5.6910569105691054E-2</v>
      </c>
      <c r="BW213" s="436">
        <f>BW120/BW5/4</f>
        <v>7.0528336532843669E-2</v>
      </c>
      <c r="BX213" s="436">
        <f>BX120/BX5/4</f>
        <v>8.5886615906797539E-2</v>
      </c>
      <c r="BY213" s="424">
        <f>AVERAGE(BT120:BX120)/BY5</f>
        <v>6.9095018690776319E-2</v>
      </c>
      <c r="BZ213" s="436">
        <f>BZ120/BZ5/4</f>
        <v>0.10254134354853779</v>
      </c>
      <c r="CA213" s="436">
        <f>CA120/CA5/4</f>
        <v>7.5232529426290232E-2</v>
      </c>
      <c r="CB213" s="436">
        <f>CB120/CB5/4</f>
        <v>0.15092105263157896</v>
      </c>
      <c r="CC213" s="436">
        <f>CC120/CC5/4</f>
        <v>0.1662168915542229</v>
      </c>
      <c r="CD213" s="424">
        <f>AVERAGE(BY120:CC120)/CD5</f>
        <v>0.11444517251508236</v>
      </c>
      <c r="CE213" s="436">
        <f>CE120/CE5/4</f>
        <v>0.17184625810823895</v>
      </c>
      <c r="CF213" s="436">
        <f>CF120/CF5/4</f>
        <v>8.7317771607080874E-2</v>
      </c>
      <c r="CG213" s="436">
        <f>CG120/CG5/4</f>
        <v>0.13067005458309805</v>
      </c>
      <c r="CH213" s="436">
        <f>CH120/CH5/4</f>
        <v>0.14074666666666666</v>
      </c>
      <c r="CI213" s="424">
        <f>AVERAGE(CD120:CH120)/CI5</f>
        <v>0.13670855832178525</v>
      </c>
      <c r="CJ213" s="436">
        <f>CJ120/CJ5/4</f>
        <v>0.23193134459311252</v>
      </c>
      <c r="CK213" s="436">
        <f>CK120/CK5/4</f>
        <v>0.12685528756957329</v>
      </c>
      <c r="CL213" s="436">
        <f>CL120/CL5/4</f>
        <v>0.13149922890504517</v>
      </c>
      <c r="CM213" s="436">
        <f>CM120/CM5/4</f>
        <v>0.31954484605087013</v>
      </c>
      <c r="CN213" s="424">
        <f>AVERAGE(CI120:CM120)/CN5</f>
        <v>0.18651323230038455</v>
      </c>
      <c r="CO213" s="436">
        <f>CO120/CO5/4</f>
        <v>0.32227177334732426</v>
      </c>
      <c r="CP213" s="570">
        <f t="shared" ref="CP213:CR214" si="344">CK213</f>
        <v>0.12685528756957329</v>
      </c>
      <c r="CQ213" s="570">
        <f t="shared" si="344"/>
        <v>0.13149922890504517</v>
      </c>
      <c r="CR213" s="570">
        <f t="shared" si="344"/>
        <v>0.31954484605087013</v>
      </c>
      <c r="CS213" s="424">
        <f>AVERAGE(CN120:CR120)/CS5</f>
        <v>0.23471991503086734</v>
      </c>
      <c r="CT213" s="570">
        <f t="shared" ref="CT213:CW214" si="345">CO213</f>
        <v>0.32227177334732426</v>
      </c>
      <c r="CU213" s="570">
        <f t="shared" si="345"/>
        <v>0.12685528756957329</v>
      </c>
      <c r="CV213" s="570">
        <f t="shared" si="345"/>
        <v>0.13149922890504517</v>
      </c>
      <c r="CW213" s="570">
        <f t="shared" si="345"/>
        <v>0.31954484605087013</v>
      </c>
      <c r="CX213" s="424">
        <f>AVERAGE(CS120:CW120)/CX5</f>
        <v>0.23124469224797109</v>
      </c>
      <c r="CY213" s="570">
        <f t="shared" ref="CY213:DB214" si="346">CT213</f>
        <v>0.32227177334732426</v>
      </c>
      <c r="CZ213" s="570">
        <f t="shared" si="346"/>
        <v>0.12685528756957329</v>
      </c>
      <c r="DA213" s="570">
        <f t="shared" si="346"/>
        <v>0.13149922890504517</v>
      </c>
      <c r="DB213" s="570">
        <f t="shared" si="346"/>
        <v>0.31954484605087013</v>
      </c>
      <c r="DC213" s="424">
        <f>AVERAGE(CX120:DB120)/DC5</f>
        <v>0.23141665743249848</v>
      </c>
      <c r="DD213" s="570">
        <f t="shared" ref="DD213:DG214" si="347">CY213</f>
        <v>0.32227177334732426</v>
      </c>
      <c r="DE213" s="570">
        <f t="shared" si="347"/>
        <v>0.12685528756957329</v>
      </c>
      <c r="DF213" s="570">
        <f t="shared" si="347"/>
        <v>0.13149922890504517</v>
      </c>
      <c r="DG213" s="570">
        <f t="shared" si="347"/>
        <v>0.31954484605087013</v>
      </c>
      <c r="DH213" s="424">
        <f>AVERAGE(DC120:DG120)/DH5</f>
        <v>0.23180914654778589</v>
      </c>
      <c r="DI213" s="570">
        <f t="shared" ref="DI213:DL214" si="348">DD213</f>
        <v>0.32227177334732426</v>
      </c>
      <c r="DJ213" s="570">
        <f t="shared" si="348"/>
        <v>0.12685528756957329</v>
      </c>
      <c r="DK213" s="570">
        <f t="shared" si="348"/>
        <v>0.13149922890504517</v>
      </c>
      <c r="DL213" s="570">
        <f t="shared" si="348"/>
        <v>0.31954484605087013</v>
      </c>
      <c r="DM213" s="424">
        <f>AVERAGE(DH120:DL120)/DM5</f>
        <v>0.23206725891185062</v>
      </c>
      <c r="DN213" s="207"/>
    </row>
    <row r="214" spans="1:118" ht="15" x14ac:dyDescent="0.2">
      <c r="A214" s="359" t="s">
        <v>212</v>
      </c>
      <c r="C214" s="218"/>
      <c r="D214" s="218"/>
      <c r="E214" s="218"/>
      <c r="F214" s="218"/>
      <c r="G214" s="209"/>
      <c r="H214" s="218">
        <f>H125/H5/4</f>
        <v>0.14965900479919172</v>
      </c>
      <c r="I214" s="218">
        <f>I125/I5/4</f>
        <v>0.13002364066193853</v>
      </c>
      <c r="J214" s="218">
        <f>J125/J5/4</f>
        <v>0.12992545260915869</v>
      </c>
      <c r="K214" s="218">
        <f>K125/K5/4</f>
        <v>0.16470033034450213</v>
      </c>
      <c r="L214" s="209">
        <f>AVERAGE(G125:K125)/L5</f>
        <v>0.13548019378740381</v>
      </c>
      <c r="M214" s="218">
        <f>M125/M5/4</f>
        <v>0.17449129688649179</v>
      </c>
      <c r="N214" s="218">
        <f>N125/N5/4</f>
        <v>0.1414865871833085</v>
      </c>
      <c r="O214" s="218">
        <f>O125/O5/4</f>
        <v>0.14369597895527997</v>
      </c>
      <c r="P214" s="218">
        <f>P125/P5/4</f>
        <v>0.14045881126173096</v>
      </c>
      <c r="Q214" s="209">
        <f>AVERAGE(L125:P125)/Q5</f>
        <v>0.14751584543038235</v>
      </c>
      <c r="R214" s="218">
        <f>R125/R5/4</f>
        <v>0.16814606741573035</v>
      </c>
      <c r="S214" s="218">
        <f>S125/S5/4</f>
        <v>0.13179323774119314</v>
      </c>
      <c r="T214" s="218">
        <f>T125/T5/4</f>
        <v>0.13080262225372077</v>
      </c>
      <c r="U214" s="218">
        <f>U125/U5/4</f>
        <v>0.16239734063355496</v>
      </c>
      <c r="V214" s="209">
        <f>AVERAGE(Q125:U125)/V5</f>
        <v>0.14326125521407682</v>
      </c>
      <c r="W214" s="218">
        <f>W125/W5/4</f>
        <v>0.16313643595863167</v>
      </c>
      <c r="X214" s="218">
        <f>X125/X5/4</f>
        <v>0.13468041934392966</v>
      </c>
      <c r="Y214" s="218">
        <f>Y125/Y5/4</f>
        <v>0.13853645461043604</v>
      </c>
      <c r="Z214" s="218">
        <f>Z125/Z5/4</f>
        <v>0.1467140661029977</v>
      </c>
      <c r="AA214" s="209">
        <f>AVERAGE(V125:Z125)/AA5</f>
        <v>0.14666544016189864</v>
      </c>
      <c r="AB214" s="218">
        <f>AB125/AB5/4</f>
        <v>0.1430560891279293</v>
      </c>
      <c r="AC214" s="218">
        <f>AC125/AC5/4</f>
        <v>0.10990491283676704</v>
      </c>
      <c r="AD214" s="218">
        <f>AD125/AD5/4</f>
        <v>0.11346695378499255</v>
      </c>
      <c r="AE214" s="218">
        <f>AE125/AE5/4</f>
        <v>0.11925779138893892</v>
      </c>
      <c r="AF214" s="209">
        <f>AVERAGE(AA125:AE125)/AF5</f>
        <v>0.12287915512465374</v>
      </c>
      <c r="AG214" s="218">
        <f>AG125/AG5/4</f>
        <v>0.12849215461155761</v>
      </c>
      <c r="AH214" s="218">
        <f>AH125/AH5/4</f>
        <v>0.10438542310067943</v>
      </c>
      <c r="AI214" s="218">
        <f>AI125/AI5/4</f>
        <v>0.10532228075612024</v>
      </c>
      <c r="AJ214" s="218">
        <f>AJ125/AJ5/4</f>
        <v>0.11383175994605529</v>
      </c>
      <c r="AK214" s="209">
        <f>AVERAGE(AF125:AJ125)/AK5</f>
        <v>0.11174028561939554</v>
      </c>
      <c r="AL214" s="218">
        <f>AL125/AL5/4</f>
        <v>0.11453383581844995</v>
      </c>
      <c r="AM214" s="218">
        <f>AM125/AM5/4</f>
        <v>8.5865770076296394E-2</v>
      </c>
      <c r="AN214" s="218">
        <f>AN125/AN5/4</f>
        <v>8.5630689206762034E-2</v>
      </c>
      <c r="AO214" s="218">
        <f>AO125/AO5/4</f>
        <v>9.1222207065884603E-2</v>
      </c>
      <c r="AP214" s="209">
        <f>AVERAGE(AK125:AO125)/AP5</f>
        <v>9.3301451987386083E-2</v>
      </c>
      <c r="AQ214" s="218">
        <f>AQ125/AQ5/4</f>
        <v>9.1543569589375248E-2</v>
      </c>
      <c r="AR214" s="218">
        <f>AR125/AR5/4</f>
        <v>7.2794605350431127E-2</v>
      </c>
      <c r="AS214" s="218">
        <f>AS125/AS5/4</f>
        <v>7.8190158465387821E-2</v>
      </c>
      <c r="AT214" s="218">
        <f>AT125/AT5/4</f>
        <v>6.0798484423238847E-2</v>
      </c>
      <c r="AU214" s="209">
        <f>AVERAGE(AP125:AT125)/AU5</f>
        <v>7.7441773102930128E-2</v>
      </c>
      <c r="AV214" s="218">
        <f>AV125/AV5/4</f>
        <v>6.2526154275352214E-2</v>
      </c>
      <c r="AW214" s="218">
        <f>AW125/AW5/4</f>
        <v>5.6217491230192332E-2</v>
      </c>
      <c r="AX214" s="218">
        <f>AX125/AX5/4</f>
        <v>5.9361014420686226E-2</v>
      </c>
      <c r="AY214" s="218">
        <f>AY125/AY5/4</f>
        <v>6.5778961384820242E-2</v>
      </c>
      <c r="AZ214" s="209">
        <f>AVERAGE(AU125:AY125)/AZ5</f>
        <v>5.9832203936753793E-2</v>
      </c>
      <c r="BA214" s="218">
        <f>BA125/BA5/4</f>
        <v>6.9601328903654489E-2</v>
      </c>
      <c r="BB214" s="218">
        <f>BB125/BB5/4</f>
        <v>6.0295134885865805E-2</v>
      </c>
      <c r="BC214" s="218">
        <f>BC125/BC5/4</f>
        <v>6.2307144552575362E-2</v>
      </c>
      <c r="BD214" s="218">
        <f>BD125/BD5/4</f>
        <v>5.0509620880167652E-2</v>
      </c>
      <c r="BE214" s="209">
        <f>AVERAGE(AZ125:BD125)/BE5</f>
        <v>5.9129345443156914E-2</v>
      </c>
      <c r="BF214" s="218">
        <f>BF125/BF5/4</f>
        <v>6.4959696538643905E-2</v>
      </c>
      <c r="BG214" s="218">
        <f>BG125/BG5/4</f>
        <v>5.3048157750019642E-2</v>
      </c>
      <c r="BH214" s="218">
        <f>BH125/BH5/4</f>
        <v>6.5731438372947801E-2</v>
      </c>
      <c r="BI214" s="218">
        <f>BI125/BI5/4</f>
        <v>7.9165534112530578E-2</v>
      </c>
      <c r="BJ214" s="424">
        <f>AVERAGE(BE125:BI125)/BJ5</f>
        <v>6.1330927525024698E-2</v>
      </c>
      <c r="BK214" s="436">
        <f>BK125/BK5/4</f>
        <v>8.4612622317981862E-2</v>
      </c>
      <c r="BL214" s="436">
        <f>BL125/BL5/4</f>
        <v>6.9990064200550289E-2</v>
      </c>
      <c r="BM214" s="436">
        <f>BM125/BM5/4</f>
        <v>7.349724562540505E-2</v>
      </c>
      <c r="BN214" s="436">
        <f>BN125/BN5/4</f>
        <v>7.817269952027911E-2</v>
      </c>
      <c r="BO214" s="424">
        <f>AVERAGE(BJ125:BN125)/BO5</f>
        <v>7.554130579613591E-2</v>
      </c>
      <c r="BP214" s="436">
        <f>BP125/BP5/4</f>
        <v>8.8821451218407468E-2</v>
      </c>
      <c r="BQ214" s="436">
        <f>BQ125/BQ5/4</f>
        <v>7.5600094132412934E-2</v>
      </c>
      <c r="BR214" s="436">
        <f>BR125/BR5/4</f>
        <v>8.8113908378043754E-2</v>
      </c>
      <c r="BS214" s="436">
        <f>BS125/BS5/4</f>
        <v>0.10561497326203209</v>
      </c>
      <c r="BT214" s="424">
        <f>AVERAGE(BO125:BS125)/BT5</f>
        <v>8.6472781506338553E-2</v>
      </c>
      <c r="BU214" s="436">
        <f>BU125/BU5/4</f>
        <v>0.10995370370370371</v>
      </c>
      <c r="BV214" s="436">
        <f>BV125/BV5/4</f>
        <v>9.5747648652957124E-2</v>
      </c>
      <c r="BW214" s="436">
        <f>BW125/BW5/4</f>
        <v>0.10120190301310408</v>
      </c>
      <c r="BX214" s="436">
        <f>BX125/BX5/4</f>
        <v>0.10106870929272543</v>
      </c>
      <c r="BY214" s="424">
        <f>AVERAGE(BT125:BX125)/BY5</f>
        <v>0.101616969486221</v>
      </c>
      <c r="BZ214" s="436">
        <f>BZ125/BZ5/4</f>
        <v>0.10749322619826217</v>
      </c>
      <c r="CA214" s="436">
        <f>CA125/CA5/4</f>
        <v>9.2950037040085601E-2</v>
      </c>
      <c r="CB214" s="436">
        <f>CB125/CB5/4</f>
        <v>9.7500000000000003E-2</v>
      </c>
      <c r="CC214" s="436">
        <f>CC125/CC5/4</f>
        <v>0.1051224387806097</v>
      </c>
      <c r="CD214" s="424">
        <f>AVERAGE(BY125:CC125)/CD5</f>
        <v>0.10022821248616039</v>
      </c>
      <c r="CE214" s="436">
        <f>CE125/CE5/4</f>
        <v>0.10441475457449899</v>
      </c>
      <c r="CF214" s="436">
        <f>CF125/CF5/4</f>
        <v>9.4802152030544956E-2</v>
      </c>
      <c r="CG214" s="436">
        <f>CG125/CG5/4</f>
        <v>0.1064840956145304</v>
      </c>
      <c r="CH214" s="436">
        <f>CH125/CH5/4</f>
        <v>0.11328000000000001</v>
      </c>
      <c r="CI214" s="424">
        <f>AVERAGE(CD125:CH125)/CI5</f>
        <v>0.10352654465523009</v>
      </c>
      <c r="CJ214" s="436">
        <f>CJ125/CJ5/4</f>
        <v>0.12212107918403159</v>
      </c>
      <c r="CK214" s="436">
        <f>CK125/CK5/4</f>
        <v>0.11126571840857555</v>
      </c>
      <c r="CL214" s="436">
        <f>CL125/CL5/4</f>
        <v>0.12337519277373871</v>
      </c>
      <c r="CM214" s="436">
        <f>CM125/CM5/4</f>
        <v>0.15261044176706828</v>
      </c>
      <c r="CN214" s="424">
        <f>AVERAGE(CI125:CM125)/CN5</f>
        <v>0.12474553268491291</v>
      </c>
      <c r="CO214" s="436">
        <f>CO125/CO5/4</f>
        <v>0.25334470094438616</v>
      </c>
      <c r="CP214" s="570">
        <f t="shared" si="344"/>
        <v>0.11126571840857555</v>
      </c>
      <c r="CQ214" s="570">
        <f t="shared" si="344"/>
        <v>0.12337519277373871</v>
      </c>
      <c r="CR214" s="570">
        <f t="shared" si="344"/>
        <v>0.15261044176706828</v>
      </c>
      <c r="CS214" s="424">
        <f>AVERAGE(CN125:CR125)/CS5</f>
        <v>0.15470966783781839</v>
      </c>
      <c r="CT214" s="570">
        <f t="shared" si="345"/>
        <v>0.25334470094438616</v>
      </c>
      <c r="CU214" s="570">
        <f t="shared" si="345"/>
        <v>0.11126571840857555</v>
      </c>
      <c r="CV214" s="570">
        <f t="shared" si="345"/>
        <v>0.12337519277373871</v>
      </c>
      <c r="CW214" s="570">
        <f t="shared" si="345"/>
        <v>0.15261044176706828</v>
      </c>
      <c r="CX214" s="424">
        <f>AVERAGE(CS125:CW125)/CX5</f>
        <v>0.15299293664337907</v>
      </c>
      <c r="CY214" s="570">
        <f t="shared" si="346"/>
        <v>0.25334470094438616</v>
      </c>
      <c r="CZ214" s="570">
        <f t="shared" si="346"/>
        <v>0.11126571840857555</v>
      </c>
      <c r="DA214" s="570">
        <f t="shared" si="346"/>
        <v>0.12337519277373871</v>
      </c>
      <c r="DB214" s="570">
        <f t="shared" si="346"/>
        <v>0.15261044176706828</v>
      </c>
      <c r="DC214" s="424">
        <f>AVERAGE(CX125:DB125)/DC5</f>
        <v>0.15305081024083067</v>
      </c>
      <c r="DD214" s="570">
        <f t="shared" si="347"/>
        <v>0.25334470094438616</v>
      </c>
      <c r="DE214" s="570">
        <f t="shared" si="347"/>
        <v>0.11126571840857555</v>
      </c>
      <c r="DF214" s="570">
        <f t="shared" si="347"/>
        <v>0.12337519277373871</v>
      </c>
      <c r="DG214" s="570">
        <f t="shared" si="347"/>
        <v>0.15261044176706828</v>
      </c>
      <c r="DH214" s="424">
        <f>AVERAGE(DC125:DG125)/DH5</f>
        <v>0.15320933902307138</v>
      </c>
      <c r="DI214" s="570">
        <f t="shared" si="348"/>
        <v>0.25334470094438616</v>
      </c>
      <c r="DJ214" s="570">
        <f t="shared" si="348"/>
        <v>0.11126571840857555</v>
      </c>
      <c r="DK214" s="570">
        <f t="shared" si="348"/>
        <v>0.12337519277373871</v>
      </c>
      <c r="DL214" s="570">
        <f t="shared" si="348"/>
        <v>0.15261044176706828</v>
      </c>
      <c r="DM214" s="424">
        <f>AVERAGE(DH125:DL125)/DM5</f>
        <v>0.15330887638427176</v>
      </c>
      <c r="DN214" s="207"/>
    </row>
    <row r="215" spans="1:118" ht="15" x14ac:dyDescent="0.2">
      <c r="A215" s="361" t="s">
        <v>110</v>
      </c>
      <c r="C215" s="218"/>
      <c r="D215" s="218"/>
      <c r="E215" s="218"/>
      <c r="F215" s="218"/>
      <c r="G215" s="209"/>
      <c r="H215" s="218">
        <f t="shared" ref="H215:AM215" si="349">-H178/H5</f>
        <v>3.4604698156100025E-2</v>
      </c>
      <c r="I215" s="218">
        <f t="shared" si="349"/>
        <v>3.7825059101654845E-2</v>
      </c>
      <c r="J215" s="218">
        <f t="shared" si="349"/>
        <v>4.5793397231096912E-2</v>
      </c>
      <c r="K215" s="218">
        <f t="shared" si="349"/>
        <v>5.6866446436998584E-2</v>
      </c>
      <c r="L215" s="209">
        <f t="shared" si="349"/>
        <v>4.383015104018239E-2</v>
      </c>
      <c r="M215" s="218">
        <f t="shared" si="349"/>
        <v>4.290267222358421E-2</v>
      </c>
      <c r="N215" s="218">
        <f t="shared" si="349"/>
        <v>3.7071535022354697E-2</v>
      </c>
      <c r="O215" s="218">
        <f t="shared" si="349"/>
        <v>3.9083051484404358E-2</v>
      </c>
      <c r="P215" s="218">
        <f t="shared" si="349"/>
        <v>5.6100104275286757E-2</v>
      </c>
      <c r="Q215" s="209">
        <f t="shared" si="349"/>
        <v>4.3498262114087097E-2</v>
      </c>
      <c r="R215" s="218">
        <f t="shared" si="349"/>
        <v>4.3820224719101124E-2</v>
      </c>
      <c r="S215" s="218">
        <f t="shared" si="349"/>
        <v>3.5935563816604711E-2</v>
      </c>
      <c r="T215" s="218">
        <f t="shared" si="349"/>
        <v>2.9588944011339477E-2</v>
      </c>
      <c r="U215" s="218">
        <f t="shared" si="349"/>
        <v>4.8298787641767697E-2</v>
      </c>
      <c r="V215" s="209">
        <f t="shared" si="349"/>
        <v>3.893177350529798E-2</v>
      </c>
      <c r="W215" s="218">
        <f t="shared" si="349"/>
        <v>3.3810660302307081E-2</v>
      </c>
      <c r="X215" s="218">
        <f t="shared" si="349"/>
        <v>3.0774433547514371E-2</v>
      </c>
      <c r="Y215" s="218">
        <f t="shared" si="349"/>
        <v>3.0021443888491779E-2</v>
      </c>
      <c r="Z215" s="218">
        <f t="shared" si="349"/>
        <v>4.5157571099154498E-2</v>
      </c>
      <c r="AA215" s="209">
        <f t="shared" si="349"/>
        <v>3.4725416245055651E-2</v>
      </c>
      <c r="AB215" s="218">
        <f t="shared" si="349"/>
        <v>3.1694199001152515E-2</v>
      </c>
      <c r="AC215" s="218">
        <f t="shared" si="349"/>
        <v>3.3438985736925518E-2</v>
      </c>
      <c r="AD215" s="218">
        <f t="shared" si="349"/>
        <v>4.2570813317873116E-2</v>
      </c>
      <c r="AE215" s="218">
        <f t="shared" si="349"/>
        <v>4.7919293820933163E-2</v>
      </c>
      <c r="AF215" s="209">
        <f t="shared" si="349"/>
        <v>3.891101108033241E-2</v>
      </c>
      <c r="AG215" s="218">
        <f t="shared" si="349"/>
        <v>4.8985840030616151E-2</v>
      </c>
      <c r="AH215" s="218">
        <f t="shared" si="349"/>
        <v>5.7134033353922177E-2</v>
      </c>
      <c r="AI215" s="218">
        <f t="shared" si="349"/>
        <v>5.1750852184691665E-2</v>
      </c>
      <c r="AJ215" s="218">
        <f t="shared" si="349"/>
        <v>7.5354012137559004E-2</v>
      </c>
      <c r="AK215" s="209">
        <f t="shared" si="349"/>
        <v>5.8410826967784789E-2</v>
      </c>
      <c r="AL215" s="218">
        <f t="shared" si="349"/>
        <v>5.7348844830411271E-2</v>
      </c>
      <c r="AM215" s="218">
        <f t="shared" si="349"/>
        <v>5.431268589163326E-2</v>
      </c>
      <c r="AN215" s="218">
        <f t="shared" ref="AN215:BS215" si="350">-AN178/AN5</f>
        <v>4.174252275682705E-2</v>
      </c>
      <c r="AO215" s="218">
        <f t="shared" si="350"/>
        <v>7.5978720501977903E-2</v>
      </c>
      <c r="AP215" s="209">
        <f t="shared" si="350"/>
        <v>5.7109193609869359E-2</v>
      </c>
      <c r="AQ215" s="218">
        <f t="shared" si="350"/>
        <v>5.2310611193928713E-2</v>
      </c>
      <c r="AR215" s="218">
        <f t="shared" si="350"/>
        <v>5.6378509838602694E-2</v>
      </c>
      <c r="AS215" s="218">
        <f t="shared" si="350"/>
        <v>5.6475634457285831E-2</v>
      </c>
      <c r="AT215" s="218">
        <f t="shared" si="350"/>
        <v>8.3918046589952291E-2</v>
      </c>
      <c r="AU215" s="209">
        <f t="shared" si="350"/>
        <v>6.1607813673929375E-2</v>
      </c>
      <c r="AV215" s="218">
        <f t="shared" si="350"/>
        <v>6.5141581810573307E-2</v>
      </c>
      <c r="AW215" s="218">
        <f t="shared" si="350"/>
        <v>6.2053949437522682E-2</v>
      </c>
      <c r="AX215" s="218">
        <f t="shared" si="350"/>
        <v>5.2088513177523617E-2</v>
      </c>
      <c r="AY215" s="218">
        <f t="shared" si="350"/>
        <v>7.9094540612516639E-2</v>
      </c>
      <c r="AZ215" s="209">
        <f t="shared" si="350"/>
        <v>6.4311068086479503E-2</v>
      </c>
      <c r="BA215" s="218">
        <f t="shared" si="350"/>
        <v>5.2225913621262457E-2</v>
      </c>
      <c r="BB215" s="218">
        <f t="shared" si="350"/>
        <v>5.7643532395665206E-2</v>
      </c>
      <c r="BC215" s="218">
        <f t="shared" si="350"/>
        <v>5.2456681699501545E-2</v>
      </c>
      <c r="BD215" s="218">
        <f t="shared" si="350"/>
        <v>8.3825490569632316E-2</v>
      </c>
      <c r="BE215" s="209">
        <f t="shared" si="350"/>
        <v>6.3064089058451733E-2</v>
      </c>
      <c r="BF215" s="218">
        <f t="shared" si="350"/>
        <v>5.5855855855855854E-2</v>
      </c>
      <c r="BG215" s="218">
        <f t="shared" si="350"/>
        <v>4.7215020818603189E-2</v>
      </c>
      <c r="BH215" s="218">
        <f t="shared" si="350"/>
        <v>5.9217512047700725E-2</v>
      </c>
      <c r="BI215" s="218">
        <f t="shared" si="350"/>
        <v>9.1057352541451475E-2</v>
      </c>
      <c r="BJ215" s="424">
        <f t="shared" si="350"/>
        <v>6.2722859475018253E-2</v>
      </c>
      <c r="BK215" s="436">
        <f t="shared" si="350"/>
        <v>5.314660202890744E-2</v>
      </c>
      <c r="BL215" s="436">
        <f t="shared" si="350"/>
        <v>5.4494038520330176E-2</v>
      </c>
      <c r="BM215" s="436">
        <f t="shared" si="350"/>
        <v>5.3953337653920935E-2</v>
      </c>
      <c r="BN215" s="436">
        <f t="shared" si="350"/>
        <v>7.0562581770606189E-2</v>
      </c>
      <c r="BO215" s="424">
        <f t="shared" si="350"/>
        <v>5.7878081279147238E-2</v>
      </c>
      <c r="BP215" s="436">
        <f t="shared" si="350"/>
        <v>4.5112781954887216E-2</v>
      </c>
      <c r="BQ215" s="436">
        <f t="shared" si="350"/>
        <v>4.4791339818010666E-2</v>
      </c>
      <c r="BR215" s="436">
        <f t="shared" si="350"/>
        <v>4.5893520429219972E-2</v>
      </c>
      <c r="BS215" s="436">
        <f t="shared" si="350"/>
        <v>8.3839390918154622E-2</v>
      </c>
      <c r="BT215" s="424">
        <f t="shared" ref="BT215:CY215" si="351">-BT178/BT5</f>
        <v>5.4330457015020775E-2</v>
      </c>
      <c r="BU215" s="436">
        <f t="shared" si="351"/>
        <v>4.242252456538171E-2</v>
      </c>
      <c r="BV215" s="436">
        <f t="shared" si="351"/>
        <v>4.6309580742866251E-2</v>
      </c>
      <c r="BW215" s="436">
        <f t="shared" si="351"/>
        <v>4.9077706368416657E-2</v>
      </c>
      <c r="BX215" s="436">
        <f t="shared" si="351"/>
        <v>7.2286946151729203E-2</v>
      </c>
      <c r="BY215" s="424">
        <f t="shared" si="351"/>
        <v>5.2290706772146395E-2</v>
      </c>
      <c r="BZ215" s="436">
        <f t="shared" si="351"/>
        <v>4.8210782023731663E-2</v>
      </c>
      <c r="CA215" s="436">
        <f t="shared" si="351"/>
        <v>4.9222158202321176E-2</v>
      </c>
      <c r="CB215" s="436">
        <f t="shared" si="351"/>
        <v>4.8771929824561404E-2</v>
      </c>
      <c r="CC215" s="436">
        <f t="shared" si="351"/>
        <v>8.8255872063968011E-2</v>
      </c>
      <c r="CD215" s="424">
        <f t="shared" si="351"/>
        <v>5.7685789818559777E-2</v>
      </c>
      <c r="CE215" s="436">
        <f t="shared" si="351"/>
        <v>5.1892729209023138E-2</v>
      </c>
      <c r="CF215" s="436">
        <f t="shared" si="351"/>
        <v>4.7639708434571326E-2</v>
      </c>
      <c r="CG215" s="436">
        <f t="shared" si="351"/>
        <v>4.4795783926218712E-2</v>
      </c>
      <c r="CH215" s="436">
        <f t="shared" si="351"/>
        <v>7.4773333333333331E-2</v>
      </c>
      <c r="CI215" s="424">
        <f t="shared" si="351"/>
        <v>5.404501361877001E-2</v>
      </c>
      <c r="CJ215" s="436">
        <f t="shared" si="351"/>
        <v>4.8475542882211009E-2</v>
      </c>
      <c r="CK215" s="436">
        <f t="shared" si="351"/>
        <v>4.0197897340754483E-2</v>
      </c>
      <c r="CL215" s="436">
        <f t="shared" si="351"/>
        <v>3.9876624807226264E-2</v>
      </c>
      <c r="CM215" s="436">
        <f t="shared" si="351"/>
        <v>6.4390896921017404E-2</v>
      </c>
      <c r="CN215" s="424">
        <f t="shared" si="351"/>
        <v>4.7359194752318479E-2</v>
      </c>
      <c r="CO215" s="436">
        <f t="shared" si="351"/>
        <v>3.5939139559286466E-2</v>
      </c>
      <c r="CP215" s="436">
        <f t="shared" si="351"/>
        <v>5.969789734075448E-2</v>
      </c>
      <c r="CQ215" s="436">
        <f t="shared" si="351"/>
        <v>5.9376624807226261E-2</v>
      </c>
      <c r="CR215" s="436">
        <f t="shared" si="351"/>
        <v>8.3890896921017408E-2</v>
      </c>
      <c r="CS215" s="424">
        <f t="shared" si="351"/>
        <v>5.9491148042699928E-2</v>
      </c>
      <c r="CT215" s="436">
        <f t="shared" si="351"/>
        <v>4.8401226456416993E-2</v>
      </c>
      <c r="CU215" s="436">
        <f t="shared" si="351"/>
        <v>4.0168915439283137E-2</v>
      </c>
      <c r="CV215" s="436">
        <f t="shared" si="351"/>
        <v>3.9942623855235573E-2</v>
      </c>
      <c r="CW215" s="436">
        <f t="shared" si="351"/>
        <v>6.4030883919062836E-2</v>
      </c>
      <c r="CX215" s="424">
        <f t="shared" si="351"/>
        <v>4.7545830925717361E-2</v>
      </c>
      <c r="CY215" s="436">
        <f t="shared" si="351"/>
        <v>4.8401226456416993E-2</v>
      </c>
      <c r="CZ215" s="436">
        <f t="shared" ref="CZ215:DM215" si="352">-CZ178/CZ5</f>
        <v>4.0168915439283137E-2</v>
      </c>
      <c r="DA215" s="436">
        <f t="shared" si="352"/>
        <v>3.9942623855235573E-2</v>
      </c>
      <c r="DB215" s="436">
        <f t="shared" si="352"/>
        <v>6.4030883919062836E-2</v>
      </c>
      <c r="DC215" s="424">
        <f t="shared" si="352"/>
        <v>4.7555173872348588E-2</v>
      </c>
      <c r="DD215" s="436">
        <f t="shared" si="352"/>
        <v>4.8401226456416993E-2</v>
      </c>
      <c r="DE215" s="436">
        <f t="shared" si="352"/>
        <v>4.0168915439283137E-2</v>
      </c>
      <c r="DF215" s="436">
        <f t="shared" si="352"/>
        <v>3.9942623855235573E-2</v>
      </c>
      <c r="DG215" s="436">
        <f t="shared" si="352"/>
        <v>6.4030883919062836E-2</v>
      </c>
      <c r="DH215" s="424">
        <f t="shared" si="352"/>
        <v>4.756520381627484E-2</v>
      </c>
      <c r="DI215" s="436">
        <f t="shared" si="352"/>
        <v>4.8401226456416993E-2</v>
      </c>
      <c r="DJ215" s="436">
        <f t="shared" si="352"/>
        <v>4.0168915439283137E-2</v>
      </c>
      <c r="DK215" s="436">
        <f t="shared" si="352"/>
        <v>3.9942623855235573E-2</v>
      </c>
      <c r="DL215" s="436">
        <f t="shared" si="352"/>
        <v>6.4030883919062836E-2</v>
      </c>
      <c r="DM215" s="424">
        <f t="shared" si="352"/>
        <v>4.757304706225228E-2</v>
      </c>
      <c r="DN215" s="207"/>
    </row>
    <row r="216" spans="1:118" ht="15" x14ac:dyDescent="0.2">
      <c r="A216" s="361" t="s">
        <v>111</v>
      </c>
      <c r="C216" s="218"/>
      <c r="D216" s="218"/>
      <c r="E216" s="218"/>
      <c r="F216" s="218"/>
      <c r="G216" s="209"/>
      <c r="H216" s="218">
        <f t="shared" ref="H216:AM216" si="353">-H178/H5</f>
        <v>3.4604698156100025E-2</v>
      </c>
      <c r="I216" s="218">
        <f t="shared" si="353"/>
        <v>3.7825059101654845E-2</v>
      </c>
      <c r="J216" s="218">
        <f t="shared" si="353"/>
        <v>4.5793397231096912E-2</v>
      </c>
      <c r="K216" s="218">
        <f t="shared" si="353"/>
        <v>5.6866446436998584E-2</v>
      </c>
      <c r="L216" s="209">
        <f t="shared" si="353"/>
        <v>4.383015104018239E-2</v>
      </c>
      <c r="M216" s="218">
        <f t="shared" si="353"/>
        <v>4.290267222358421E-2</v>
      </c>
      <c r="N216" s="218">
        <f t="shared" si="353"/>
        <v>3.7071535022354697E-2</v>
      </c>
      <c r="O216" s="218">
        <f t="shared" si="353"/>
        <v>3.9083051484404358E-2</v>
      </c>
      <c r="P216" s="218">
        <f t="shared" si="353"/>
        <v>5.6100104275286757E-2</v>
      </c>
      <c r="Q216" s="209">
        <f t="shared" si="353"/>
        <v>4.3498262114087097E-2</v>
      </c>
      <c r="R216" s="218">
        <f t="shared" si="353"/>
        <v>4.3820224719101124E-2</v>
      </c>
      <c r="S216" s="218">
        <f t="shared" si="353"/>
        <v>3.5935563816604711E-2</v>
      </c>
      <c r="T216" s="218">
        <f t="shared" si="353"/>
        <v>2.9588944011339477E-2</v>
      </c>
      <c r="U216" s="218">
        <f t="shared" si="353"/>
        <v>4.8298787641767697E-2</v>
      </c>
      <c r="V216" s="209">
        <f t="shared" si="353"/>
        <v>3.893177350529798E-2</v>
      </c>
      <c r="W216" s="218">
        <f t="shared" si="353"/>
        <v>3.3810660302307081E-2</v>
      </c>
      <c r="X216" s="218">
        <f t="shared" si="353"/>
        <v>3.0774433547514371E-2</v>
      </c>
      <c r="Y216" s="218">
        <f t="shared" si="353"/>
        <v>3.0021443888491779E-2</v>
      </c>
      <c r="Z216" s="218">
        <f t="shared" si="353"/>
        <v>4.5157571099154498E-2</v>
      </c>
      <c r="AA216" s="209">
        <f t="shared" si="353"/>
        <v>3.4725416245055651E-2</v>
      </c>
      <c r="AB216" s="218">
        <f t="shared" si="353"/>
        <v>3.1694199001152515E-2</v>
      </c>
      <c r="AC216" s="218">
        <f t="shared" si="353"/>
        <v>3.3438985736925518E-2</v>
      </c>
      <c r="AD216" s="218">
        <f t="shared" si="353"/>
        <v>4.2570813317873116E-2</v>
      </c>
      <c r="AE216" s="218">
        <f t="shared" si="353"/>
        <v>4.7919293820933163E-2</v>
      </c>
      <c r="AF216" s="209">
        <f t="shared" si="353"/>
        <v>3.891101108033241E-2</v>
      </c>
      <c r="AG216" s="218">
        <f t="shared" si="353"/>
        <v>4.8985840030616151E-2</v>
      </c>
      <c r="AH216" s="218">
        <f t="shared" si="353"/>
        <v>5.7134033353922177E-2</v>
      </c>
      <c r="AI216" s="218">
        <f t="shared" si="353"/>
        <v>5.1750852184691665E-2</v>
      </c>
      <c r="AJ216" s="218">
        <f t="shared" si="353"/>
        <v>7.5354012137559004E-2</v>
      </c>
      <c r="AK216" s="209">
        <f t="shared" si="353"/>
        <v>5.8410826967784789E-2</v>
      </c>
      <c r="AL216" s="218">
        <f t="shared" si="353"/>
        <v>5.7348844830411271E-2</v>
      </c>
      <c r="AM216" s="218">
        <f t="shared" si="353"/>
        <v>5.431268589163326E-2</v>
      </c>
      <c r="AN216" s="218">
        <f t="shared" ref="AN216:BS216" si="354">-AN178/AN5</f>
        <v>4.174252275682705E-2</v>
      </c>
      <c r="AO216" s="218">
        <f t="shared" si="354"/>
        <v>7.5978720501977903E-2</v>
      </c>
      <c r="AP216" s="209">
        <f t="shared" si="354"/>
        <v>5.7109193609869359E-2</v>
      </c>
      <c r="AQ216" s="218">
        <f t="shared" si="354"/>
        <v>5.2310611193928713E-2</v>
      </c>
      <c r="AR216" s="218">
        <f t="shared" si="354"/>
        <v>5.6378509838602694E-2</v>
      </c>
      <c r="AS216" s="218">
        <f t="shared" si="354"/>
        <v>5.6475634457285831E-2</v>
      </c>
      <c r="AT216" s="218">
        <f t="shared" si="354"/>
        <v>8.3918046589952291E-2</v>
      </c>
      <c r="AU216" s="209">
        <f t="shared" si="354"/>
        <v>6.1607813673929375E-2</v>
      </c>
      <c r="AV216" s="218">
        <f t="shared" si="354"/>
        <v>6.5141581810573307E-2</v>
      </c>
      <c r="AW216" s="218">
        <f t="shared" si="354"/>
        <v>6.2053949437522682E-2</v>
      </c>
      <c r="AX216" s="218">
        <f t="shared" si="354"/>
        <v>5.2088513177523617E-2</v>
      </c>
      <c r="AY216" s="218">
        <f t="shared" si="354"/>
        <v>7.9094540612516639E-2</v>
      </c>
      <c r="AZ216" s="209">
        <f t="shared" si="354"/>
        <v>6.4311068086479503E-2</v>
      </c>
      <c r="BA216" s="218">
        <f t="shared" si="354"/>
        <v>5.2225913621262457E-2</v>
      </c>
      <c r="BB216" s="218">
        <f t="shared" si="354"/>
        <v>5.7643532395665206E-2</v>
      </c>
      <c r="BC216" s="218">
        <f t="shared" si="354"/>
        <v>5.2456681699501545E-2</v>
      </c>
      <c r="BD216" s="218">
        <f t="shared" si="354"/>
        <v>8.3825490569632316E-2</v>
      </c>
      <c r="BE216" s="209">
        <f t="shared" si="354"/>
        <v>6.3064089058451733E-2</v>
      </c>
      <c r="BF216" s="218">
        <f t="shared" si="354"/>
        <v>5.5855855855855854E-2</v>
      </c>
      <c r="BG216" s="218">
        <f t="shared" si="354"/>
        <v>4.7215020818603189E-2</v>
      </c>
      <c r="BH216" s="218">
        <f t="shared" si="354"/>
        <v>5.9217512047700725E-2</v>
      </c>
      <c r="BI216" s="218">
        <f t="shared" si="354"/>
        <v>9.1057352541451475E-2</v>
      </c>
      <c r="BJ216" s="424">
        <f t="shared" si="354"/>
        <v>6.2722859475018253E-2</v>
      </c>
      <c r="BK216" s="436">
        <f t="shared" si="354"/>
        <v>5.314660202890744E-2</v>
      </c>
      <c r="BL216" s="436">
        <f t="shared" si="354"/>
        <v>5.4494038520330176E-2</v>
      </c>
      <c r="BM216" s="436">
        <f t="shared" si="354"/>
        <v>5.3953337653920935E-2</v>
      </c>
      <c r="BN216" s="436">
        <f t="shared" si="354"/>
        <v>7.0562581770606189E-2</v>
      </c>
      <c r="BO216" s="424">
        <f t="shared" si="354"/>
        <v>5.7878081279147238E-2</v>
      </c>
      <c r="BP216" s="436">
        <f t="shared" si="354"/>
        <v>4.5112781954887216E-2</v>
      </c>
      <c r="BQ216" s="436">
        <f t="shared" si="354"/>
        <v>4.4791339818010666E-2</v>
      </c>
      <c r="BR216" s="436">
        <f t="shared" si="354"/>
        <v>4.5893520429219972E-2</v>
      </c>
      <c r="BS216" s="436">
        <f t="shared" si="354"/>
        <v>8.3839390918154622E-2</v>
      </c>
      <c r="BT216" s="424">
        <f t="shared" ref="BT216:CO216" si="355">-BT178/BT5</f>
        <v>5.4330457015020775E-2</v>
      </c>
      <c r="BU216" s="436">
        <f t="shared" si="355"/>
        <v>4.242252456538171E-2</v>
      </c>
      <c r="BV216" s="436">
        <f t="shared" si="355"/>
        <v>4.6309580742866251E-2</v>
      </c>
      <c r="BW216" s="436">
        <f t="shared" si="355"/>
        <v>4.9077706368416657E-2</v>
      </c>
      <c r="BX216" s="436">
        <f t="shared" si="355"/>
        <v>7.2286946151729203E-2</v>
      </c>
      <c r="BY216" s="424">
        <f t="shared" si="355"/>
        <v>5.2290706772146395E-2</v>
      </c>
      <c r="BZ216" s="436">
        <f t="shared" si="355"/>
        <v>4.8210782023731663E-2</v>
      </c>
      <c r="CA216" s="436">
        <f t="shared" si="355"/>
        <v>4.9222158202321176E-2</v>
      </c>
      <c r="CB216" s="436">
        <f t="shared" si="355"/>
        <v>4.8771929824561404E-2</v>
      </c>
      <c r="CC216" s="436">
        <f t="shared" si="355"/>
        <v>8.8255872063968011E-2</v>
      </c>
      <c r="CD216" s="424">
        <f t="shared" si="355"/>
        <v>5.7685789818559777E-2</v>
      </c>
      <c r="CE216" s="436">
        <f t="shared" si="355"/>
        <v>5.1892729209023138E-2</v>
      </c>
      <c r="CF216" s="436">
        <f t="shared" si="355"/>
        <v>4.7639708434571326E-2</v>
      </c>
      <c r="CG216" s="436">
        <f t="shared" si="355"/>
        <v>4.4795783926218712E-2</v>
      </c>
      <c r="CH216" s="436">
        <f t="shared" si="355"/>
        <v>7.4773333333333331E-2</v>
      </c>
      <c r="CI216" s="424">
        <f t="shared" si="355"/>
        <v>5.404501361877001E-2</v>
      </c>
      <c r="CJ216" s="436">
        <f t="shared" si="355"/>
        <v>4.8475542882211009E-2</v>
      </c>
      <c r="CK216" s="436">
        <f t="shared" si="355"/>
        <v>4.0197897340754483E-2</v>
      </c>
      <c r="CL216" s="436">
        <f t="shared" si="355"/>
        <v>3.9876624807226264E-2</v>
      </c>
      <c r="CM216" s="436">
        <f t="shared" si="355"/>
        <v>6.4390896921017404E-2</v>
      </c>
      <c r="CN216" s="424">
        <f t="shared" si="355"/>
        <v>4.7359194752318479E-2</v>
      </c>
      <c r="CO216" s="436">
        <f t="shared" si="355"/>
        <v>3.5939139559286466E-2</v>
      </c>
      <c r="CP216" s="570">
        <f>CK216+0.0195</f>
        <v>5.969789734075448E-2</v>
      </c>
      <c r="CQ216" s="570">
        <f>CL216+0.0195</f>
        <v>5.9376624807226261E-2</v>
      </c>
      <c r="CR216" s="570">
        <f>CM216+0.0195</f>
        <v>8.3890896921017408E-2</v>
      </c>
      <c r="CS216" s="424">
        <f>-CS178/CS5</f>
        <v>5.9491148042699928E-2</v>
      </c>
      <c r="CT216" s="570">
        <v>4.8401226456416993E-2</v>
      </c>
      <c r="CU216" s="570">
        <v>4.0168915439283137E-2</v>
      </c>
      <c r="CV216" s="570">
        <v>3.9942623855235573E-2</v>
      </c>
      <c r="CW216" s="570">
        <v>6.4030883919062836E-2</v>
      </c>
      <c r="CX216" s="424">
        <f>-CX178/CX5</f>
        <v>4.7545830925717361E-2</v>
      </c>
      <c r="CY216" s="570">
        <f t="shared" ref="CY216:DB217" si="356">CT216</f>
        <v>4.8401226456416993E-2</v>
      </c>
      <c r="CZ216" s="570">
        <f t="shared" si="356"/>
        <v>4.0168915439283137E-2</v>
      </c>
      <c r="DA216" s="570">
        <f t="shared" si="356"/>
        <v>3.9942623855235573E-2</v>
      </c>
      <c r="DB216" s="570">
        <f t="shared" si="356"/>
        <v>6.4030883919062836E-2</v>
      </c>
      <c r="DC216" s="424">
        <f>-DC178/DC5</f>
        <v>4.7555173872348588E-2</v>
      </c>
      <c r="DD216" s="570">
        <f t="shared" ref="DD216:DG217" si="357">CY216</f>
        <v>4.8401226456416993E-2</v>
      </c>
      <c r="DE216" s="570">
        <f t="shared" si="357"/>
        <v>4.0168915439283137E-2</v>
      </c>
      <c r="DF216" s="570">
        <f t="shared" si="357"/>
        <v>3.9942623855235573E-2</v>
      </c>
      <c r="DG216" s="570">
        <f t="shared" si="357"/>
        <v>6.4030883919062836E-2</v>
      </c>
      <c r="DH216" s="424">
        <f>-DH178/DH5</f>
        <v>4.756520381627484E-2</v>
      </c>
      <c r="DI216" s="570">
        <f t="shared" ref="DI216:DL217" si="358">DD216</f>
        <v>4.8401226456416993E-2</v>
      </c>
      <c r="DJ216" s="570">
        <f t="shared" si="358"/>
        <v>4.0168915439283137E-2</v>
      </c>
      <c r="DK216" s="570">
        <f t="shared" si="358"/>
        <v>3.9942623855235573E-2</v>
      </c>
      <c r="DL216" s="570">
        <f t="shared" si="358"/>
        <v>6.4030883919062836E-2</v>
      </c>
      <c r="DM216" s="424">
        <f>-DM178/DM5</f>
        <v>4.757304706225228E-2</v>
      </c>
      <c r="DN216" s="207"/>
    </row>
    <row r="217" spans="1:118" ht="15" x14ac:dyDescent="0.2">
      <c r="A217" s="362" t="s">
        <v>112</v>
      </c>
      <c r="C217" s="218"/>
      <c r="D217" s="218"/>
      <c r="E217" s="218"/>
      <c r="F217" s="218"/>
      <c r="G217" s="209"/>
      <c r="H217" s="218">
        <f>H162*4/G126</f>
        <v>0.1472198403799222</v>
      </c>
      <c r="I217" s="218">
        <f>I162*4/H126</f>
        <v>0.1899761336515513</v>
      </c>
      <c r="J217" s="218">
        <f>J162*4/I126</f>
        <v>0.17966674716252112</v>
      </c>
      <c r="K217" s="218">
        <f>K162*4/J126</f>
        <v>0.2066815144766147</v>
      </c>
      <c r="L217" s="209">
        <f>L162/G126</f>
        <v>0.15889453202295364</v>
      </c>
      <c r="M217" s="218">
        <f>M162*4/L126</f>
        <v>0.1751628115876937</v>
      </c>
      <c r="N217" s="218">
        <f>N162*4/M126</f>
        <v>0.15443134271586154</v>
      </c>
      <c r="O217" s="218">
        <f>O162*4/N126</f>
        <v>0.14709110867178923</v>
      </c>
      <c r="P217" s="218">
        <f>P162*4/O126</f>
        <v>0.14559521716194831</v>
      </c>
      <c r="Q217" s="209">
        <f>Q162/L126</f>
        <v>0.18100157197395014</v>
      </c>
      <c r="R217" s="218">
        <f>R162*4/Q126</f>
        <v>0.13398748096768737</v>
      </c>
      <c r="S217" s="218">
        <f>S162*4/R126</f>
        <v>0.13905663456830422</v>
      </c>
      <c r="T217" s="218">
        <f>T162*4/S126</f>
        <v>0.13484582201629652</v>
      </c>
      <c r="U217" s="218">
        <f>U162*4/T126</f>
        <v>0.15039577836411611</v>
      </c>
      <c r="V217" s="209">
        <f>V162/Q126</f>
        <v>0.14379969548299781</v>
      </c>
      <c r="W217" s="218">
        <f>W162*4/V126</f>
        <v>0.13974085615876661</v>
      </c>
      <c r="X217" s="218">
        <f>X162*4/W126</f>
        <v>0.12849162011173185</v>
      </c>
      <c r="Y217" s="218">
        <f>Y162*4/X126</f>
        <v>0.13320647002854424</v>
      </c>
      <c r="Z217" s="218">
        <f>Z162*4/Y126</f>
        <v>0.17047480149084426</v>
      </c>
      <c r="AA217" s="209">
        <f>AA162/V126</f>
        <v>0.14646547482368377</v>
      </c>
      <c r="AB217" s="218">
        <f>AB162*4/AA126</f>
        <v>0.14841569528813003</v>
      </c>
      <c r="AC217" s="218">
        <f>AC162*4/AB126</f>
        <v>0.14712188685469241</v>
      </c>
      <c r="AD217" s="218">
        <f>AD162*4/AC126</f>
        <v>0.15574614065180103</v>
      </c>
      <c r="AE217" s="218">
        <f>AE162*4/AD126</f>
        <v>0.17423855708694913</v>
      </c>
      <c r="AF217" s="209">
        <f>AF162/AA126</f>
        <v>0.15301264160236414</v>
      </c>
      <c r="AG217" s="218">
        <f>AG162*4/AF126</f>
        <v>0.14448669201520911</v>
      </c>
      <c r="AH217" s="218">
        <f>AH162*4/AG126</f>
        <v>0.15094339622641509</v>
      </c>
      <c r="AI217" s="218">
        <f>AI162*4/AH126</f>
        <v>0.1490246242404861</v>
      </c>
      <c r="AJ217" s="218">
        <f>AJ162*4/AI126</f>
        <v>0.16171224732461356</v>
      </c>
      <c r="AK217" s="209">
        <f>AK162/AF126</f>
        <v>0.16211545108883513</v>
      </c>
      <c r="AL217" s="218">
        <f>AL162*4/AK126</f>
        <v>0.13964942778502101</v>
      </c>
      <c r="AM217" s="218">
        <f>AM162*4/AL126</f>
        <v>0.14946133915177962</v>
      </c>
      <c r="AN217" s="218">
        <f>AN162*4/AM126</f>
        <v>0.14724897743765669</v>
      </c>
      <c r="AO217" s="218">
        <f>AO162*4/AN126</f>
        <v>0.18443083843558666</v>
      </c>
      <c r="AP217" s="209">
        <f>AP162/AK126</f>
        <v>0.16847747356221932</v>
      </c>
      <c r="AQ217" s="218">
        <f>AQ162*4/AP126</f>
        <v>0.14458966207464971</v>
      </c>
      <c r="AR217" s="218">
        <f>AR162*4/AQ126</f>
        <v>0.1521613832853026</v>
      </c>
      <c r="AS217" s="218">
        <f>AS162*4/AR126</f>
        <v>0.14049586776859505</v>
      </c>
      <c r="AT217" s="218">
        <f>AT162*4/AS126</f>
        <v>0.13369297525507212</v>
      </c>
      <c r="AU217" s="209">
        <f>AU162/AP126</f>
        <v>0.14458966207464971</v>
      </c>
      <c r="AV217" s="218">
        <f>AV162*4/AU126</f>
        <v>0.1359596444871487</v>
      </c>
      <c r="AW217" s="218">
        <f>AW162*4/AV126</f>
        <v>0.14338278931750742</v>
      </c>
      <c r="AX217" s="218">
        <f>AX162*4/AW126</f>
        <v>0.14375561545372867</v>
      </c>
      <c r="AY217" s="218">
        <f>AY162*4/AX126</f>
        <v>0.14551049565886362</v>
      </c>
      <c r="AZ217" s="209">
        <f>AZ162/AU126</f>
        <v>0.14845063656017296</v>
      </c>
      <c r="BA217" s="218">
        <f>BA162*4/AZ126</f>
        <v>0.1234180525049681</v>
      </c>
      <c r="BB217" s="218">
        <f>BB162*4/BA126</f>
        <v>0.13988490482514387</v>
      </c>
      <c r="BC217" s="218">
        <f>BC162*4/BB126</f>
        <v>0.14466465121486954</v>
      </c>
      <c r="BD217" s="218">
        <f>BD162*4/BC126</f>
        <v>0.22263531984691087</v>
      </c>
      <c r="BE217" s="209">
        <f>BE162/AZ126</f>
        <v>0.15092563539378726</v>
      </c>
      <c r="BF217" s="218">
        <f>BF162*4/BE126</f>
        <v>0.13200244448971277</v>
      </c>
      <c r="BG217" s="218">
        <f>BG162*4/BF126</f>
        <v>0.12700552784144534</v>
      </c>
      <c r="BH217" s="218">
        <f>BH162*4/BG126</f>
        <v>0.1248242148262238</v>
      </c>
      <c r="BI217" s="218">
        <f>BI162*4/BH126</f>
        <v>0.14626084561355185</v>
      </c>
      <c r="BJ217" s="424">
        <f>BJ162/BE126</f>
        <v>0.13268146940992734</v>
      </c>
      <c r="BK217" s="436">
        <f>BK162*4/BJ126</f>
        <v>0.11968672601914453</v>
      </c>
      <c r="BL217" s="436">
        <f>BL162*4/BK126</f>
        <v>0.13281045751633988</v>
      </c>
      <c r="BM217" s="436">
        <f>BM162*4/BL126</f>
        <v>0.13549492553051271</v>
      </c>
      <c r="BN217" s="436">
        <f>BN162*4/BM126</f>
        <v>0.13335066285417208</v>
      </c>
      <c r="BO217" s="424">
        <f>BO162/BJ126</f>
        <v>0.13267286966999131</v>
      </c>
      <c r="BP217" s="436">
        <f>BP162*4/BO126</f>
        <v>0.13069908814589665</v>
      </c>
      <c r="BQ217" s="436">
        <f>BQ162*4/BP126</f>
        <v>0.13037200027504642</v>
      </c>
      <c r="BR217" s="436">
        <f>BR162*4/BQ126</f>
        <v>0.13664169358718811</v>
      </c>
      <c r="BS217" s="436">
        <f>BS162*4/BR126</f>
        <v>0.14654935386307397</v>
      </c>
      <c r="BT217" s="424">
        <f>BT162/BO126</f>
        <v>0.13657087593257805</v>
      </c>
      <c r="BU217" s="436">
        <f>BU162*4/BT126</f>
        <v>0.12641143849802899</v>
      </c>
      <c r="BV217" s="436">
        <f>BV162*4/BU126</f>
        <v>0.13297442799461642</v>
      </c>
      <c r="BW217" s="436">
        <f>BW162*4/BV126</f>
        <v>0.1367475532913259</v>
      </c>
      <c r="BX217" s="436">
        <f>BX162*4/BW126</f>
        <v>0.13543221604016828</v>
      </c>
      <c r="BY217" s="424">
        <f>BY162/BT126</f>
        <v>0.13202378566178927</v>
      </c>
      <c r="BZ217" s="436">
        <f>BZ162*4/BY126</f>
        <v>0.12929679491560173</v>
      </c>
      <c r="CA217" s="436">
        <f>CA162*4/BZ126</f>
        <v>0.13606580231423393</v>
      </c>
      <c r="CB217" s="436">
        <f>CB162*4/CA126</f>
        <v>0.13421510616080751</v>
      </c>
      <c r="CC217" s="436">
        <f>CC162*4/CB126</f>
        <v>0.16710265556876733</v>
      </c>
      <c r="CD217" s="424">
        <f>CD162/BY126</f>
        <v>0.13462721246497641</v>
      </c>
      <c r="CE217" s="436">
        <f>CE162*4/CD126</f>
        <v>0.14573224087184791</v>
      </c>
      <c r="CF217" s="436">
        <f>CF162*4/CE126</f>
        <v>0.14112423689843812</v>
      </c>
      <c r="CG217" s="436">
        <f>CG162*4/CF126</f>
        <v>0.13266998341625208</v>
      </c>
      <c r="CH217" s="436">
        <f>CH162*4/CG126</f>
        <v>0.16612960973863231</v>
      </c>
      <c r="CI217" s="424">
        <f>CI162/CD126</f>
        <v>0.14215257338318352</v>
      </c>
      <c r="CJ217" s="436">
        <f>CJ162*4/CI126</f>
        <v>0.12336624353549601</v>
      </c>
      <c r="CK217" s="436">
        <f>CK162*4/CJ126</f>
        <v>0.12353786168684588</v>
      </c>
      <c r="CL217" s="436">
        <f>CL162*4/CK126</f>
        <v>0.13699261992619927</v>
      </c>
      <c r="CM217" s="436">
        <f>CM162*4/CL126</f>
        <v>0.16084758006260536</v>
      </c>
      <c r="CN217" s="424">
        <f>CN162/CI126</f>
        <v>0.11847672778561354</v>
      </c>
      <c r="CO217" s="436">
        <f>CO162*4/CN126</f>
        <v>0.13165914909179569</v>
      </c>
      <c r="CP217" s="570">
        <f t="shared" ref="CP217:CR217" si="359">CK217</f>
        <v>0.12353786168684588</v>
      </c>
      <c r="CQ217" s="570">
        <f t="shared" si="359"/>
        <v>0.13699261992619927</v>
      </c>
      <c r="CR217" s="570">
        <f t="shared" si="359"/>
        <v>0.16084758006260536</v>
      </c>
      <c r="CS217" s="424">
        <f>CS162/CN126</f>
        <v>0.13888487523077092</v>
      </c>
      <c r="CT217" s="570">
        <f t="shared" ref="CT217:CW217" si="360">CO217</f>
        <v>0.13165914909179569</v>
      </c>
      <c r="CU217" s="570">
        <f t="shared" si="360"/>
        <v>0.12353786168684588</v>
      </c>
      <c r="CV217" s="570">
        <f t="shared" si="360"/>
        <v>0.13699261992619927</v>
      </c>
      <c r="CW217" s="570">
        <f t="shared" si="360"/>
        <v>0.16084758006260536</v>
      </c>
      <c r="CX217" s="424">
        <f>CX162/CS126</f>
        <v>0.14037544750273748</v>
      </c>
      <c r="CY217" s="570">
        <f t="shared" si="356"/>
        <v>0.13165914909179569</v>
      </c>
      <c r="CZ217" s="570">
        <f t="shared" si="356"/>
        <v>0.12353786168684588</v>
      </c>
      <c r="DA217" s="570">
        <f t="shared" si="356"/>
        <v>0.13699261992619927</v>
      </c>
      <c r="DB217" s="570">
        <f t="shared" si="356"/>
        <v>0.16084758006260536</v>
      </c>
      <c r="DC217" s="424">
        <f>DC162/CX126</f>
        <v>0.14037354090288606</v>
      </c>
      <c r="DD217" s="570">
        <f t="shared" si="357"/>
        <v>0.13165914909179569</v>
      </c>
      <c r="DE217" s="570">
        <f t="shared" si="357"/>
        <v>0.12353786168684588</v>
      </c>
      <c r="DF217" s="570">
        <f t="shared" si="357"/>
        <v>0.13699261992619927</v>
      </c>
      <c r="DG217" s="570">
        <f t="shared" si="357"/>
        <v>0.16084758006260536</v>
      </c>
      <c r="DH217" s="424">
        <f>DH162/DC126</f>
        <v>0.14033064318301564</v>
      </c>
      <c r="DI217" s="570">
        <f t="shared" si="358"/>
        <v>0.13165914909179569</v>
      </c>
      <c r="DJ217" s="570">
        <f t="shared" si="358"/>
        <v>0.12353786168684588</v>
      </c>
      <c r="DK217" s="570">
        <f t="shared" si="358"/>
        <v>0.13699261992619927</v>
      </c>
      <c r="DL217" s="570">
        <f t="shared" si="358"/>
        <v>0.16084758006260536</v>
      </c>
      <c r="DM217" s="424">
        <f>DM162/DH126</f>
        <v>0.14027802923837401</v>
      </c>
      <c r="DN217" s="207"/>
    </row>
    <row r="218" spans="1:118" ht="15" x14ac:dyDescent="0.2">
      <c r="A218" s="362" t="s">
        <v>113</v>
      </c>
      <c r="C218" s="218"/>
      <c r="D218" s="218"/>
      <c r="E218" s="218"/>
      <c r="F218" s="218"/>
      <c r="G218" s="209"/>
      <c r="H218" s="218">
        <f>H162*4/H126</f>
        <v>0.1775656324582339</v>
      </c>
      <c r="I218" s="218">
        <f>I162*4/I126</f>
        <v>0.19222410045882637</v>
      </c>
      <c r="J218" s="218">
        <f>J162*4/J126</f>
        <v>0.16570155902004455</v>
      </c>
      <c r="K218" s="218">
        <f>K162*4/K126</f>
        <v>0.20839883224792274</v>
      </c>
      <c r="L218" s="209">
        <f>L162/AVERAGE(G126:K126)</f>
        <v>0.17982174581610261</v>
      </c>
      <c r="M218" s="218">
        <f>M162*4/M126</f>
        <v>0.14834537847090148</v>
      </c>
      <c r="N218" s="218">
        <f>N162*4/N126</f>
        <v>0.14855470179290156</v>
      </c>
      <c r="O218" s="218">
        <f>O162*4/O126</f>
        <v>0.14137506593986285</v>
      </c>
      <c r="P218" s="218">
        <f>P162*4/P126</f>
        <v>0.14007782101167315</v>
      </c>
      <c r="Q218" s="209">
        <f>Q162/AVERAGE(L126:P126)</f>
        <v>0.15051353874883286</v>
      </c>
      <c r="R218" s="218">
        <f>R162*4/R126</f>
        <v>0.12926391382405744</v>
      </c>
      <c r="S218" s="218">
        <f>S162*4/S126</f>
        <v>0.13612398146668797</v>
      </c>
      <c r="T218" s="218">
        <f>T162*4/T126</f>
        <v>0.1391820580474934</v>
      </c>
      <c r="U218" s="218">
        <f>U162*4/U126</f>
        <v>0.14958176152206004</v>
      </c>
      <c r="V218" s="209">
        <f>V162/AVERAGE(Q126:U126)</f>
        <v>0.13953641079519338</v>
      </c>
      <c r="W218" s="218">
        <f>W162*4/W126</f>
        <v>0.13221601489757914</v>
      </c>
      <c r="X218" s="218">
        <f>X162*4/X126</f>
        <v>0.1313035204567079</v>
      </c>
      <c r="Y218" s="218">
        <f>Y162*4/Y126</f>
        <v>0.13612056392805055</v>
      </c>
      <c r="Z218" s="218">
        <f>Z162*4/Z126</f>
        <v>0.17271384009193894</v>
      </c>
      <c r="AA218" s="209">
        <f>AA162/AVERAGE(V126:Z126)</f>
        <v>0.14352759651547783</v>
      </c>
      <c r="AB218" s="218">
        <f>AB162*4/AB126</f>
        <v>0.14910110506349991</v>
      </c>
      <c r="AC218" s="218">
        <f>AC162*4/AC126</f>
        <v>0.1530017152658662</v>
      </c>
      <c r="AD218" s="218">
        <f>AD162*4/AD126</f>
        <v>0.15450059554194318</v>
      </c>
      <c r="AE218" s="218">
        <f>AE162*4/AE126</f>
        <v>0.17697891462150017</v>
      </c>
      <c r="AF218" s="209">
        <f>AF162/AVERAGE(AA126:AE126)</f>
        <v>0.15718285155327691</v>
      </c>
      <c r="AG218" s="218">
        <f>AG162*4/AG126</f>
        <v>0.14083557951482481</v>
      </c>
      <c r="AH218" s="218">
        <f>AH162*4/AH126</f>
        <v>0.14326830828269907</v>
      </c>
      <c r="AI218" s="218">
        <f>AI162*4/AI126</f>
        <v>0.13852556480380498</v>
      </c>
      <c r="AJ218" s="218">
        <f>AJ162*4/AJ126</f>
        <v>0.15761263218890337</v>
      </c>
      <c r="AK218" s="209">
        <f>AK162/AVERAGE(AF126:AJ126)</f>
        <v>0.14838485145695574</v>
      </c>
      <c r="AL218" s="218">
        <f>AL162*4/AL126</f>
        <v>0.13146052093276966</v>
      </c>
      <c r="AM218" s="218">
        <f>AM162*4/AM126</f>
        <v>0.14461010687425782</v>
      </c>
      <c r="AN218" s="218">
        <f>AN162*4/AN126</f>
        <v>0.13944770710983381</v>
      </c>
      <c r="AO218" s="218">
        <f>AO162*4/AO126</f>
        <v>0.17379018014835748</v>
      </c>
      <c r="AP218" s="209">
        <f>AP162/AVERAGE(AK126:AO126)</f>
        <v>0.15178408290047246</v>
      </c>
      <c r="AQ218" s="218">
        <f>AQ162*4/AQ126</f>
        <v>0.14155619596541788</v>
      </c>
      <c r="AR218" s="218">
        <f>AR162*4/AR126</f>
        <v>0.15151515151515152</v>
      </c>
      <c r="AS218" s="218">
        <f>AS162*4/AS126</f>
        <v>0.14354403658965639</v>
      </c>
      <c r="AT218" s="218">
        <f>AT162*4/AT126</f>
        <v>0.13692049003122747</v>
      </c>
      <c r="AU218" s="209">
        <f>AU162/AVERAGE(AP126:AT126)</f>
        <v>0.14368286804109237</v>
      </c>
      <c r="AV218" s="218">
        <f>AV162*4/AV126</f>
        <v>0.1343620178041543</v>
      </c>
      <c r="AW218" s="218">
        <f>AW162*4/AW126</f>
        <v>0.13566936208445643</v>
      </c>
      <c r="AX218" s="218">
        <f>AX162*4/AX126</f>
        <v>0.14067479942850863</v>
      </c>
      <c r="AY218" s="218">
        <f>AY162*4/AY126</f>
        <v>0.13847923857337099</v>
      </c>
      <c r="AZ218" s="209">
        <f>AZ162/AVERAGE(AU126:AY126)</f>
        <v>0.13945616608371883</v>
      </c>
      <c r="BA218" s="218">
        <f>BA162/BA126</f>
        <v>3.2647189021691017E-2</v>
      </c>
      <c r="BB218" s="218">
        <f>BB162/BB126</f>
        <v>3.5382375993729703E-2</v>
      </c>
      <c r="BC218" s="218">
        <f>BC162/BC126</f>
        <v>3.5319846910880262E-2</v>
      </c>
      <c r="BD218" s="218">
        <f>BD162/BD126</f>
        <v>3.4562368438921708E-2</v>
      </c>
      <c r="BE218" s="209">
        <f>BE162/AVERAGE(AZ126:BD126)</f>
        <v>0.14036964980544747</v>
      </c>
      <c r="BF218" s="218">
        <f>BF162/BF126</f>
        <v>3.2762572468653092E-2</v>
      </c>
      <c r="BG218" s="218">
        <f>BG162/BG126</f>
        <v>3.1540882608986805E-2</v>
      </c>
      <c r="BH218" s="218">
        <f>BH162/BH126</f>
        <v>3.20892439057981E-2</v>
      </c>
      <c r="BI218" s="218">
        <f>BI162/BI126</f>
        <v>3.5544547827833187E-2</v>
      </c>
      <c r="BJ218" s="424">
        <f>BJ162/AVERAGE(BE126:BI126)</f>
        <v>0.13210736258535596</v>
      </c>
      <c r="BK218" s="436">
        <f>BK162/BK126</f>
        <v>2.9215686274509805E-2</v>
      </c>
      <c r="BL218" s="436">
        <f>BL162/BL126</f>
        <v>3.3478318175827075E-2</v>
      </c>
      <c r="BM218" s="436">
        <f>BM162/BM126</f>
        <v>3.3402651416688328E-2</v>
      </c>
      <c r="BN218" s="436">
        <f>BN162/BN126</f>
        <v>3.5437966289030121E-2</v>
      </c>
      <c r="BO218" s="424">
        <f>BO162/AVERAGE(BJ126:BN126)</f>
        <v>0.13164711664917572</v>
      </c>
      <c r="BP218" s="436">
        <f>BP162/BP126</f>
        <v>3.2524238465241009E-2</v>
      </c>
      <c r="BQ218" s="436">
        <f>BQ162/BQ126</f>
        <v>3.2579558732558939E-2</v>
      </c>
      <c r="BR218" s="436">
        <f>BR162/BR126</f>
        <v>3.4162771514984876E-2</v>
      </c>
      <c r="BS218" s="436">
        <f>BS162/BS126</f>
        <v>3.5611679027193158E-2</v>
      </c>
      <c r="BT218" s="424">
        <f>BT162/AVERAGE(BO126:BS126)</f>
        <v>0.13525717335084766</v>
      </c>
      <c r="BU218" s="436">
        <f>BU162/BU126</f>
        <v>3.1830417227456255E-2</v>
      </c>
      <c r="BV218" s="436">
        <f>BV162/BV126</f>
        <v>3.3114358493095589E-2</v>
      </c>
      <c r="BW218" s="436">
        <f>BW162/BW126</f>
        <v>3.4604423938119147E-2</v>
      </c>
      <c r="BX218" s="436">
        <f>BX162/BX126</f>
        <v>3.4101004578691994E-2</v>
      </c>
      <c r="BY218" s="424">
        <f>BY162/AVERAGE(BT126:BX126)</f>
        <v>0.13330454962491228</v>
      </c>
      <c r="BZ218" s="436">
        <f>BZ162/BZ126</f>
        <v>3.2970862958315909E-2</v>
      </c>
      <c r="CA218" s="436">
        <f>CA162/CA126</f>
        <v>3.3971458405847546E-2</v>
      </c>
      <c r="CB218" s="436">
        <f>CB162/CB126</f>
        <v>3.8208481965913595E-2</v>
      </c>
      <c r="CC218" s="436">
        <f>CC162/CC126</f>
        <v>4.1921883700580705E-2</v>
      </c>
      <c r="CD218" s="424">
        <f>CD162/AVERAGE(BY126:CC126)</f>
        <v>0.14373267182255947</v>
      </c>
      <c r="CE218" s="436">
        <f>CE162/CE126</f>
        <v>3.6311741853643068E-2</v>
      </c>
      <c r="CF218" s="436">
        <f>CF162/CF126</f>
        <v>3.514175155966201E-2</v>
      </c>
      <c r="CG218" s="436">
        <f>CG162/CG126</f>
        <v>3.7593984962406013E-2</v>
      </c>
      <c r="CH218" s="436">
        <f>CH162/CH126</f>
        <v>4.3629525152797367E-2</v>
      </c>
      <c r="CI218" s="424">
        <f>CI162/AVERAGE(CD126:CH126)</f>
        <v>0.14978040030844539</v>
      </c>
      <c r="CJ218" s="436">
        <f>CJ162/CJ126</f>
        <v>3.3654832751898213E-2</v>
      </c>
      <c r="CK218" s="436">
        <f>CK162/CK126</f>
        <v>3.4709409594095943E-2</v>
      </c>
      <c r="CL218" s="436">
        <f>CL162/CL126</f>
        <v>3.5757283891163012E-2</v>
      </c>
      <c r="CM218" s="436">
        <f>CM162/CM126</f>
        <v>4.0716810922833108E-2</v>
      </c>
      <c r="CN218" s="424">
        <f>CN162/AVERAGE(CI126:CM126)</f>
        <v>0.1382731223387911</v>
      </c>
      <c r="CO218" s="436">
        <f>CO162/CO126</f>
        <v>3.3847311019180142E-2</v>
      </c>
      <c r="CP218" s="436">
        <f>CP162/CP126</f>
        <v>2.985465571752954E-2</v>
      </c>
      <c r="CQ218" s="436">
        <f>CQ162/CQ126</f>
        <v>3.3397598120174253E-2</v>
      </c>
      <c r="CR218" s="436">
        <f>CR162/CR126</f>
        <v>3.8950117222427798E-2</v>
      </c>
      <c r="CS218" s="424">
        <f>CS162/AVERAGE(CN126:CR126)</f>
        <v>0.13683004439324856</v>
      </c>
      <c r="CT218" s="436">
        <f>CT162/CT126</f>
        <v>3.2560297644973125E-2</v>
      </c>
      <c r="CU218" s="436">
        <f>CU162/CU126</f>
        <v>3.0564902668275152E-2</v>
      </c>
      <c r="CV218" s="436">
        <f>CV162/CV126</f>
        <v>3.4096850176797533E-2</v>
      </c>
      <c r="CW218" s="436">
        <f>CW162/CW126</f>
        <v>3.9641520707464545E-2</v>
      </c>
      <c r="CX218" s="424">
        <f>CX162/AVERAGE(CS126:CW126)</f>
        <v>0.13764772372138054</v>
      </c>
      <c r="CY218" s="436">
        <f>CY162/CY126</f>
        <v>3.2560576291185556E-2</v>
      </c>
      <c r="CZ218" s="436">
        <f>CZ162/CZ126</f>
        <v>3.0565574785651028E-2</v>
      </c>
      <c r="DA218" s="436">
        <f>DA162/DA126</f>
        <v>3.4096280349253577E-2</v>
      </c>
      <c r="DB218" s="436">
        <f>DB162/DB126</f>
        <v>3.9636372146204378E-2</v>
      </c>
      <c r="DC218" s="424">
        <f>DC162/AVERAGE(CX126:DB126)</f>
        <v>0.13764405261494075</v>
      </c>
      <c r="DD218" s="436">
        <f>DD162/DD126</f>
        <v>3.2567432919792423E-2</v>
      </c>
      <c r="DE218" s="436">
        <f>DE162/DE126</f>
        <v>3.0571482818739684E-2</v>
      </c>
      <c r="DF218" s="436">
        <f>DF162/DF126</f>
        <v>3.4100864282318226E-2</v>
      </c>
      <c r="DG218" s="436">
        <f>DG162/DG126</f>
        <v>3.963898573932341E-2</v>
      </c>
      <c r="DH218" s="424">
        <f>DH162/AVERAGE(DC126:DG126)</f>
        <v>0.13765074235947294</v>
      </c>
      <c r="DI218" s="436">
        <f>DI162/DI126</f>
        <v>3.2575839550551586E-2</v>
      </c>
      <c r="DJ218" s="436">
        <f>DJ162/DJ126</f>
        <v>3.0578548981948967E-2</v>
      </c>
      <c r="DK218" s="436">
        <f>DK162/DK126</f>
        <v>3.4106896713842871E-2</v>
      </c>
      <c r="DL218" s="436">
        <f>DL162/DL126</f>
        <v>3.9644910632553154E-2</v>
      </c>
      <c r="DM218" s="424">
        <f>DM162/AVERAGE(DH126:DL126)</f>
        <v>0.13766100487232791</v>
      </c>
      <c r="DN218" s="207"/>
    </row>
    <row r="219" spans="1:118" ht="15" x14ac:dyDescent="0.2">
      <c r="A219" s="362" t="s">
        <v>166</v>
      </c>
      <c r="C219" s="218"/>
      <c r="D219" s="218"/>
      <c r="E219" s="218"/>
      <c r="F219" s="218"/>
      <c r="G219" s="209"/>
      <c r="H219" s="218">
        <f t="shared" ref="H219:AM219" si="361">H60/H5</f>
        <v>4.6981561000252588E-2</v>
      </c>
      <c r="I219" s="218">
        <f t="shared" si="361"/>
        <v>4.2768106597893832E-2</v>
      </c>
      <c r="J219" s="218">
        <f t="shared" si="361"/>
        <v>3.9616613418530351E-2</v>
      </c>
      <c r="K219" s="218">
        <f t="shared" si="361"/>
        <v>5.4742803209060879E-2</v>
      </c>
      <c r="L219" s="209">
        <f t="shared" si="361"/>
        <v>4.5768025078369905E-2</v>
      </c>
      <c r="M219" s="218">
        <f t="shared" si="361"/>
        <v>4.7805834763422407E-2</v>
      </c>
      <c r="N219" s="218">
        <f t="shared" si="361"/>
        <v>3.7816691505216098E-2</v>
      </c>
      <c r="O219" s="218">
        <f t="shared" si="361"/>
        <v>3.7767756482525366E-2</v>
      </c>
      <c r="P219" s="218">
        <f t="shared" si="361"/>
        <v>4.3169968717413972E-2</v>
      </c>
      <c r="Q219" s="209">
        <f t="shared" si="361"/>
        <v>4.1198118994070741E-2</v>
      </c>
      <c r="R219" s="218">
        <f t="shared" si="361"/>
        <v>4.4494382022471912E-2</v>
      </c>
      <c r="S219" s="218">
        <f t="shared" si="361"/>
        <v>3.7705788635156667E-2</v>
      </c>
      <c r="T219" s="218">
        <f t="shared" si="361"/>
        <v>3.7384833451452867E-2</v>
      </c>
      <c r="U219" s="218">
        <f t="shared" si="361"/>
        <v>4.4583496284708646E-2</v>
      </c>
      <c r="V219" s="209">
        <f t="shared" si="361"/>
        <v>4.0753703792491727E-2</v>
      </c>
      <c r="W219" s="218">
        <f t="shared" si="361"/>
        <v>4.2362768496420046E-2</v>
      </c>
      <c r="X219" s="218">
        <f t="shared" si="361"/>
        <v>3.5001690902942174E-2</v>
      </c>
      <c r="Y219" s="218">
        <f t="shared" si="361"/>
        <v>3.7526804860614722E-2</v>
      </c>
      <c r="Z219" s="218">
        <f t="shared" si="361"/>
        <v>5.0538047655649503E-2</v>
      </c>
      <c r="AA219" s="209">
        <f t="shared" si="361"/>
        <v>4.1072578419648606E-2</v>
      </c>
      <c r="AB219" s="218">
        <f t="shared" si="361"/>
        <v>4.3411448328851326E-2</v>
      </c>
      <c r="AC219" s="218">
        <f t="shared" si="361"/>
        <v>3.5340729001584789E-2</v>
      </c>
      <c r="AD219" s="218">
        <f t="shared" si="361"/>
        <v>3.7601457677654465E-2</v>
      </c>
      <c r="AE219" s="218">
        <f t="shared" si="361"/>
        <v>4.6117816609619888E-2</v>
      </c>
      <c r="AF219" s="209">
        <f t="shared" si="361"/>
        <v>4.0339335180055405E-2</v>
      </c>
      <c r="AG219" s="218">
        <f t="shared" si="361"/>
        <v>3.9992345962495214E-2</v>
      </c>
      <c r="AH219" s="218">
        <f t="shared" si="361"/>
        <v>3.4589252625077206E-2</v>
      </c>
      <c r="AI219" s="218">
        <f t="shared" si="361"/>
        <v>3.6101642392314844E-2</v>
      </c>
      <c r="AJ219" s="218">
        <f t="shared" si="361"/>
        <v>4.5853000674308836E-2</v>
      </c>
      <c r="AK219" s="209">
        <f t="shared" si="361"/>
        <v>3.8940551311856524E-2</v>
      </c>
      <c r="AL219" s="218">
        <f t="shared" si="361"/>
        <v>3.9488776011797476E-2</v>
      </c>
      <c r="AM219" s="218">
        <f t="shared" si="361"/>
        <v>3.5432561748351223E-2</v>
      </c>
      <c r="AN219" s="218">
        <f t="shared" ref="AN219:BS219" si="362">AN60/AN5</f>
        <v>3.6280884265279582E-2</v>
      </c>
      <c r="AO219" s="218">
        <f t="shared" si="362"/>
        <v>5.033419724457782E-2</v>
      </c>
      <c r="AP219" s="209">
        <f t="shared" si="362"/>
        <v>4.0302179713760961E-2</v>
      </c>
      <c r="AQ219" s="218">
        <f t="shared" si="362"/>
        <v>4.1604553462528795E-2</v>
      </c>
      <c r="AR219" s="218">
        <f t="shared" si="362"/>
        <v>3.6480212248507629E-2</v>
      </c>
      <c r="AS219" s="218">
        <f t="shared" si="362"/>
        <v>3.6458953890146549E-2</v>
      </c>
      <c r="AT219" s="218">
        <f t="shared" si="362"/>
        <v>3.9994386752736456E-2</v>
      </c>
      <c r="AU219" s="209">
        <f t="shared" si="362"/>
        <v>3.8442273979464064E-2</v>
      </c>
      <c r="AV219" s="218">
        <f t="shared" si="362"/>
        <v>3.947551959827033E-2</v>
      </c>
      <c r="AW219" s="218">
        <f t="shared" si="362"/>
        <v>3.6530785048989961E-2</v>
      </c>
      <c r="AX219" s="218">
        <f t="shared" si="362"/>
        <v>3.9781203381402286E-2</v>
      </c>
      <c r="AY219" s="218">
        <f t="shared" si="362"/>
        <v>4.4074567243675103E-2</v>
      </c>
      <c r="AZ219" s="209">
        <f t="shared" si="362"/>
        <v>3.9883833494675704E-2</v>
      </c>
      <c r="BA219" s="218">
        <f t="shared" si="362"/>
        <v>3.9202657807308972E-2</v>
      </c>
      <c r="BB219" s="218">
        <f t="shared" si="362"/>
        <v>3.6430712474060413E-2</v>
      </c>
      <c r="BC219" s="218">
        <f t="shared" si="362"/>
        <v>3.8333728934251125E-2</v>
      </c>
      <c r="BD219" s="218">
        <f t="shared" si="362"/>
        <v>4.84854257953896E-2</v>
      </c>
      <c r="BE219" s="209">
        <f t="shared" si="362"/>
        <v>4.1084189847108731E-2</v>
      </c>
      <c r="BF219" s="218">
        <f t="shared" si="362"/>
        <v>4.608819345661451E-2</v>
      </c>
      <c r="BG219" s="218">
        <f t="shared" si="362"/>
        <v>3.7002121140702331E-2</v>
      </c>
      <c r="BH219" s="218">
        <f t="shared" si="362"/>
        <v>3.8062566364453154E-2</v>
      </c>
      <c r="BI219" s="218">
        <f t="shared" si="362"/>
        <v>4.811089970100571E-2</v>
      </c>
      <c r="BJ219" s="424">
        <f t="shared" si="362"/>
        <v>4.197276281307729E-2</v>
      </c>
      <c r="BK219" s="436">
        <f t="shared" si="362"/>
        <v>4.0129275518448693E-2</v>
      </c>
      <c r="BL219" s="436">
        <f t="shared" si="362"/>
        <v>3.8826047080403547E-2</v>
      </c>
      <c r="BM219" s="436">
        <f t="shared" si="362"/>
        <v>4.1639662994167208E-2</v>
      </c>
      <c r="BN219" s="436">
        <f t="shared" si="362"/>
        <v>4.4744875708678584E-2</v>
      </c>
      <c r="BO219" s="424">
        <f t="shared" si="362"/>
        <v>4.1264157228514321E-2</v>
      </c>
      <c r="BP219" s="436">
        <f t="shared" si="362"/>
        <v>4.284808406558565E-2</v>
      </c>
      <c r="BQ219" s="436">
        <f t="shared" si="362"/>
        <v>3.7182303106369628E-2</v>
      </c>
      <c r="BR219" s="436">
        <f t="shared" si="362"/>
        <v>4.1023524556335123E-2</v>
      </c>
      <c r="BS219" s="436">
        <f t="shared" si="362"/>
        <v>4.8309616604731258E-2</v>
      </c>
      <c r="BT219" s="424">
        <f t="shared" ref="BT219:CY219" si="363">BT60/BT5</f>
        <v>4.2122083732821988E-2</v>
      </c>
      <c r="BU219" s="436">
        <f t="shared" si="363"/>
        <v>4.4690098261526832E-2</v>
      </c>
      <c r="BV219" s="436">
        <f t="shared" si="363"/>
        <v>3.9375099633349273E-2</v>
      </c>
      <c r="BW219" s="436">
        <f t="shared" si="363"/>
        <v>4.2567398380769554E-2</v>
      </c>
      <c r="BX219" s="436">
        <f t="shared" si="363"/>
        <v>4.577561691587928E-2</v>
      </c>
      <c r="BY219" s="424">
        <f t="shared" si="363"/>
        <v>4.2945318612535859E-2</v>
      </c>
      <c r="BZ219" s="436">
        <f t="shared" si="363"/>
        <v>4.4193216855087356E-2</v>
      </c>
      <c r="CA219" s="436">
        <f t="shared" si="363"/>
        <v>4.0167915054737012E-2</v>
      </c>
      <c r="CB219" s="436">
        <f t="shared" si="363"/>
        <v>4.2280701754385967E-2</v>
      </c>
      <c r="CC219" s="436">
        <f t="shared" si="363"/>
        <v>5.2673663168415791E-2</v>
      </c>
      <c r="CD219" s="424">
        <f t="shared" si="363"/>
        <v>4.4512732449104093E-2</v>
      </c>
      <c r="CE219" s="436">
        <f t="shared" si="363"/>
        <v>4.4341175331590668E-2</v>
      </c>
      <c r="CF219" s="436">
        <f t="shared" si="363"/>
        <v>3.8615064213814651E-2</v>
      </c>
      <c r="CG219" s="436">
        <f t="shared" si="363"/>
        <v>3.9525691699604744E-2</v>
      </c>
      <c r="CH219" s="436">
        <f t="shared" si="363"/>
        <v>4.9493333333333334E-2</v>
      </c>
      <c r="CI219" s="424">
        <f t="shared" si="363"/>
        <v>4.2696038610407605E-2</v>
      </c>
      <c r="CJ219" s="436">
        <f t="shared" si="363"/>
        <v>3.597280105286247E-2</v>
      </c>
      <c r="CK219" s="436">
        <f t="shared" si="363"/>
        <v>3.1024531024531024E-2</v>
      </c>
      <c r="CL219" s="436">
        <f t="shared" si="363"/>
        <v>3.2716457369464637E-2</v>
      </c>
      <c r="CM219" s="436">
        <f t="shared" si="363"/>
        <v>4.4712182061579654E-2</v>
      </c>
      <c r="CN219" s="424">
        <f t="shared" si="363"/>
        <v>3.5625424112191814E-2</v>
      </c>
      <c r="CO219" s="436">
        <f t="shared" si="363"/>
        <v>3.541448058761805E-2</v>
      </c>
      <c r="CP219" s="436">
        <f t="shared" si="363"/>
        <v>2.8200946629993985E-2</v>
      </c>
      <c r="CQ219" s="436">
        <f t="shared" si="363"/>
        <v>3.4053653915213804E-2</v>
      </c>
      <c r="CR219" s="436">
        <f t="shared" si="363"/>
        <v>4.6461501535857867E-2</v>
      </c>
      <c r="CS219" s="424">
        <f t="shared" si="363"/>
        <v>3.5620744792387339E-2</v>
      </c>
      <c r="CT219" s="436">
        <f t="shared" si="363"/>
        <v>3.6370884408016529E-2</v>
      </c>
      <c r="CU219" s="436">
        <f t="shared" si="363"/>
        <v>3.0009795550762785E-2</v>
      </c>
      <c r="CV219" s="436">
        <f t="shared" si="363"/>
        <v>3.536094036752737E-2</v>
      </c>
      <c r="CW219" s="436">
        <f t="shared" si="363"/>
        <v>4.7157394299962491E-2</v>
      </c>
      <c r="CX219" s="424">
        <f t="shared" si="363"/>
        <v>3.6848626462688279E-2</v>
      </c>
      <c r="CY219" s="436">
        <f t="shared" si="363"/>
        <v>3.6378069127790957E-2</v>
      </c>
      <c r="CZ219" s="436">
        <f t="shared" ref="CZ219:DM219" si="364">CZ60/CZ5</f>
        <v>3.0025933895700518E-2</v>
      </c>
      <c r="DA219" s="436">
        <f t="shared" si="364"/>
        <v>3.5345603213235238E-2</v>
      </c>
      <c r="DB219" s="436">
        <f t="shared" si="364"/>
        <v>4.7043865777428612E-2</v>
      </c>
      <c r="DC219" s="424">
        <f t="shared" si="364"/>
        <v>3.6831192964877836E-2</v>
      </c>
      <c r="DD219" s="436">
        <f t="shared" si="364"/>
        <v>3.6555722586197825E-2</v>
      </c>
      <c r="DE219" s="436">
        <f t="shared" si="364"/>
        <v>3.0168512435415587E-2</v>
      </c>
      <c r="DF219" s="436">
        <f t="shared" si="364"/>
        <v>3.5469345420577378E-2</v>
      </c>
      <c r="DG219" s="436">
        <f t="shared" si="364"/>
        <v>4.7101432189887438E-2</v>
      </c>
      <c r="DH219" s="424">
        <f t="shared" si="364"/>
        <v>3.6964675120500785E-2</v>
      </c>
      <c r="DI219" s="436">
        <f t="shared" si="364"/>
        <v>3.6775814524290906E-2</v>
      </c>
      <c r="DJ219" s="436">
        <f t="shared" si="364"/>
        <v>3.0340754991069495E-2</v>
      </c>
      <c r="DK219" s="436">
        <f t="shared" si="364"/>
        <v>3.5633464639940701E-2</v>
      </c>
      <c r="DL219" s="436">
        <f t="shared" si="364"/>
        <v>4.7232427405234298E-2</v>
      </c>
      <c r="DM219" s="424">
        <f t="shared" si="364"/>
        <v>3.7142160897996761E-2</v>
      </c>
      <c r="DN219" s="207"/>
    </row>
    <row r="220" spans="1:118" ht="15" x14ac:dyDescent="0.2">
      <c r="A220" s="359" t="s">
        <v>213</v>
      </c>
      <c r="C220" s="218"/>
      <c r="D220" s="218"/>
      <c r="E220" s="218"/>
      <c r="F220" s="218"/>
      <c r="G220" s="209"/>
      <c r="H220" s="218">
        <f>-H134/H9/4</f>
        <v>0.73940520446096658</v>
      </c>
      <c r="I220" s="218">
        <f>-I134/I9/4</f>
        <v>0.64138695376820776</v>
      </c>
      <c r="J220" s="218">
        <f>-J134/J9/4</f>
        <v>0.60017730496453903</v>
      </c>
      <c r="K220" s="218">
        <f>-K134/K9/4</f>
        <v>0.64408263305322133</v>
      </c>
      <c r="L220" s="209">
        <f>-AVERAGE(G134:K134)/L9</f>
        <v>0.65105890138980804</v>
      </c>
      <c r="M220" s="218">
        <f>-M134/M9/4</f>
        <v>0.71718077474892394</v>
      </c>
      <c r="N220" s="218">
        <f>-N134/N9/4</f>
        <v>0.58186299948105868</v>
      </c>
      <c r="O220" s="218">
        <f>-O134/O9/4</f>
        <v>0.51740278444551124</v>
      </c>
      <c r="P220" s="218">
        <f>-P134/P9/4</f>
        <v>0.5426219870664315</v>
      </c>
      <c r="Q220" s="209">
        <f>-AVERAGE(L134:P134)/Q9</f>
        <v>0.56765657987332863</v>
      </c>
      <c r="R220" s="218">
        <f>-R134/R9/4</f>
        <v>0.62822049131216295</v>
      </c>
      <c r="S220" s="218">
        <f>-S134/S9/4</f>
        <v>0.54019746121297607</v>
      </c>
      <c r="T220" s="218">
        <f>-T134/T9/4</f>
        <v>0.53770756457564572</v>
      </c>
      <c r="U220" s="218">
        <f>-U134/U9/4</f>
        <v>0.54837837837837833</v>
      </c>
      <c r="V220" s="209">
        <f>-AVERAGE(Q134:U134)/V9</f>
        <v>0.54269260302022015</v>
      </c>
      <c r="W220" s="218">
        <f>-W134/W9/4</f>
        <v>0.57472903593839131</v>
      </c>
      <c r="X220" s="218">
        <f>-X134/X9/4</f>
        <v>0.51471309465424231</v>
      </c>
      <c r="Y220" s="218">
        <f>-Y134/Y9/4</f>
        <v>0.48988791423001948</v>
      </c>
      <c r="Z220" s="218">
        <f>-Z134/Z9/4</f>
        <v>0.59059569773855491</v>
      </c>
      <c r="AA220" s="209">
        <f>-AVERAGE(V134:Z134)/AA9</f>
        <v>0.53780854120412691</v>
      </c>
      <c r="AB220" s="218">
        <f>-AB134/AB9/4</f>
        <v>0.55363036303630364</v>
      </c>
      <c r="AC220" s="218">
        <f>-AC134/AC9/4</f>
        <v>0.489945155393053</v>
      </c>
      <c r="AD220" s="218">
        <f>-AD134/AD9/4</f>
        <v>0.58098434004474275</v>
      </c>
      <c r="AE220" s="218">
        <f>-AE134/AE9/4</f>
        <v>0.56134432783608201</v>
      </c>
      <c r="AF220" s="209">
        <f>-AVERAGE(AA134:AE134)/AF9</f>
        <v>0.54074253821887897</v>
      </c>
      <c r="AG220" s="218">
        <f>-AG134/AG9/4</f>
        <v>0.71755504055619934</v>
      </c>
      <c r="AH220" s="218">
        <f>-AH134/AH9/4</f>
        <v>0.62997630331753551</v>
      </c>
      <c r="AI220" s="218">
        <f>-AI134/AI9/4</f>
        <v>0.62030905077262688</v>
      </c>
      <c r="AJ220" s="218">
        <f>-AJ134/AJ9/4</f>
        <v>0.6137688198154444</v>
      </c>
      <c r="AK220" s="209">
        <f>-AVERAGE(AF134:AJ134)/AK9</f>
        <v>0.62350490196078434</v>
      </c>
      <c r="AL220" s="218">
        <f>-AL134/AL9/4</f>
        <v>0.67760392340028019</v>
      </c>
      <c r="AM220" s="218">
        <f>-AM134/AM9/4</f>
        <v>0.60723443223443219</v>
      </c>
      <c r="AN220" s="218">
        <f>-AN134/AN9/4</f>
        <v>0.61870878167303023</v>
      </c>
      <c r="AO220" s="218">
        <f>-AO134/AO9/4</f>
        <v>0.65458159787959103</v>
      </c>
      <c r="AP220" s="209">
        <f>-AVERAGE(AK134:AO134)/AP9</f>
        <v>0.60683152121620321</v>
      </c>
      <c r="AQ220" s="218">
        <f>-AQ134/AQ9/4</f>
        <v>0.74361661585365857</v>
      </c>
      <c r="AR220" s="218">
        <f>-AR134/AR9/4</f>
        <v>0.63077166350411129</v>
      </c>
      <c r="AS220" s="218">
        <f>-AS134/AS9/4</f>
        <v>0.63402317880794701</v>
      </c>
      <c r="AT220" s="218">
        <f>-AT134/AT9/4</f>
        <v>0.60406931464174451</v>
      </c>
      <c r="AU220" s="209">
        <f>-AVERAGE(AP134:AT134)/AU9</f>
        <v>0.64290487075786884</v>
      </c>
      <c r="AV220" s="218">
        <f>-AV134/AV9/4</f>
        <v>0.54546332046332047</v>
      </c>
      <c r="AW220" s="218">
        <f>-AW134/AW9/4</f>
        <v>0.5454857535187092</v>
      </c>
      <c r="AX220" s="218">
        <f>-AX134/AX9/4</f>
        <v>0.57557941376959787</v>
      </c>
      <c r="AY220" s="218">
        <f>-AY134/AY9/4</f>
        <v>0.6277819690682761</v>
      </c>
      <c r="AZ220" s="209">
        <f>-AVERAGE(AU134:AY134)/AZ9</f>
        <v>0.57041847041847038</v>
      </c>
      <c r="BA220" s="218">
        <f>-BA134/BA9/4</f>
        <v>0.58667847304210941</v>
      </c>
      <c r="BB220" s="218">
        <f>-BB134/BB9/4</f>
        <v>0.52470389170896781</v>
      </c>
      <c r="BC220" s="218">
        <f>-BC134/BC9/4</f>
        <v>0.67726182316655248</v>
      </c>
      <c r="BD220" s="218">
        <f>-BD134/BD9/4</f>
        <v>0.54739248640632721</v>
      </c>
      <c r="BE220" s="209">
        <f>-AVERAGE(AZ134:BD134)/BE9</f>
        <v>0.57120385232744786</v>
      </c>
      <c r="BF220" s="218">
        <f>-BF134/BF9/4</f>
        <v>0.52395096056622847</v>
      </c>
      <c r="BG220" s="218">
        <f>-BG134/BG9/4</f>
        <v>0.45219404186795492</v>
      </c>
      <c r="BH220" s="218">
        <f>-BH134/BH9/4</f>
        <v>0.51470280452071993</v>
      </c>
      <c r="BI220" s="218">
        <f>-BI134/BI9/4</f>
        <v>0.51362599771949824</v>
      </c>
      <c r="BJ220" s="424">
        <f>-AVERAGE(BE134:BI134)/BJ9</f>
        <v>0.49739591972134678</v>
      </c>
      <c r="BK220" s="436">
        <f>-BK134/BK9/4</f>
        <v>0.55487665600730929</v>
      </c>
      <c r="BL220" s="436">
        <f>-BL134/BL9/4</f>
        <v>0.47067604006163327</v>
      </c>
      <c r="BM220" s="436">
        <f>-BM134/BM9/4</f>
        <v>0.4996432212028542</v>
      </c>
      <c r="BN220" s="436">
        <f>-BN134/BN9/4</f>
        <v>0.51974550241333917</v>
      </c>
      <c r="BO220" s="424">
        <f>-AVERAGE(BJ134:BN134)/BO9</f>
        <v>0.50207534282561861</v>
      </c>
      <c r="BP220" s="436">
        <f>-BP134/BP9/4</f>
        <v>0.58207813603200753</v>
      </c>
      <c r="BQ220" s="436">
        <f>-BQ134/BQ9/4</f>
        <v>0.5309533427590386</v>
      </c>
      <c r="BR220" s="436">
        <f>-BR134/BR9/4</f>
        <v>0.54666529010943632</v>
      </c>
      <c r="BS220" s="436">
        <f>-BS134/BS9/4</f>
        <v>0.55320009242144175</v>
      </c>
      <c r="BT220" s="424">
        <f>-AVERAGE(BO134:BS134)/BT9</f>
        <v>0.54489140493168586</v>
      </c>
      <c r="BU220" s="436">
        <f>-BU134/BU9/4</f>
        <v>0.60153418700169126</v>
      </c>
      <c r="BV220" s="436">
        <f>-BV134/BV9/4</f>
        <v>0.54713369205298013</v>
      </c>
      <c r="BW220" s="436">
        <f>-BW134/BW9/4</f>
        <v>0.56641213164121318</v>
      </c>
      <c r="BX220" s="436">
        <f>-BX134/BX9/4</f>
        <v>0.54250350303596451</v>
      </c>
      <c r="BY220" s="424">
        <f>-AVERAGE(BT134:BX134)/BY9</f>
        <v>0.55788180091609885</v>
      </c>
      <c r="BZ220" s="436">
        <f>-BZ134/BZ9/4</f>
        <v>0.54864831953239157</v>
      </c>
      <c r="CA220" s="436">
        <f>-CA134/CA9/4</f>
        <v>0.52797569153394808</v>
      </c>
      <c r="CB220" s="436">
        <f>-CB134/CB9/4</f>
        <v>0.60911016949152541</v>
      </c>
      <c r="CC220" s="436">
        <f>-CC134/CC9/4</f>
        <v>0.66557720769610262</v>
      </c>
      <c r="CD220" s="424">
        <f>-AVERAGE(BY134:CC134)/CD9</f>
        <v>0.57532154340836006</v>
      </c>
      <c r="CE220" s="436">
        <f>-CE134/CE9/4</f>
        <v>0.65994656303133348</v>
      </c>
      <c r="CF220" s="436">
        <f>-CF134/CF9/4</f>
        <v>0.56199209312541176</v>
      </c>
      <c r="CG220" s="436">
        <f>-CG134/CG9/4</f>
        <v>0.67463101863053476</v>
      </c>
      <c r="CH220" s="436">
        <f>-CH134/CH9/4</f>
        <v>0.62270341207349078</v>
      </c>
      <c r="CI220" s="424">
        <f>-AVERAGE(CD134:CH134)/CI9</f>
        <v>0.63250466502136882</v>
      </c>
      <c r="CJ220" s="436">
        <f>-CJ134/CJ9/4</f>
        <v>0.72578589634664403</v>
      </c>
      <c r="CK220" s="436">
        <f>-CK134/CK9/4</f>
        <v>0.71350867529606166</v>
      </c>
      <c r="CL220" s="436">
        <f>-CL134/CL9/4</f>
        <v>0.75689297361399344</v>
      </c>
      <c r="CM220" s="436">
        <f>-CM134/CM9/4</f>
        <v>0.81301115241635691</v>
      </c>
      <c r="CN220" s="424">
        <f>-AVERAGE(CI134:CM134)/CN9</f>
        <v>0.74198865784499046</v>
      </c>
      <c r="CO220" s="436">
        <f>-CO134/CO9/4</f>
        <v>0.9299235529668729</v>
      </c>
      <c r="CP220" s="571">
        <f>CK220+0.02</f>
        <v>0.73350867529606167</v>
      </c>
      <c r="CQ220" s="571">
        <f>CL220+0.02</f>
        <v>0.77689297361399345</v>
      </c>
      <c r="CR220" s="571">
        <f>CM220+0.02</f>
        <v>0.83301115241635693</v>
      </c>
      <c r="CS220" s="424">
        <f>-AVERAGE(CN134:CR134)/CS9</f>
        <v>0.81336234736981972</v>
      </c>
      <c r="CT220" s="571">
        <f>CO220</f>
        <v>0.9299235529668729</v>
      </c>
      <c r="CU220" s="571">
        <f>CP220</f>
        <v>0.73350867529606167</v>
      </c>
      <c r="CV220" s="571">
        <f>CQ220</f>
        <v>0.77689297361399345</v>
      </c>
      <c r="CW220" s="571">
        <f>CR220</f>
        <v>0.83301115241635693</v>
      </c>
      <c r="CX220" s="424">
        <f>-AVERAGE(CS134:CW134)/CX9</f>
        <v>0.79739724390340261</v>
      </c>
      <c r="CY220" s="571">
        <f>CT220</f>
        <v>0.9299235529668729</v>
      </c>
      <c r="CZ220" s="571">
        <f>CU220</f>
        <v>0.73350867529606167</v>
      </c>
      <c r="DA220" s="571">
        <f>CV220</f>
        <v>0.77689297361399345</v>
      </c>
      <c r="DB220" s="571">
        <f>CW220</f>
        <v>0.83301115241635693</v>
      </c>
      <c r="DC220" s="424">
        <f>-AVERAGE(CX134:DB134)/DC9</f>
        <v>0.79711043551789174</v>
      </c>
      <c r="DD220" s="571">
        <f>CY220</f>
        <v>0.9299235529668729</v>
      </c>
      <c r="DE220" s="571">
        <f>CZ220</f>
        <v>0.73350867529606167</v>
      </c>
      <c r="DF220" s="571">
        <f>DA220</f>
        <v>0.77689297361399345</v>
      </c>
      <c r="DG220" s="571">
        <f>DB220</f>
        <v>0.83301115241635693</v>
      </c>
      <c r="DH220" s="424">
        <f>-AVERAGE(DC134:DG134)/DH9</f>
        <v>0.79756621439596809</v>
      </c>
      <c r="DI220" s="571">
        <f>DD220</f>
        <v>0.9299235529668729</v>
      </c>
      <c r="DJ220" s="571">
        <f>DE220</f>
        <v>0.73350867529606167</v>
      </c>
      <c r="DK220" s="571">
        <f>DF220</f>
        <v>0.77689297361399345</v>
      </c>
      <c r="DL220" s="571">
        <f>DG220</f>
        <v>0.83301115241635693</v>
      </c>
      <c r="DM220" s="424">
        <f>-AVERAGE(DH134:DL134)/DM9</f>
        <v>0.79792709958584584</v>
      </c>
      <c r="DN220" s="207"/>
    </row>
    <row r="221" spans="1:118" ht="15" hidden="1" outlineLevel="1" x14ac:dyDescent="0.2">
      <c r="B221" s="359" t="s">
        <v>114</v>
      </c>
      <c r="C221" s="235"/>
      <c r="D221" s="235"/>
      <c r="E221" s="235"/>
      <c r="F221" s="235"/>
      <c r="G221" s="237"/>
      <c r="H221" s="235">
        <f>-H134/H9*365/4</f>
        <v>269.8828996282528</v>
      </c>
      <c r="I221" s="235">
        <f>-I134/I9*365/4</f>
        <v>234.10623812539583</v>
      </c>
      <c r="J221" s="235">
        <f>-J134/J9*365/4</f>
        <v>219.06471631205673</v>
      </c>
      <c r="K221" s="235">
        <f>-K134/K9*365/4</f>
        <v>235.09016106442579</v>
      </c>
      <c r="L221" s="237">
        <f>-AVERAGE(G134:K134)/L9*365</f>
        <v>237.63649900727992</v>
      </c>
      <c r="M221" s="235">
        <f>-M134/M9*365/4</f>
        <v>261.77098278335723</v>
      </c>
      <c r="N221" s="235">
        <f>-N134/N9*365/4</f>
        <v>212.37999481058642</v>
      </c>
      <c r="O221" s="235">
        <f>-O134/O9*365/4</f>
        <v>188.8520163226116</v>
      </c>
      <c r="P221" s="235">
        <f>-P134/P9*365/4</f>
        <v>198.05702527924748</v>
      </c>
      <c r="Q221" s="237">
        <f>-AVERAGE(L134:P134)/Q9*365</f>
        <v>207.19465165376494</v>
      </c>
      <c r="R221" s="235">
        <f>-R134/R9*365/4</f>
        <v>229.30047932893947</v>
      </c>
      <c r="S221" s="235">
        <f>-S134/S9*365/4</f>
        <v>197.17207334273627</v>
      </c>
      <c r="T221" s="235">
        <f>-T134/T9*365/4</f>
        <v>196.2632610701107</v>
      </c>
      <c r="U221" s="235">
        <f>-U134/U9*365/4</f>
        <v>200.15810810810808</v>
      </c>
      <c r="V221" s="237">
        <f>-AVERAGE(Q134:U134)/V9*365</f>
        <v>198.08280010238036</v>
      </c>
      <c r="W221" s="235">
        <f>-W134/W9*365/4</f>
        <v>209.77609811751282</v>
      </c>
      <c r="X221" s="235">
        <f>-X134/X9*365/4</f>
        <v>187.87027954879844</v>
      </c>
      <c r="Y221" s="235">
        <f>-Y134/Y9*365/4</f>
        <v>178.80908869395711</v>
      </c>
      <c r="Z221" s="235">
        <f>-Z134/Z9*365/4</f>
        <v>215.56742967457254</v>
      </c>
      <c r="AA221" s="237">
        <f>-AVERAGE(V134:Z134)/AA9*365</f>
        <v>196.30011753950632</v>
      </c>
      <c r="AB221" s="235">
        <f>-AB134/AB9*365/4</f>
        <v>202.07508250825083</v>
      </c>
      <c r="AC221" s="235">
        <f>-AC134/AC9*365/4</f>
        <v>178.82998171846435</v>
      </c>
      <c r="AD221" s="235">
        <f>-AD134/AD9*365/4</f>
        <v>212.0592841163311</v>
      </c>
      <c r="AE221" s="235">
        <f>-AE134/AE9*365/4</f>
        <v>204.89067966016992</v>
      </c>
      <c r="AF221" s="237">
        <f>-AVERAGE(AA134:AE134)/AF9*365</f>
        <v>197.37102644989082</v>
      </c>
      <c r="AG221" s="235">
        <f>-AG134/AG9*365/4</f>
        <v>261.90758980301274</v>
      </c>
      <c r="AH221" s="235">
        <f>-AH134/AH9*365/4</f>
        <v>229.94135071090045</v>
      </c>
      <c r="AI221" s="235">
        <f>-AI134/AI9*365/4</f>
        <v>226.41280353200881</v>
      </c>
      <c r="AJ221" s="235">
        <f>-AJ134/AJ9*365/4</f>
        <v>224.02561923263721</v>
      </c>
      <c r="AK221" s="237">
        <f>-AVERAGE(AF134:AJ134)/AK9*365</f>
        <v>227.57928921568629</v>
      </c>
      <c r="AL221" s="235">
        <f>-AL134/AL9*365/4</f>
        <v>247.32543204110226</v>
      </c>
      <c r="AM221" s="235">
        <f>-AM134/AM9*365/4</f>
        <v>221.64056776556774</v>
      </c>
      <c r="AN221" s="235">
        <f>-AN134/AN9*365/4</f>
        <v>225.82870531065603</v>
      </c>
      <c r="AO221" s="235">
        <f>-AO134/AO9*365/4</f>
        <v>238.92228322605072</v>
      </c>
      <c r="AP221" s="237">
        <f>-AVERAGE(AK134:AO134)/AP9*365</f>
        <v>221.49350524391417</v>
      </c>
      <c r="AQ221" s="235">
        <f>-AQ134/AQ9*365/4</f>
        <v>271.42006478658539</v>
      </c>
      <c r="AR221" s="235">
        <f>-AR134/AR9*365/4</f>
        <v>230.23165717900062</v>
      </c>
      <c r="AS221" s="235">
        <f>-AS134/AS9*365/4</f>
        <v>231.41846026490066</v>
      </c>
      <c r="AT221" s="235">
        <f>-AT134/AT9*365/4</f>
        <v>220.48529984423675</v>
      </c>
      <c r="AU221" s="237">
        <f>-AVERAGE(AP134:AT134)/AU9*365</f>
        <v>234.66027782662212</v>
      </c>
      <c r="AV221" s="235">
        <f>-AV134/AV9*365/4</f>
        <v>199.09411196911196</v>
      </c>
      <c r="AW221" s="235">
        <f>-AW134/AW9*365/4</f>
        <v>199.10230003432886</v>
      </c>
      <c r="AX221" s="235">
        <f>-AX134/AX9*365/4</f>
        <v>210.08648602590321</v>
      </c>
      <c r="AY221" s="235">
        <f>-AY134/AY9*365/4</f>
        <v>229.14041870992077</v>
      </c>
      <c r="AZ221" s="237">
        <f>-AVERAGE(AU134:AY134)/AZ9*365</f>
        <v>208.20274170274169</v>
      </c>
      <c r="BA221" s="235">
        <f>-BA134/BA9*365/4</f>
        <v>214.13764266036992</v>
      </c>
      <c r="BB221" s="235">
        <f>-BB134/BB9*365/4</f>
        <v>191.51692047377324</v>
      </c>
      <c r="BC221" s="235">
        <f>-BC134/BC9*365/4</f>
        <v>247.20056545579166</v>
      </c>
      <c r="BD221" s="235">
        <f>-BD134/BD9*365/4</f>
        <v>199.79825753830943</v>
      </c>
      <c r="BE221" s="237">
        <f>-AVERAGE(AZ134:BD134)/BE9*365</f>
        <v>208.48940609951848</v>
      </c>
      <c r="BF221" s="235">
        <f>-BF134/BF9*365/4</f>
        <v>191.2421006066734</v>
      </c>
      <c r="BG221" s="235">
        <f>-BG134/BG9*365/4</f>
        <v>165.05082528180355</v>
      </c>
      <c r="BH221" s="235">
        <f>-BH134/BH9*365/4</f>
        <v>187.86652365006276</v>
      </c>
      <c r="BI221" s="235">
        <f>-BI134/BI9*365/4</f>
        <v>187.47348916761686</v>
      </c>
      <c r="BJ221" s="491">
        <f>-AVERAGE(BE134:BI134)/BJ9*365</f>
        <v>181.54951069829158</v>
      </c>
      <c r="BK221" s="486">
        <f>-BK134/BK9*365/4</f>
        <v>202.52997944266789</v>
      </c>
      <c r="BL221" s="486">
        <f>-BL134/BL9*365/4</f>
        <v>171.79675462249614</v>
      </c>
      <c r="BM221" s="486">
        <f>-BM134/BM9*365/4</f>
        <v>182.36977573904178</v>
      </c>
      <c r="BN221" s="486">
        <f>-BN134/BN9*365/4</f>
        <v>189.70710838086879</v>
      </c>
      <c r="BO221" s="491">
        <f>-AVERAGE(BJ134:BN134)/BO9*365</f>
        <v>183.25750013135078</v>
      </c>
      <c r="BP221" s="486">
        <f>-BP134/BP9*365/4</f>
        <v>212.45851965168274</v>
      </c>
      <c r="BQ221" s="486">
        <f>-BQ134/BQ9*365/4</f>
        <v>193.79797010704908</v>
      </c>
      <c r="BR221" s="486">
        <f>-BR134/BR9*365/4</f>
        <v>199.53283088994425</v>
      </c>
      <c r="BS221" s="486">
        <f>-BS134/BS9*365/4</f>
        <v>201.91803373382623</v>
      </c>
      <c r="BT221" s="491">
        <f>-AVERAGE(BO134:BS134)/BT9*365</f>
        <v>198.88536280006534</v>
      </c>
      <c r="BU221" s="486">
        <f>-BU134/BU9*365/4</f>
        <v>219.5599782556173</v>
      </c>
      <c r="BV221" s="486">
        <f>-BV134/BV9*365/4</f>
        <v>199.70379759933775</v>
      </c>
      <c r="BW221" s="486">
        <f>-BW134/BW9*365/4</f>
        <v>206.74042804904281</v>
      </c>
      <c r="BX221" s="486">
        <f>-BX134/BX9*365/4</f>
        <v>198.01377860812704</v>
      </c>
      <c r="BY221" s="491">
        <f>-AVERAGE(BT134:BX134)/BY9*365</f>
        <v>203.62685733437607</v>
      </c>
      <c r="BZ221" s="486">
        <f>-BZ134/BZ9*365/4</f>
        <v>200.25663662932291</v>
      </c>
      <c r="CA221" s="486">
        <f>-CA134/CA9*365/4</f>
        <v>192.71112740989105</v>
      </c>
      <c r="CB221" s="486">
        <f>-CB134/CB9*365/4</f>
        <v>222.32521186440678</v>
      </c>
      <c r="CC221" s="486">
        <f>-CC134/CC9*365/4</f>
        <v>242.93568080907747</v>
      </c>
      <c r="CD221" s="491">
        <f>-AVERAGE(BY134:CC134)/CD9*365</f>
        <v>209.99236334405143</v>
      </c>
      <c r="CE221" s="486">
        <f>-CE134/CE9*365/4</f>
        <v>240.88049550643672</v>
      </c>
      <c r="CF221" s="486">
        <f>-CF134/CF9*365/4</f>
        <v>205.12711399077529</v>
      </c>
      <c r="CG221" s="486">
        <f>-CG134/CG9*365/4</f>
        <v>246.24032180014518</v>
      </c>
      <c r="CH221" s="486">
        <f>-CH134/CH9*365/4</f>
        <v>227.28674540682414</v>
      </c>
      <c r="CI221" s="491">
        <f>-AVERAGE(CD134:CH134)/CI9*365</f>
        <v>230.86420273279961</v>
      </c>
      <c r="CJ221" s="486">
        <f>-CJ134/CJ9*365/4</f>
        <v>264.91185216652508</v>
      </c>
      <c r="CK221" s="486">
        <f>-CK134/CK9*365/4</f>
        <v>260.43066648306251</v>
      </c>
      <c r="CL221" s="486">
        <f>-CL134/CL9*365/4</f>
        <v>276.26593536910758</v>
      </c>
      <c r="CM221" s="486">
        <f>-CM134/CM9*365/4</f>
        <v>296.74907063197026</v>
      </c>
      <c r="CN221" s="491">
        <f>-AVERAGE(CI134:CM134)/CN9*365</f>
        <v>270.82586011342153</v>
      </c>
      <c r="CO221" s="486">
        <f>-CO134/CO9*365/4</f>
        <v>339.42209683290861</v>
      </c>
      <c r="CP221" s="486">
        <f>-CP134/CP9*365/4</f>
        <v>267.73066648306252</v>
      </c>
      <c r="CQ221" s="486">
        <f>-CQ134/CQ9*365/4</f>
        <v>283.56593536910759</v>
      </c>
      <c r="CR221" s="486">
        <f>-CR134/CR9*365/4</f>
        <v>304.04907063197027</v>
      </c>
      <c r="CS221" s="491">
        <f>-AVERAGE(CN134:CR134)/CS9*365</f>
        <v>296.87725678998419</v>
      </c>
      <c r="CT221" s="486">
        <f>-CT134/CT9*365/4</f>
        <v>339.42209683290861</v>
      </c>
      <c r="CU221" s="486">
        <f>-CU134/CU9*365/4</f>
        <v>267.73066648306252</v>
      </c>
      <c r="CV221" s="486">
        <f>-CV134/CV9*365/4</f>
        <v>283.56593536910759</v>
      </c>
      <c r="CW221" s="486">
        <f>-CW134/CW9*365/4</f>
        <v>304.04907063197027</v>
      </c>
      <c r="CX221" s="491">
        <f>-AVERAGE(CS134:CW134)/CX9*365</f>
        <v>291.04999402474198</v>
      </c>
      <c r="CY221" s="486">
        <f>-CY134/CY9*365/4</f>
        <v>339.42209683290861</v>
      </c>
      <c r="CZ221" s="486">
        <f>-CZ134/CZ9*365/4</f>
        <v>267.73066648306258</v>
      </c>
      <c r="DA221" s="486">
        <f>-DA134/DA9*365/4</f>
        <v>283.56593536910759</v>
      </c>
      <c r="DB221" s="486">
        <f>-DB134/DB9*365/4</f>
        <v>304.04907063197027</v>
      </c>
      <c r="DC221" s="491">
        <f>-AVERAGE(CX134:DB134)/DC9*365</f>
        <v>290.94530896403046</v>
      </c>
      <c r="DD221" s="486">
        <f>-DD134/DD9*365/4</f>
        <v>339.42209683290861</v>
      </c>
      <c r="DE221" s="486">
        <f>-DE134/DE9*365/4</f>
        <v>267.73066648306252</v>
      </c>
      <c r="DF221" s="486">
        <f>-DF134/DF9*365/4</f>
        <v>283.56593536910759</v>
      </c>
      <c r="DG221" s="486">
        <f>-DG134/DG9*365/4</f>
        <v>304.04907063197032</v>
      </c>
      <c r="DH221" s="491">
        <f>-AVERAGE(DC134:DG134)/DH9*365</f>
        <v>291.11166825452835</v>
      </c>
      <c r="DI221" s="486">
        <f>-DI134/DI9*365/4</f>
        <v>339.42209683290861</v>
      </c>
      <c r="DJ221" s="486">
        <f>-DJ134/DJ9*365/4</f>
        <v>267.73066648306252</v>
      </c>
      <c r="DK221" s="486">
        <f>-DK134/DK9*365/4</f>
        <v>283.56593536910759</v>
      </c>
      <c r="DL221" s="486">
        <f>-DL134/DL9*365/4</f>
        <v>304.04907063197027</v>
      </c>
      <c r="DM221" s="491">
        <f>-AVERAGE(DH134:DL134)/DM9*365</f>
        <v>291.24339134883371</v>
      </c>
      <c r="DN221" s="207"/>
    </row>
    <row r="222" spans="1:118" ht="15" collapsed="1" x14ac:dyDescent="0.2">
      <c r="A222" s="18" t="s">
        <v>164</v>
      </c>
      <c r="C222" s="218"/>
      <c r="D222" s="218"/>
      <c r="E222" s="218"/>
      <c r="F222" s="218"/>
      <c r="G222" s="209"/>
      <c r="H222" s="218">
        <f>H137/H5/4</f>
        <v>4.849709522606719E-2</v>
      </c>
      <c r="I222" s="218">
        <f>I137/I5/4</f>
        <v>5.5179454115624325E-2</v>
      </c>
      <c r="J222" s="218">
        <f>J137/J5/4</f>
        <v>4.3929712460063899E-2</v>
      </c>
      <c r="K222" s="218">
        <f>K137/K5/4</f>
        <v>5.0200566304860784E-2</v>
      </c>
      <c r="L222" s="209">
        <f>AVERAGE(G137:K137)/L5</f>
        <v>4.6406383585066976E-2</v>
      </c>
      <c r="M222" s="218">
        <f>M137/M5/4</f>
        <v>6.1166952684481489E-2</v>
      </c>
      <c r="N222" s="218">
        <f>N137/N5/4</f>
        <v>5.6259314456035769E-2</v>
      </c>
      <c r="O222" s="218">
        <f>O137/O5/4</f>
        <v>5.059188275084555E-2</v>
      </c>
      <c r="P222" s="218">
        <f>P137/P5/4</f>
        <v>5.1824817518248176E-2</v>
      </c>
      <c r="Q222" s="209">
        <f>AVERAGE(L137:P137)/Q5</f>
        <v>5.2422817419750557E-2</v>
      </c>
      <c r="R222" s="218">
        <f>R137/R5/4</f>
        <v>6.01685393258427E-2</v>
      </c>
      <c r="S222" s="218">
        <f>S137/S5/4</f>
        <v>5.3062488936094887E-2</v>
      </c>
      <c r="T222" s="218">
        <f>T137/T5/4</f>
        <v>3.8049255846917082E-2</v>
      </c>
      <c r="U222" s="218">
        <f>U137/U5/4</f>
        <v>4.5072350410637466E-2</v>
      </c>
      <c r="V222" s="209">
        <f>AVERAGE(Q137:U137)/V5</f>
        <v>4.837704367838136E-2</v>
      </c>
      <c r="W222" s="218">
        <f>W137/W5/4</f>
        <v>5.3947891805887035E-2</v>
      </c>
      <c r="X222" s="218">
        <f>X137/X5/4</f>
        <v>4.7514372675008451E-2</v>
      </c>
      <c r="Y222" s="218">
        <f>Y137/Y5/4</f>
        <v>3.8509649749821302E-2</v>
      </c>
      <c r="Z222" s="218">
        <f>Z137/Z5/4</f>
        <v>3.2042659492697925E-2</v>
      </c>
      <c r="AA222" s="209">
        <f>AVERAGE(V137:Z137)/AA5</f>
        <v>4.2866341642903136E-2</v>
      </c>
      <c r="AB222" s="218">
        <f>AB137/AB5/4</f>
        <v>3.5920092201306188E-2</v>
      </c>
      <c r="AC222" s="218">
        <f>AC137/AC5/4</f>
        <v>3.2448494453248815E-2</v>
      </c>
      <c r="AD222" s="218">
        <f>AD137/AD5/4</f>
        <v>2.8283915852244493E-2</v>
      </c>
      <c r="AE222" s="218">
        <f>AE137/AE5/4</f>
        <v>3.5894433435417039E-2</v>
      </c>
      <c r="AF222" s="209">
        <f>AVERAGE(AA137:AE137)/AF5</f>
        <v>3.2150277008310246E-2</v>
      </c>
      <c r="AG222" s="218">
        <f>AG137/AG5/4</f>
        <v>3.138155376961347E-2</v>
      </c>
      <c r="AH222" s="218">
        <f>AH137/AH5/4</f>
        <v>2.7293082149474984E-2</v>
      </c>
      <c r="AI222" s="218">
        <f>AI137/AI5/4</f>
        <v>1.9987604586303068E-2</v>
      </c>
      <c r="AJ222" s="218">
        <f>AJ137/AJ5/4</f>
        <v>2.3895819285232635E-2</v>
      </c>
      <c r="AK222" s="209">
        <f>AVERAGE(AF137:AJ137)/AK5</f>
        <v>2.6926270342079044E-2</v>
      </c>
      <c r="AL222" s="218">
        <f>AL137/AL5/4</f>
        <v>1.8966082254628872E-2</v>
      </c>
      <c r="AM222" s="218">
        <f>AM137/AM5/4</f>
        <v>1.7102030259924995E-2</v>
      </c>
      <c r="AN222" s="218">
        <f>AN137/AN5/4</f>
        <v>1.2483745123537062E-2</v>
      </c>
      <c r="AO222" s="218">
        <f>AO137/AO5/4</f>
        <v>8.7982539899058784E-3</v>
      </c>
      <c r="AP222" s="209">
        <f>AVERAGE(AK137:AO137)/AP5</f>
        <v>1.5254530963024569E-2</v>
      </c>
      <c r="AQ222" s="218">
        <f>AQ137/AQ5/4</f>
        <v>1.246781406694674E-2</v>
      </c>
      <c r="AR222" s="218">
        <f>AR137/AR5/4</f>
        <v>9.921512270616847E-3</v>
      </c>
      <c r="AS222" s="218">
        <f>AS137/AS5/4</f>
        <v>8.3700702966758005E-3</v>
      </c>
      <c r="AT222" s="218">
        <f>AT137/AT5/4</f>
        <v>8.840864440078585E-3</v>
      </c>
      <c r="AU222" s="209">
        <f>AVERAGE(AP137:AT137)/AU5</f>
        <v>9.5041322314049596E-3</v>
      </c>
      <c r="AV222" s="218">
        <f>AV137/AV5/4</f>
        <v>1.2414562700516111E-2</v>
      </c>
      <c r="AW222" s="218">
        <f>AW137/AW5/4</f>
        <v>2.3587758558122656E-2</v>
      </c>
      <c r="AX222" s="218">
        <f>AX137/AX5/4</f>
        <v>1.4576081551466932E-2</v>
      </c>
      <c r="AY222" s="218">
        <f>AY137/AY5/4</f>
        <v>8.7882822902796264E-3</v>
      </c>
      <c r="AZ222" s="209">
        <f>AVERAGE(AU137:AY137)/AZ5</f>
        <v>1.3688286544046467E-2</v>
      </c>
      <c r="BA222" s="218">
        <f>BA137/BA5/4</f>
        <v>1.3421926910299004E-2</v>
      </c>
      <c r="BB222" s="218">
        <f>BB137/BB5/4</f>
        <v>1.2969794789024672E-2</v>
      </c>
      <c r="BC222" s="218">
        <f>BC137/BC5/4</f>
        <v>1.2728459530026109E-2</v>
      </c>
      <c r="BD222" s="218">
        <f>BD137/BD5/4</f>
        <v>6.5012383311106878E-3</v>
      </c>
      <c r="BE222" s="209">
        <f>AVERAGE(AZ137:BD137)/BE5</f>
        <v>1.0363579420892293E-2</v>
      </c>
      <c r="BF222" s="218">
        <f>BF137/BF5/4</f>
        <v>5.5239449976292078E-3</v>
      </c>
      <c r="BG222" s="218">
        <f>BG137/BG5/4</f>
        <v>7.7775159085552671E-3</v>
      </c>
      <c r="BH222" s="218">
        <f>BH137/BH5/4</f>
        <v>5.3908355795148251E-3</v>
      </c>
      <c r="BI222" s="218">
        <f>BI137/BI5/4</f>
        <v>8.1996919452749836E-3</v>
      </c>
      <c r="BJ222" s="424">
        <f>AVERAGE(BE137:BI137)/BJ5</f>
        <v>6.564419813549857E-3</v>
      </c>
      <c r="BK222" s="436">
        <f>BK137/BK5/4</f>
        <v>8.1919382350300746E-3</v>
      </c>
      <c r="BL222" s="436">
        <f>BL137/BL5/4</f>
        <v>1.1750993579944972E-2</v>
      </c>
      <c r="BM222" s="436">
        <f>BM137/BM5/4</f>
        <v>1.3285806869734284E-2</v>
      </c>
      <c r="BN222" s="436">
        <f>BN137/BN5/4</f>
        <v>1.0270388137810728E-2</v>
      </c>
      <c r="BO222" s="424">
        <f>AVERAGE(BJ137:BN137)/BO5</f>
        <v>1.0280646235842772E-2</v>
      </c>
      <c r="BP222" s="436">
        <f>BP137/BP5/4</f>
        <v>8.6511459371319873E-3</v>
      </c>
      <c r="BQ222" s="436">
        <f>BQ137/BQ5/4</f>
        <v>8.7660809538751185E-3</v>
      </c>
      <c r="BR222" s="436">
        <f>BR137/BR5/4</f>
        <v>8.6256706562113077E-3</v>
      </c>
      <c r="BS222" s="436">
        <f>BS137/BS5/4</f>
        <v>7.0017221064080483E-3</v>
      </c>
      <c r="BT222" s="424">
        <f>AVERAGE(BO137:BS137)/BT5</f>
        <v>8.6374773623095757E-3</v>
      </c>
      <c r="BU222" s="436">
        <f>BU137/BU5/4</f>
        <v>6.9916855631141344E-3</v>
      </c>
      <c r="BV222" s="436">
        <f>BV137/BV5/4</f>
        <v>9.0467081141399654E-3</v>
      </c>
      <c r="BW222" s="436">
        <f>BW137/BW5/4</f>
        <v>1.1017444286787413E-2</v>
      </c>
      <c r="BX222" s="436">
        <f>BX137/BX5/4</f>
        <v>9.1734703238235023E-3</v>
      </c>
      <c r="BY222" s="424">
        <f>AVERAGE(BT137:BX137)/BY5</f>
        <v>8.6368773363470399E-3</v>
      </c>
      <c r="BZ222" s="436">
        <f>BZ137/BZ5/4</f>
        <v>1.6093618611604223E-2</v>
      </c>
      <c r="CA222" s="436">
        <f>CA137/CA5/4</f>
        <v>8.9925096715779071E-3</v>
      </c>
      <c r="CB222" s="436">
        <f>CB137/CB5/4</f>
        <v>8.3991228070175433E-3</v>
      </c>
      <c r="CC222" s="436">
        <f>CC137/CC5/4</f>
        <v>8.2708645677161425E-3</v>
      </c>
      <c r="CD222" s="424">
        <f>AVERAGE(BY137:CC137)/CD5</f>
        <v>1.0122692455430779E-2</v>
      </c>
      <c r="CE222" s="436">
        <f>CE137/CE5/4</f>
        <v>6.6560170394036212E-3</v>
      </c>
      <c r="CF222" s="436">
        <f>CF137/CF5/4</f>
        <v>1.112894828184658E-2</v>
      </c>
      <c r="CG222" s="436">
        <f>CG137/CG5/4</f>
        <v>2.5362318840579712E-2</v>
      </c>
      <c r="CH222" s="436">
        <f>CH137/CH5/4</f>
        <v>2.7119999999999998E-2</v>
      </c>
      <c r="CI222" s="424">
        <f>AVERAGE(CD137:CH137)/CI5</f>
        <v>1.5358149758684951E-2</v>
      </c>
      <c r="CJ222" s="436">
        <f>CJ137/CJ5/4</f>
        <v>6.8381223952621195E-2</v>
      </c>
      <c r="CK222" s="436">
        <f>CK137/CK5/4</f>
        <v>1.6336837765409194E-2</v>
      </c>
      <c r="CL222" s="436">
        <f>CL137/CL5/4</f>
        <v>2.1810971579643092E-2</v>
      </c>
      <c r="CM222" s="436">
        <f>CM137/CM5/4</f>
        <v>6.5026773761713522E-2</v>
      </c>
      <c r="CN222" s="424">
        <f>AVERAGE(CI137:CM137)/CN5</f>
        <v>3.8905225062203119E-2</v>
      </c>
      <c r="CO222" s="436">
        <f>CO137/CO5/4</f>
        <v>6.9091028331584467E-2</v>
      </c>
      <c r="CP222" s="571">
        <f t="shared" ref="CP222:CR223" si="365">CK222</f>
        <v>1.6336837765409194E-2</v>
      </c>
      <c r="CQ222" s="571">
        <f t="shared" si="365"/>
        <v>2.1810971579643092E-2</v>
      </c>
      <c r="CR222" s="571">
        <f t="shared" si="365"/>
        <v>6.5026773761713522E-2</v>
      </c>
      <c r="CS222" s="424">
        <f>AVERAGE(CN137:CR137)/CS5</f>
        <v>4.5335869237634871E-2</v>
      </c>
      <c r="CT222" s="571">
        <f t="shared" ref="CT222:CW223" si="366">CO222</f>
        <v>6.9091028331584467E-2</v>
      </c>
      <c r="CU222" s="571">
        <f t="shared" si="366"/>
        <v>1.6336837765409194E-2</v>
      </c>
      <c r="CV222" s="571">
        <f t="shared" si="366"/>
        <v>2.1810971579643092E-2</v>
      </c>
      <c r="CW222" s="571">
        <f t="shared" si="366"/>
        <v>6.5026773761713522E-2</v>
      </c>
      <c r="CX222" s="424">
        <f>AVERAGE(CS137:CW137)/CX5</f>
        <v>4.4625941975666772E-2</v>
      </c>
      <c r="CY222" s="571">
        <f t="shared" ref="CY222:DB225" si="367">CT222</f>
        <v>6.9091028331584467E-2</v>
      </c>
      <c r="CZ222" s="571">
        <f t="shared" si="367"/>
        <v>1.6336837765409194E-2</v>
      </c>
      <c r="DA222" s="571">
        <f t="shared" si="367"/>
        <v>2.1810971579643092E-2</v>
      </c>
      <c r="DB222" s="571">
        <f t="shared" si="367"/>
        <v>6.5026773761713522E-2</v>
      </c>
      <c r="DC222" s="424">
        <f>AVERAGE(CX137:DB137)/DC5</f>
        <v>4.4662638079281135E-2</v>
      </c>
      <c r="DD222" s="571">
        <f t="shared" ref="DD222:DG225" si="368">CY222</f>
        <v>6.9091028331584467E-2</v>
      </c>
      <c r="DE222" s="571">
        <f t="shared" si="368"/>
        <v>1.6336837765409194E-2</v>
      </c>
      <c r="DF222" s="571">
        <f t="shared" si="368"/>
        <v>2.1810971579643092E-2</v>
      </c>
      <c r="DG222" s="571">
        <f t="shared" si="368"/>
        <v>6.5026773761713522E-2</v>
      </c>
      <c r="DH222" s="424">
        <f>AVERAGE(DC137:DG137)/DH5</f>
        <v>4.474397014086251E-2</v>
      </c>
      <c r="DI222" s="571">
        <f t="shared" ref="DI222:DL225" si="369">DD222</f>
        <v>6.9091028331584467E-2</v>
      </c>
      <c r="DJ222" s="571">
        <f t="shared" si="369"/>
        <v>1.6336837765409194E-2</v>
      </c>
      <c r="DK222" s="571">
        <f t="shared" si="369"/>
        <v>2.1810971579643092E-2</v>
      </c>
      <c r="DL222" s="571">
        <f t="shared" si="369"/>
        <v>6.5026773761713522E-2</v>
      </c>
      <c r="DM222" s="424">
        <f>AVERAGE(DH137:DL137)/DM5</f>
        <v>4.4797500955437088E-2</v>
      </c>
      <c r="DN222" s="207"/>
    </row>
    <row r="223" spans="1:118" ht="15" x14ac:dyDescent="0.2">
      <c r="A223" s="18" t="s">
        <v>163</v>
      </c>
      <c r="C223" s="218"/>
      <c r="D223" s="218"/>
      <c r="E223" s="218"/>
      <c r="F223" s="218"/>
      <c r="G223" s="209"/>
      <c r="H223" s="218">
        <f>H141/H5/4</f>
        <v>6.3526142965395299E-2</v>
      </c>
      <c r="I223" s="218">
        <f>I141/I5/4</f>
        <v>5.453470879002794E-2</v>
      </c>
      <c r="J223" s="218">
        <f>J141/J5/4</f>
        <v>5.5537806176783812E-2</v>
      </c>
      <c r="K223" s="218">
        <f>K141/K5/4</f>
        <v>5.6689476168003773E-2</v>
      </c>
      <c r="L223" s="209">
        <f>L141/L5</f>
        <v>5.477343972641778E-2</v>
      </c>
      <c r="M223" s="218">
        <f>M141/M5/4</f>
        <v>9.9534199558715369E-2</v>
      </c>
      <c r="N223" s="218">
        <f>N141/N5/4</f>
        <v>8.1920640834575259E-2</v>
      </c>
      <c r="O223" s="218">
        <f>O141/O5/4</f>
        <v>0.10329763246899662</v>
      </c>
      <c r="P223" s="218">
        <f>P141/P5/4</f>
        <v>0.11783107403545359</v>
      </c>
      <c r="Q223" s="209">
        <f>Q141/Q5</f>
        <v>0.11551829891637702</v>
      </c>
      <c r="R223" s="218">
        <f>R141/R5/4</f>
        <v>0.1354494382022472</v>
      </c>
      <c r="S223" s="218">
        <f>S141/S5/4</f>
        <v>0.11010798371393167</v>
      </c>
      <c r="T223" s="218">
        <f>T141/T5/4</f>
        <v>0.10697200566973777</v>
      </c>
      <c r="U223" s="218">
        <f>U141/U5/4</f>
        <v>0.1228001564333203</v>
      </c>
      <c r="V223" s="209">
        <f>V141/V5</f>
        <v>0.12043918109028144</v>
      </c>
      <c r="W223" s="218">
        <f>W141/W5/4</f>
        <v>0.12793357199681782</v>
      </c>
      <c r="X223" s="218">
        <f>X141/X5/4</f>
        <v>0.11172641190395671</v>
      </c>
      <c r="Y223" s="218">
        <f>Y141/Y5/4</f>
        <v>0.11740528949249464</v>
      </c>
      <c r="Z223" s="218">
        <f>Z141/Z5/4</f>
        <v>0.13518447348193696</v>
      </c>
      <c r="AA223" s="209">
        <f>AA141/AA5</f>
        <v>0.12942691564713457</v>
      </c>
      <c r="AB223" s="218">
        <f>AB141/AB5/4</f>
        <v>0.13642912024587014</v>
      </c>
      <c r="AC223" s="218">
        <f>AC141/AC5/4</f>
        <v>0.11232171156893819</v>
      </c>
      <c r="AD223" s="218">
        <f>AD141/AD5/4</f>
        <v>0.11359118767599802</v>
      </c>
      <c r="AE223" s="218">
        <f>AE141/AE5/4</f>
        <v>7.7913889389299232E-2</v>
      </c>
      <c r="AF223" s="209">
        <f>AF141/AF5</f>
        <v>7.4878808864265928E-2</v>
      </c>
      <c r="AG223" s="218">
        <f>AG141/AG5/4</f>
        <v>8.280711825487945E-2</v>
      </c>
      <c r="AH223" s="218">
        <f>AH141/AH5/4</f>
        <v>6.8946880790611495E-2</v>
      </c>
      <c r="AI223" s="218">
        <f>AI141/AI5/4</f>
        <v>8.1151224047102566E-2</v>
      </c>
      <c r="AJ223" s="218">
        <f>AJ141/AJ5/4</f>
        <v>9.4023937963587323E-2</v>
      </c>
      <c r="AK223" s="209">
        <f>AK141/AK5</f>
        <v>9.2618731318498834E-2</v>
      </c>
      <c r="AL223" s="218">
        <f>AL141/AL5/4</f>
        <v>0.1100688186137965</v>
      </c>
      <c r="AM223" s="218">
        <f>AM141/AM5/4</f>
        <v>9.2557868873658342E-2</v>
      </c>
      <c r="AN223" s="218">
        <f>AN141/AN5/4</f>
        <v>0.11176853055916774</v>
      </c>
      <c r="AO223" s="218">
        <f>AO141/AO5/4</f>
        <v>0.10684081298595008</v>
      </c>
      <c r="AP223" s="209">
        <f>AP141/AP5</f>
        <v>0.10856984440517033</v>
      </c>
      <c r="AQ223" s="218">
        <f>AQ141/AQ5/4</f>
        <v>0.11136332836427701</v>
      </c>
      <c r="AR223" s="218">
        <f>AR141/AR5/4</f>
        <v>9.0288525315056378E-2</v>
      </c>
      <c r="AS223" s="218">
        <f>AS141/AS5/4</f>
        <v>8.3492195877516981E-2</v>
      </c>
      <c r="AT223" s="218">
        <f>AT141/AT5/4</f>
        <v>0.10563429694078025</v>
      </c>
      <c r="AU223" s="209">
        <f>AU141/AU5</f>
        <v>9.4258702729777114E-2</v>
      </c>
      <c r="AV223" s="218">
        <f>AV141/AV5/4</f>
        <v>0.10266424884921188</v>
      </c>
      <c r="AW223" s="218">
        <f>AW141/AW5/4</f>
        <v>9.2264424821579774E-2</v>
      </c>
      <c r="AX223" s="218">
        <f>AX141/AX5/4</f>
        <v>9.7090999502734962E-2</v>
      </c>
      <c r="AY223" s="218">
        <f>AY141/AY5/4</f>
        <v>9.8701731025299597E-2</v>
      </c>
      <c r="AZ223" s="209">
        <f>AZ141/AZ5</f>
        <v>9.5676024524040018E-2</v>
      </c>
      <c r="BA223" s="218">
        <f>BA141/BA5/4</f>
        <v>9.1794019933554821E-2</v>
      </c>
      <c r="BB223" s="218">
        <f>BB141/BB5/4</f>
        <v>7.8366382291906844E-2</v>
      </c>
      <c r="BC223" s="218">
        <f>BC141/BC5/4</f>
        <v>8.2393781153572279E-2</v>
      </c>
      <c r="BD223" s="218">
        <f>BD141/BD5/4</f>
        <v>0.11416460278148219</v>
      </c>
      <c r="BE223" s="209">
        <f>BE141/BE5</f>
        <v>0.13649175753779574</v>
      </c>
      <c r="BF223" s="218">
        <f>BF141/BF5/4</f>
        <v>0.10519203413940256</v>
      </c>
      <c r="BG223" s="218">
        <f>BG141/BG5/4</f>
        <v>8.6279362086573969E-2</v>
      </c>
      <c r="BH223" s="218">
        <f>BH141/BH5/4</f>
        <v>8.9928938985542758E-2</v>
      </c>
      <c r="BI223" s="218">
        <f>BI141/BI5/4</f>
        <v>0.12276886835190721</v>
      </c>
      <c r="BJ223" s="424">
        <f>BJ141/BJ5</f>
        <v>0.11642393779267088</v>
      </c>
      <c r="BK223" s="436">
        <f>BK141/BK5/4</f>
        <v>0.10465481641080887</v>
      </c>
      <c r="BL223" s="436">
        <f>BL141/BL5/4</f>
        <v>8.9001834301436863E-2</v>
      </c>
      <c r="BM223" s="436">
        <f>BM141/BM5/4</f>
        <v>9.474238496435515E-2</v>
      </c>
      <c r="BN223" s="436">
        <f>BN141/BN5/4</f>
        <v>0.11923244657653728</v>
      </c>
      <c r="BO223" s="424">
        <f>BO141/BO5</f>
        <v>0.11384077281812126</v>
      </c>
      <c r="BP223" s="436">
        <f>BP141/BP5/4</f>
        <v>0.11207989854153456</v>
      </c>
      <c r="BQ223" s="436">
        <f>BQ141/BQ5/4</f>
        <v>9.6760276121744593E-2</v>
      </c>
      <c r="BR223" s="436">
        <f>BR141/BR5/4</f>
        <v>9.1725134131242267E-2</v>
      </c>
      <c r="BS223" s="436">
        <f>BS141/BS5/4</f>
        <v>7.9262213359920244E-2</v>
      </c>
      <c r="BT223" s="424">
        <f>BT141/BT5</f>
        <v>7.4528603387663789E-2</v>
      </c>
      <c r="BU223" s="436">
        <f>BU141/BU5/4</f>
        <v>8.0640589569160995E-2</v>
      </c>
      <c r="BV223" s="436">
        <f>BV141/BV5/4</f>
        <v>6.8687230989956952E-2</v>
      </c>
      <c r="BW223" s="436">
        <f>BW141/BW5/4</f>
        <v>7.0590935648109504E-2</v>
      </c>
      <c r="BX223" s="436">
        <f>BX141/BX5/4</f>
        <v>0.10065590312815338</v>
      </c>
      <c r="BY223" s="424">
        <f>BY141/BY5</f>
        <v>9.5388159610536385E-2</v>
      </c>
      <c r="BZ223" s="436">
        <f>BZ141/BZ5/4</f>
        <v>0.10034569746799962</v>
      </c>
      <c r="CA223" s="436">
        <f>CA141/CA5/4</f>
        <v>8.8134825911597658E-2</v>
      </c>
      <c r="CB223" s="436">
        <f>CB141/CB5/4</f>
        <v>9.1973684210526319E-2</v>
      </c>
      <c r="CC223" s="436">
        <f>CC141/CC5/4</f>
        <v>0.10747126436781609</v>
      </c>
      <c r="CD223" s="424">
        <f>CD141/CD5</f>
        <v>9.7182366631267364E-2</v>
      </c>
      <c r="CE223" s="436">
        <f>CE141/CE5/4</f>
        <v>9.2458127601897575E-2</v>
      </c>
      <c r="CF223" s="436">
        <f>CF141/CF5/4</f>
        <v>8.5972752516487325E-2</v>
      </c>
      <c r="CG223" s="436">
        <f>CG141/CG5/4</f>
        <v>9.3732354601919823E-2</v>
      </c>
      <c r="CH223" s="436">
        <f>CH141/CH5/4</f>
        <v>0.10882666666666667</v>
      </c>
      <c r="CI223" s="424">
        <f>CI141/CI5</f>
        <v>9.7505614756056763E-2</v>
      </c>
      <c r="CJ223" s="436">
        <f>CJ141/CJ5/4</f>
        <v>0.11079732397455583</v>
      </c>
      <c r="CK223" s="436">
        <f>CK141/CK5/4</f>
        <v>0.10544217687074831</v>
      </c>
      <c r="CL223" s="436">
        <f>CL141/CL5/4</f>
        <v>0.10866931042079753</v>
      </c>
      <c r="CM223" s="436">
        <f>CM141/CM5/4</f>
        <v>0.26844042838018739</v>
      </c>
      <c r="CN223" s="424">
        <f>CN141/CN5</f>
        <v>0.22678692603483375</v>
      </c>
      <c r="CO223" s="436">
        <f>CO141/CO5/4</f>
        <v>0.26491998950682055</v>
      </c>
      <c r="CP223" s="570">
        <f t="shared" si="365"/>
        <v>0.10544217687074831</v>
      </c>
      <c r="CQ223" s="570">
        <f t="shared" si="365"/>
        <v>0.10866931042079753</v>
      </c>
      <c r="CR223" s="570">
        <f t="shared" si="365"/>
        <v>0.26844042838018739</v>
      </c>
      <c r="CS223" s="424">
        <f>CS141/CS5</f>
        <v>0.24588617079604952</v>
      </c>
      <c r="CT223" s="570">
        <f t="shared" si="366"/>
        <v>0.26491998950682055</v>
      </c>
      <c r="CU223" s="570">
        <f t="shared" si="366"/>
        <v>0.10544217687074831</v>
      </c>
      <c r="CV223" s="570">
        <f t="shared" si="366"/>
        <v>0.10866931042079753</v>
      </c>
      <c r="CW223" s="570">
        <f t="shared" si="366"/>
        <v>0.26844042838018739</v>
      </c>
      <c r="CX223" s="424">
        <f>CX141/CX5</f>
        <v>0.2465956898833474</v>
      </c>
      <c r="CY223" s="570">
        <f t="shared" si="367"/>
        <v>0.26491998950682055</v>
      </c>
      <c r="CZ223" s="570">
        <f t="shared" si="367"/>
        <v>0.10544217687074831</v>
      </c>
      <c r="DA223" s="570">
        <f t="shared" si="367"/>
        <v>0.10866931042079753</v>
      </c>
      <c r="DB223" s="570">
        <f t="shared" si="367"/>
        <v>0.26844042838018739</v>
      </c>
      <c r="DC223" s="424">
        <f>DC141/DC5</f>
        <v>0.24707377523732613</v>
      </c>
      <c r="DD223" s="570">
        <f t="shared" si="368"/>
        <v>0.26491998950682055</v>
      </c>
      <c r="DE223" s="570">
        <f t="shared" si="368"/>
        <v>0.10544217687074831</v>
      </c>
      <c r="DF223" s="570">
        <f t="shared" si="368"/>
        <v>0.10866931042079753</v>
      </c>
      <c r="DG223" s="570">
        <f t="shared" si="368"/>
        <v>0.26844042838018739</v>
      </c>
      <c r="DH223" s="424">
        <f>DH141/DH5</f>
        <v>0.24760854231239515</v>
      </c>
      <c r="DI223" s="570">
        <f t="shared" si="369"/>
        <v>0.26491998950682055</v>
      </c>
      <c r="DJ223" s="570">
        <f t="shared" si="369"/>
        <v>0.10544217687074831</v>
      </c>
      <c r="DK223" s="570">
        <f t="shared" si="369"/>
        <v>0.10866931042079753</v>
      </c>
      <c r="DL223" s="570">
        <f t="shared" si="369"/>
        <v>0.26844042838018739</v>
      </c>
      <c r="DM223" s="424">
        <f>DM141/DM5</f>
        <v>0.24803520363199671</v>
      </c>
      <c r="DN223" s="207"/>
    </row>
    <row r="224" spans="1:118" ht="15" x14ac:dyDescent="0.2">
      <c r="A224" s="18" t="s">
        <v>165</v>
      </c>
      <c r="C224" s="218"/>
      <c r="D224" s="218"/>
      <c r="E224" s="218"/>
      <c r="F224" s="218"/>
      <c r="G224" s="209"/>
      <c r="H224" s="218">
        <f>H142/H5/4</f>
        <v>2.4753725688305129E-2</v>
      </c>
      <c r="I224" s="218">
        <f>I142/I5/4</f>
        <v>2.3586933161401247E-2</v>
      </c>
      <c r="J224" s="218">
        <f>J142/J5/4</f>
        <v>1.9755058572949947E-2</v>
      </c>
      <c r="K224" s="218">
        <f>K142/K5/4</f>
        <v>2.6073619631901839E-2</v>
      </c>
      <c r="L224" s="209">
        <f>AVERAGE(G142:K142)/L5</f>
        <v>2.3573667711598748E-2</v>
      </c>
      <c r="M224" s="218">
        <f>M142/M5/4</f>
        <v>4.057367001716107E-2</v>
      </c>
      <c r="N224" s="218">
        <f>N142/N5/4</f>
        <v>2.5149031296572279E-2</v>
      </c>
      <c r="O224" s="218">
        <f>O142/O5/4</f>
        <v>2.5507328072153324E-2</v>
      </c>
      <c r="P224" s="218">
        <f>P142/P5/4</f>
        <v>1.5849843587069864E-2</v>
      </c>
      <c r="Q224" s="209">
        <f>AVERAGE(L142:P142)/Q5</f>
        <v>2.5465140053158863E-2</v>
      </c>
      <c r="R224" s="218">
        <f>R142/R5/4</f>
        <v>2.050561797752809E-2</v>
      </c>
      <c r="S224" s="218">
        <f>S142/S5/4</f>
        <v>1.3099663657284474E-2</v>
      </c>
      <c r="T224" s="218">
        <f>T142/T5/4</f>
        <v>1.7585046066619418E-2</v>
      </c>
      <c r="U224" s="218">
        <f>U142/U5/4</f>
        <v>1.6474384043801329E-2</v>
      </c>
      <c r="V224" s="209">
        <f>AVERAGE(Q142:U142)/V5</f>
        <v>1.6291892410221987E-2</v>
      </c>
      <c r="W224" s="218">
        <f>W142/W5/4</f>
        <v>1.7402545743834527E-2</v>
      </c>
      <c r="X224" s="218">
        <f>X142/X5/4</f>
        <v>1.3738586405140345E-2</v>
      </c>
      <c r="Y224" s="218">
        <f>Y142/Y5/4</f>
        <v>1.4161901358112938E-2</v>
      </c>
      <c r="Z224" s="218">
        <f>Z142/Z5/4</f>
        <v>2.1617986164488855E-2</v>
      </c>
      <c r="AA224" s="209">
        <f>AVERAGE(V142:Z142)/AA5</f>
        <v>1.6364639867537487E-2</v>
      </c>
      <c r="AB224" s="218">
        <f>AB142/AB5/4</f>
        <v>2.329043411448329E-2</v>
      </c>
      <c r="AC224" s="218">
        <f>AC142/AC5/4</f>
        <v>2.2187004754358162E-2</v>
      </c>
      <c r="AD224" s="218">
        <f>AD142/AD5/4</f>
        <v>2.2237866489978466E-2</v>
      </c>
      <c r="AE224" s="218">
        <f>AE142/AE5/4</f>
        <v>1.5852999459556837E-2</v>
      </c>
      <c r="AF224" s="209">
        <f>AVERAGE(AA142:AE142)/AF5</f>
        <v>2.0637119113573407E-2</v>
      </c>
      <c r="AG224" s="218">
        <f>AG142/AG5/4</f>
        <v>1.9469957902793725E-2</v>
      </c>
      <c r="AH224" s="218">
        <f>AH142/AH5/4</f>
        <v>1.8915997529339097E-2</v>
      </c>
      <c r="AI224" s="218">
        <f>AI142/AI5/4</f>
        <v>2.835450883173226E-2</v>
      </c>
      <c r="AJ224" s="218">
        <f>AJ142/AJ5/4</f>
        <v>2.562373567093729E-2</v>
      </c>
      <c r="AK224" s="209">
        <f>AVERAGE(AF142:AJ142)/AK5</f>
        <v>2.1496180670873461E-2</v>
      </c>
      <c r="AL224" s="218">
        <f>AL142/AL5/4</f>
        <v>2.1137145666065869E-2</v>
      </c>
      <c r="AM224" s="218">
        <f>AM142/AM5/4</f>
        <v>4.2253976464502782E-2</v>
      </c>
      <c r="AN224" s="218">
        <f>AN142/AN5/4</f>
        <v>4.5611183355006503E-2</v>
      </c>
      <c r="AO224" s="218">
        <f>AO142/AO5/4</f>
        <v>6.4452325740008184E-2</v>
      </c>
      <c r="AP224" s="209">
        <f>AVERAGE(AK142:AO142)/AP5</f>
        <v>3.9671483522195655E-2</v>
      </c>
      <c r="AQ224" s="218">
        <f>AQ142/AQ5/4</f>
        <v>6.2271310475674212E-2</v>
      </c>
      <c r="AR224" s="218">
        <f>AR142/AR5/4</f>
        <v>4.9414105682069422E-2</v>
      </c>
      <c r="AS224" s="218">
        <f>AS142/AS5/4</f>
        <v>6.4577624210651732E-2</v>
      </c>
      <c r="AT224" s="218">
        <f>AT142/AT5/4</f>
        <v>3.0767611563289363E-2</v>
      </c>
      <c r="AU224" s="209">
        <f>AVERAGE(AP142:AT142)/AU5</f>
        <v>5.3600050087653395E-2</v>
      </c>
      <c r="AV224" s="218">
        <f>AV142/AV5/4</f>
        <v>3.0164597572883246E-2</v>
      </c>
      <c r="AW224" s="218">
        <f>AW142/AW5/4</f>
        <v>2.7277125922341841E-2</v>
      </c>
      <c r="AX224" s="218">
        <f>AX142/AX5/4</f>
        <v>3.4901790154152165E-2</v>
      </c>
      <c r="AY224" s="218">
        <f>AY142/AY5/4</f>
        <v>5.25965379494008E-2</v>
      </c>
      <c r="AZ224" s="209">
        <f>AVERAGE(AU142:AY142)/AZ5</f>
        <v>3.4507905776056794E-2</v>
      </c>
      <c r="BA224" s="218">
        <f>BA142/BA5/4</f>
        <v>4.9202657807308973E-2</v>
      </c>
      <c r="BB224" s="218">
        <f>BB142/BB5/4</f>
        <v>4.484666820382753E-2</v>
      </c>
      <c r="BC224" s="218">
        <f>BC142/BC5/4</f>
        <v>4.1063375267030619E-2</v>
      </c>
      <c r="BD224" s="218">
        <f>BD142/BD5/4</f>
        <v>0.10147170889693274</v>
      </c>
      <c r="BE224" s="209">
        <f>AVERAGE(AZ142:BD142)/BE5</f>
        <v>5.8434643965492701E-2</v>
      </c>
      <c r="BF224" s="218">
        <f>BF142/BF5/4</f>
        <v>0.10481270744428639</v>
      </c>
      <c r="BG224" s="218">
        <f>BG142/BG5/4</f>
        <v>9.2426742085002747E-2</v>
      </c>
      <c r="BH224" s="218">
        <f>BH142/BH5/4</f>
        <v>9.3134852568814833E-2</v>
      </c>
      <c r="BI224" s="218">
        <f>BI142/BI5/4</f>
        <v>0.10632418229591374</v>
      </c>
      <c r="BJ224" s="424">
        <f>AVERAGE(BE142:BI142)/BJ5</f>
        <v>9.7276281307728668E-2</v>
      </c>
      <c r="BK224" s="436">
        <f>BK142/BK5/4</f>
        <v>0.10815602836879433</v>
      </c>
      <c r="BL224" s="436">
        <f>BL142/BL5/4</f>
        <v>9.5345460103943749E-2</v>
      </c>
      <c r="BM224" s="436">
        <f>BM142/BM5/4</f>
        <v>0.10525356448476993</v>
      </c>
      <c r="BN224" s="436">
        <f>BN142/BN5/4</f>
        <v>0.10861317051897078</v>
      </c>
      <c r="BO224" s="424">
        <f>AVERAGE(BJ142:BN142)/BO5</f>
        <v>0.10276898734177214</v>
      </c>
      <c r="BP224" s="436">
        <f>BP142/BP5/4</f>
        <v>0.11808134794818372</v>
      </c>
      <c r="BQ224" s="436">
        <f>BQ142/BQ5/4</f>
        <v>0.10389865076874803</v>
      </c>
      <c r="BR224" s="436">
        <f>BR142/BR5/4</f>
        <v>0.10951300041271152</v>
      </c>
      <c r="BS224" s="436">
        <f>BS142/BS5/4</f>
        <v>0.13939998187256414</v>
      </c>
      <c r="BT224" s="424">
        <f>AVERAGE(BO142:BS142)/BT5</f>
        <v>0.11484819431128156</v>
      </c>
      <c r="BU224" s="436">
        <f>BU142/BU5/4</f>
        <v>0.14779383975812546</v>
      </c>
      <c r="BV224" s="436">
        <f>BV142/BV5/4</f>
        <v>0.12890562729156704</v>
      </c>
      <c r="BW224" s="436">
        <f>BW142/BW5/4</f>
        <v>0.13335698188798931</v>
      </c>
      <c r="BX224" s="436">
        <f>BX142/BX5/4</f>
        <v>0.12925419686267314</v>
      </c>
      <c r="BY224" s="424">
        <f>AVERAGE(BT142:BX142)/BY5</f>
        <v>0.13433452142919239</v>
      </c>
      <c r="BZ224" s="436">
        <f>BZ142/BZ5/4</f>
        <v>0.12688031393067364</v>
      </c>
      <c r="CA224" s="436">
        <f>CA142/CA5/4</f>
        <v>0.11904271956539633</v>
      </c>
      <c r="CB224" s="436">
        <f>CB142/CB5/4</f>
        <v>0.11081140350877193</v>
      </c>
      <c r="CC224" s="436">
        <f>CC142/CC5/4</f>
        <v>0.11721639180409794</v>
      </c>
      <c r="CD224" s="424">
        <f>AVERAGE(BY142:CC142)/CD5</f>
        <v>0.12019341573084483</v>
      </c>
      <c r="CE224" s="436">
        <f>CE142/CE5/4</f>
        <v>0.10497143963597638</v>
      </c>
      <c r="CF224" s="436">
        <f>CF142/CF5/4</f>
        <v>9.7557271780631727E-2</v>
      </c>
      <c r="CG224" s="436">
        <f>CG142/CG5/4</f>
        <v>9.9825898738942223E-2</v>
      </c>
      <c r="CH224" s="436">
        <f>CH142/CH5/4</f>
        <v>0.10008</v>
      </c>
      <c r="CI224" s="424">
        <f>AVERAGE(CD142:CH142)/CI5</f>
        <v>0.10283843838103884</v>
      </c>
      <c r="CJ224" s="436">
        <f>CJ142/CJ5/4</f>
        <v>0.10690392629962711</v>
      </c>
      <c r="CK224" s="436">
        <f>CK142/CK5/4</f>
        <v>0.11157493300350443</v>
      </c>
      <c r="CL224" s="436">
        <f>CL142/CL5/4</f>
        <v>0.11877616215025336</v>
      </c>
      <c r="CM224" s="436">
        <f>CM142/CM5/4</f>
        <v>8.4404283801874161E-2</v>
      </c>
      <c r="CN224" s="424">
        <f>AVERAGE(CI142:CM142)/CN5</f>
        <v>0.10640692151097036</v>
      </c>
      <c r="CO224" s="436">
        <f>CO142/CO5/4</f>
        <v>7.5878803777544593E-2</v>
      </c>
      <c r="CP224" s="570">
        <f>CO224</f>
        <v>7.5878803777544593E-2</v>
      </c>
      <c r="CQ224" s="570">
        <f>CP224</f>
        <v>7.5878803777544593E-2</v>
      </c>
      <c r="CR224" s="570">
        <f t="shared" ref="CP224:CR225" si="370">CM224</f>
        <v>8.4404283801874161E-2</v>
      </c>
      <c r="CS224" s="424">
        <f>AVERAGE(CN142:CR142)/CS5</f>
        <v>7.8035557163103522E-2</v>
      </c>
      <c r="CT224" s="570">
        <f t="shared" ref="CT224:CW225" si="371">CO224</f>
        <v>7.5878803777544593E-2</v>
      </c>
      <c r="CU224" s="570">
        <f t="shared" si="371"/>
        <v>7.5878803777544593E-2</v>
      </c>
      <c r="CV224" s="570">
        <f t="shared" si="371"/>
        <v>7.5878803777544593E-2</v>
      </c>
      <c r="CW224" s="570">
        <f t="shared" si="371"/>
        <v>8.4404283801874161E-2</v>
      </c>
      <c r="CX224" s="424">
        <f>AVERAGE(CS142:CW142)/CX5</f>
        <v>7.7128746010623139E-2</v>
      </c>
      <c r="CY224" s="570">
        <f t="shared" si="367"/>
        <v>7.5878803777544593E-2</v>
      </c>
      <c r="CZ224" s="570">
        <f t="shared" si="367"/>
        <v>7.5878803777544593E-2</v>
      </c>
      <c r="DA224" s="570">
        <f t="shared" si="367"/>
        <v>7.5878803777544593E-2</v>
      </c>
      <c r="DB224" s="570">
        <f t="shared" si="367"/>
        <v>8.4404283801874161E-2</v>
      </c>
      <c r="DC224" s="424">
        <f>AVERAGE(CX142:DB142)/DC5</f>
        <v>7.7165535018741502E-2</v>
      </c>
      <c r="DD224" s="570">
        <f t="shared" si="368"/>
        <v>7.5878803777544593E-2</v>
      </c>
      <c r="DE224" s="570">
        <f t="shared" si="368"/>
        <v>7.5878803777544593E-2</v>
      </c>
      <c r="DF224" s="570">
        <f t="shared" si="368"/>
        <v>7.5878803777544593E-2</v>
      </c>
      <c r="DG224" s="570">
        <f t="shared" si="368"/>
        <v>8.4404283801874161E-2</v>
      </c>
      <c r="DH224" s="424">
        <f>AVERAGE(DC142:DG142)/DH5</f>
        <v>7.726161148454426E-2</v>
      </c>
      <c r="DI224" s="570">
        <f t="shared" si="369"/>
        <v>7.5878803777544593E-2</v>
      </c>
      <c r="DJ224" s="570">
        <f t="shared" si="369"/>
        <v>7.5878803777544593E-2</v>
      </c>
      <c r="DK224" s="570">
        <f t="shared" si="369"/>
        <v>7.5878803777544593E-2</v>
      </c>
      <c r="DL224" s="570">
        <f t="shared" si="369"/>
        <v>8.4404283801874161E-2</v>
      </c>
      <c r="DM224" s="424">
        <f>AVERAGE(DH142:DL142)/DM5</f>
        <v>7.7324505395623966E-2</v>
      </c>
      <c r="DN224" s="207"/>
    </row>
    <row r="225" spans="1:118" ht="15" x14ac:dyDescent="0.2">
      <c r="A225" s="18" t="s">
        <v>163</v>
      </c>
      <c r="C225" s="218"/>
      <c r="D225" s="218"/>
      <c r="E225" s="218"/>
      <c r="F225" s="218"/>
      <c r="G225" s="209"/>
      <c r="H225" s="218">
        <f>H141/H5/4</f>
        <v>6.3526142965395299E-2</v>
      </c>
      <c r="I225" s="218">
        <f>I141/I5/4</f>
        <v>5.453470879002794E-2</v>
      </c>
      <c r="J225" s="218">
        <f>J141/J5/4</f>
        <v>5.5537806176783812E-2</v>
      </c>
      <c r="K225" s="218">
        <f>K141/K5/4</f>
        <v>5.6689476168003773E-2</v>
      </c>
      <c r="L225" s="209">
        <f>AVERAGE(G141:K141)/L5</f>
        <v>5.7178683385579937E-2</v>
      </c>
      <c r="M225" s="218">
        <f>M141/M5/4</f>
        <v>9.9534199558715369E-2</v>
      </c>
      <c r="N225" s="218">
        <f>N141/N5/4</f>
        <v>8.1920640834575259E-2</v>
      </c>
      <c r="O225" s="218">
        <f>O141/O5/4</f>
        <v>0.10329763246899662</v>
      </c>
      <c r="P225" s="218">
        <f>P141/P5/4</f>
        <v>0.11783107403545359</v>
      </c>
      <c r="Q225" s="209">
        <f>AVERAGE(L141:P141)/Q5</f>
        <v>8.9991821713351045E-2</v>
      </c>
      <c r="R225" s="218">
        <f>R141/R5/4</f>
        <v>0.1354494382022472</v>
      </c>
      <c r="S225" s="218">
        <f>S141/S5/4</f>
        <v>0.11010798371393167</v>
      </c>
      <c r="T225" s="218">
        <f>T141/T5/4</f>
        <v>0.10697200566973777</v>
      </c>
      <c r="U225" s="218">
        <f>U141/U5/4</f>
        <v>0.1228001564333203</v>
      </c>
      <c r="V225" s="209">
        <f>AVERAGE(Q141:U141)/V5</f>
        <v>0.11589394447907177</v>
      </c>
      <c r="W225" s="218">
        <f>W141/W5/4</f>
        <v>0.12793357199681782</v>
      </c>
      <c r="X225" s="218">
        <f>X141/X5/4</f>
        <v>0.11172641190395671</v>
      </c>
      <c r="Y225" s="218">
        <f>Y141/Y5/4</f>
        <v>0.11740528949249464</v>
      </c>
      <c r="Z225" s="218">
        <f>Z141/Z5/4</f>
        <v>0.13518447348193696</v>
      </c>
      <c r="AA225" s="209">
        <f>AVERAGE(V141:Z141)/AA5</f>
        <v>0.1211480084628829</v>
      </c>
      <c r="AB225" s="218">
        <f>AB141/AB5/4</f>
        <v>0.13642912024587014</v>
      </c>
      <c r="AC225" s="218">
        <f>AC141/AC5/4</f>
        <v>0.11232171156893819</v>
      </c>
      <c r="AD225" s="218">
        <f>AD141/AD5/4</f>
        <v>0.11359118767599802</v>
      </c>
      <c r="AE225" s="218">
        <f>AE141/AE5/4</f>
        <v>7.7913889389299232E-2</v>
      </c>
      <c r="AF225" s="209">
        <f>AVERAGE(AA141:AE141)/AF5</f>
        <v>0.1122143351800554</v>
      </c>
      <c r="AG225" s="218">
        <f>AG141/AG5/4</f>
        <v>8.280711825487945E-2</v>
      </c>
      <c r="AH225" s="218">
        <f>AH141/AH5/4</f>
        <v>6.8946880790611495E-2</v>
      </c>
      <c r="AI225" s="218">
        <f>AI141/AI5/4</f>
        <v>8.1151224047102566E-2</v>
      </c>
      <c r="AJ225" s="218">
        <f>AJ141/AJ5/4</f>
        <v>9.4023937963587323E-2</v>
      </c>
      <c r="AK225" s="209">
        <f>AVERAGE(AF141:AJ141)/AK5</f>
        <v>7.9483560278977086E-2</v>
      </c>
      <c r="AL225" s="218">
        <f>AL141/AL5/4</f>
        <v>0.1100688186137965</v>
      </c>
      <c r="AM225" s="218">
        <f>AM141/AM5/4</f>
        <v>9.2557868873658342E-2</v>
      </c>
      <c r="AN225" s="218">
        <f>AN141/AN5/4</f>
        <v>0.11176853055916774</v>
      </c>
      <c r="AO225" s="218">
        <f>AO141/AO5/4</f>
        <v>0.10684081298595008</v>
      </c>
      <c r="AP225" s="209">
        <f>AVERAGE(AK141:AO141)/AP5</f>
        <v>9.9469799355442354E-2</v>
      </c>
      <c r="AQ225" s="218">
        <f>AQ141/AQ5/4</f>
        <v>0.11136332836427701</v>
      </c>
      <c r="AR225" s="218">
        <f>AR141/AR5/4</f>
        <v>9.0288525315056378E-2</v>
      </c>
      <c r="AS225" s="218">
        <f>AS141/AS5/4</f>
        <v>8.3492195877516981E-2</v>
      </c>
      <c r="AT225" s="218">
        <f>AT141/AT5/4</f>
        <v>0.10563429694078025</v>
      </c>
      <c r="AU225" s="209">
        <f>AVERAGE(AP141:AT141)/AU5</f>
        <v>9.7051089406461302E-2</v>
      </c>
      <c r="AV225" s="218">
        <f>AV141/AV5/4</f>
        <v>0.10266424884921188</v>
      </c>
      <c r="AW225" s="218">
        <f>AW141/AW5/4</f>
        <v>9.2264424821579774E-2</v>
      </c>
      <c r="AX225" s="218">
        <f>AX141/AX5/4</f>
        <v>9.7090999502734962E-2</v>
      </c>
      <c r="AY225" s="218">
        <f>AY141/AY5/4</f>
        <v>9.8701731025299597E-2</v>
      </c>
      <c r="AZ225" s="209">
        <f>AVERAGE(AU141:AY141)/AZ5</f>
        <v>9.741852210390449E-2</v>
      </c>
      <c r="BA225" s="218">
        <f>BA141/BA5/4</f>
        <v>9.1794019933554821E-2</v>
      </c>
      <c r="BB225" s="218">
        <f>BB141/BB5/4</f>
        <v>7.8366382291906844E-2</v>
      </c>
      <c r="BC225" s="218">
        <f>BC141/BC5/4</f>
        <v>8.2393781153572279E-2</v>
      </c>
      <c r="BD225" s="218">
        <f>BD141/BD5/4</f>
        <v>0.11416460278148219</v>
      </c>
      <c r="BE225" s="209">
        <f>AVERAGE(AZ141:BD141)/BE5</f>
        <v>9.1210887452666339E-2</v>
      </c>
      <c r="BF225" s="218">
        <f>BF141/BF5/4</f>
        <v>0.10519203413940256</v>
      </c>
      <c r="BG225" s="218">
        <f>BG141/BG5/4</f>
        <v>8.6279362086573969E-2</v>
      </c>
      <c r="BH225" s="218">
        <f>BH141/BH5/4</f>
        <v>8.9928938985542758E-2</v>
      </c>
      <c r="BI225" s="218">
        <f>BI141/BI5/4</f>
        <v>0.12276886835190721</v>
      </c>
      <c r="BJ225" s="424">
        <f>AVERAGE(BE141:BI141)/BJ5</f>
        <v>0.1007346307513855</v>
      </c>
      <c r="BK225" s="436">
        <f>BK141/BK5/4</f>
        <v>0.10465481641080887</v>
      </c>
      <c r="BL225" s="436">
        <f>BL141/BL5/4</f>
        <v>8.9001834301436863E-2</v>
      </c>
      <c r="BM225" s="436">
        <f>BM141/BM5/4</f>
        <v>9.474238496435515E-2</v>
      </c>
      <c r="BN225" s="436">
        <f>BN141/BN5/4</f>
        <v>0.11923244657653728</v>
      </c>
      <c r="BO225" s="424">
        <f>AVERAGE(BJ141:BN141)/BO5</f>
        <v>0.10362674883411059</v>
      </c>
      <c r="BP225" s="436">
        <f>BP141/BP5/4</f>
        <v>0.11207989854153456</v>
      </c>
      <c r="BQ225" s="436">
        <f>BQ141/BQ5/4</f>
        <v>9.6760276121744593E-2</v>
      </c>
      <c r="BR225" s="436">
        <f>BR141/BR5/4</f>
        <v>9.1725134131242267E-2</v>
      </c>
      <c r="BS225" s="436">
        <f>BS141/BS5/4</f>
        <v>7.9262213359920244E-2</v>
      </c>
      <c r="BT225" s="424">
        <f>AVERAGE(BO141:BS141)/BT5</f>
        <v>9.9260679663364229E-2</v>
      </c>
      <c r="BU225" s="436">
        <f>BU141/BU5/4</f>
        <v>8.0640589569160995E-2</v>
      </c>
      <c r="BV225" s="436">
        <f>BV141/BV5/4</f>
        <v>6.8687230989956952E-2</v>
      </c>
      <c r="BW225" s="436">
        <f>BW141/BW5/4</f>
        <v>7.0590935648109504E-2</v>
      </c>
      <c r="BX225" s="436">
        <f>BX141/BX5/4</f>
        <v>0.10065590312815338</v>
      </c>
      <c r="BY225" s="424">
        <f>AVERAGE(BT141:BX141)/BY5</f>
        <v>7.8809875684604014E-2</v>
      </c>
      <c r="BZ225" s="436">
        <f>BZ141/BZ5/4</f>
        <v>0.10034569746799962</v>
      </c>
      <c r="CA225" s="436">
        <f>CA141/CA5/4</f>
        <v>8.8134825911597658E-2</v>
      </c>
      <c r="CB225" s="436">
        <f>CB141/CB5/4</f>
        <v>9.1973684210526319E-2</v>
      </c>
      <c r="CC225" s="436">
        <f>CC141/CC5/4</f>
        <v>0.10747126436781609</v>
      </c>
      <c r="CD225" s="424">
        <f>AVERAGE(BY141:CC141)/CD5</f>
        <v>9.6992566147728054E-2</v>
      </c>
      <c r="CE225" s="436">
        <f>CE141/CE5/4</f>
        <v>9.2458127601897575E-2</v>
      </c>
      <c r="CF225" s="436">
        <f>CF141/CF5/4</f>
        <v>8.5972752516487325E-2</v>
      </c>
      <c r="CG225" s="436">
        <f>CG141/CG5/4</f>
        <v>9.3732354601919823E-2</v>
      </c>
      <c r="CH225" s="436">
        <f>CH141/CH5/4</f>
        <v>0.10882666666666667</v>
      </c>
      <c r="CI225" s="424">
        <f>AVERAGE(CD141:CH141)/CI5</f>
        <v>9.6282314713050127E-2</v>
      </c>
      <c r="CJ225" s="436">
        <f>CJ141/CJ5/4</f>
        <v>0.11079732397455583</v>
      </c>
      <c r="CK225" s="436">
        <f>CK141/CK5/4</f>
        <v>0.10544217687074831</v>
      </c>
      <c r="CL225" s="436">
        <f>CL141/CL5/4</f>
        <v>0.10866931042079753</v>
      </c>
      <c r="CM225" s="436">
        <f>CM141/CM5/4</f>
        <v>0.26844042838018739</v>
      </c>
      <c r="CN225" s="424">
        <f>AVERAGE(CI141:CM141)/CN5</f>
        <v>0.13673942546935083</v>
      </c>
      <c r="CO225" s="436">
        <f>CO141/CO5/4</f>
        <v>0.26491998950682055</v>
      </c>
      <c r="CP225" s="570">
        <f t="shared" si="370"/>
        <v>0.10544217687074831</v>
      </c>
      <c r="CQ225" s="570">
        <f t="shared" si="370"/>
        <v>0.10866931042079753</v>
      </c>
      <c r="CR225" s="570">
        <f t="shared" si="370"/>
        <v>0.26844042838018739</v>
      </c>
      <c r="CS225" s="424">
        <f>AVERAGE(CN141:CR141)/CS5</f>
        <v>0.19545381207354956</v>
      </c>
      <c r="CT225" s="570">
        <f t="shared" si="371"/>
        <v>0.26491998950682055</v>
      </c>
      <c r="CU225" s="570">
        <f t="shared" si="371"/>
        <v>0.10544217687074831</v>
      </c>
      <c r="CV225" s="570">
        <f t="shared" si="371"/>
        <v>0.10866931042079753</v>
      </c>
      <c r="CW225" s="570">
        <f t="shared" si="371"/>
        <v>0.26844042838018739</v>
      </c>
      <c r="CX225" s="424">
        <f>AVERAGE(CS141:CW141)/CX5</f>
        <v>0.19253792285465526</v>
      </c>
      <c r="CY225" s="570">
        <f t="shared" si="367"/>
        <v>0.26491998950682055</v>
      </c>
      <c r="CZ225" s="570">
        <f t="shared" si="367"/>
        <v>0.10544217687074831</v>
      </c>
      <c r="DA225" s="570">
        <f t="shared" si="367"/>
        <v>0.10866931042079753</v>
      </c>
      <c r="DB225" s="570">
        <f t="shared" si="367"/>
        <v>0.26844042838018739</v>
      </c>
      <c r="DC225" s="424">
        <f>AVERAGE(CX141:DB141)/DC5</f>
        <v>0.19268337961497323</v>
      </c>
      <c r="DD225" s="570">
        <f t="shared" si="368"/>
        <v>0.26491998950682055</v>
      </c>
      <c r="DE225" s="570">
        <f t="shared" si="368"/>
        <v>0.10544217687074831</v>
      </c>
      <c r="DF225" s="570">
        <f t="shared" si="368"/>
        <v>0.10866931042079753</v>
      </c>
      <c r="DG225" s="570">
        <f t="shared" si="368"/>
        <v>0.26844042838018739</v>
      </c>
      <c r="DH225" s="424">
        <f>AVERAGE(DC141:DG141)/DH5</f>
        <v>0.1930143869557662</v>
      </c>
      <c r="DI225" s="570">
        <f t="shared" si="369"/>
        <v>0.26491998950682055</v>
      </c>
      <c r="DJ225" s="570">
        <f t="shared" si="369"/>
        <v>0.10544217687074831</v>
      </c>
      <c r="DK225" s="570">
        <f t="shared" si="369"/>
        <v>0.10866931042079753</v>
      </c>
      <c r="DL225" s="570">
        <f t="shared" si="369"/>
        <v>0.26844042838018739</v>
      </c>
      <c r="DM225" s="424">
        <f>AVERAGE(DH141:DL141)/DM5</f>
        <v>0.193232313587718</v>
      </c>
      <c r="DN225" s="207"/>
    </row>
    <row r="226" spans="1:118" ht="15" x14ac:dyDescent="0.2">
      <c r="A226" s="18" t="s">
        <v>214</v>
      </c>
      <c r="C226" s="302"/>
      <c r="D226" s="302"/>
      <c r="E226" s="302"/>
      <c r="F226" s="302"/>
      <c r="G226" s="303"/>
      <c r="H226" s="302">
        <v>0.09</v>
      </c>
      <c r="I226" s="302">
        <v>0.09</v>
      </c>
      <c r="J226" s="302">
        <v>0.09</v>
      </c>
      <c r="K226" s="302">
        <v>0.09</v>
      </c>
      <c r="L226" s="303">
        <v>0.36</v>
      </c>
      <c r="M226" s="302">
        <v>0.1</v>
      </c>
      <c r="N226" s="302">
        <v>0.1</v>
      </c>
      <c r="O226" s="302">
        <v>0.1</v>
      </c>
      <c r="P226" s="302">
        <v>0.1</v>
      </c>
      <c r="Q226" s="303">
        <v>0.4</v>
      </c>
      <c r="R226" s="302">
        <v>0.11</v>
      </c>
      <c r="S226" s="302">
        <v>0.11</v>
      </c>
      <c r="T226" s="302">
        <v>0.11</v>
      </c>
      <c r="U226" s="302">
        <v>0.11</v>
      </c>
      <c r="V226" s="303">
        <v>0.44</v>
      </c>
      <c r="W226" s="302">
        <v>0.125</v>
      </c>
      <c r="X226" s="302">
        <v>0.125</v>
      </c>
      <c r="Y226" s="302">
        <v>0.125</v>
      </c>
      <c r="Z226" s="302">
        <v>0.125</v>
      </c>
      <c r="AA226" s="303">
        <v>0.5</v>
      </c>
      <c r="AB226" s="302">
        <v>0.14000000000000001</v>
      </c>
      <c r="AC226" s="302">
        <v>0.14000000000000001</v>
      </c>
      <c r="AD226" s="302">
        <v>0.14000000000000001</v>
      </c>
      <c r="AE226" s="302">
        <v>0.14000000000000001</v>
      </c>
      <c r="AF226" s="303">
        <v>0.56000000000000005</v>
      </c>
      <c r="AG226" s="302">
        <v>0.155</v>
      </c>
      <c r="AH226" s="302">
        <v>0.155</v>
      </c>
      <c r="AI226" s="302">
        <v>0.155</v>
      </c>
      <c r="AJ226" s="302">
        <v>0.155</v>
      </c>
      <c r="AK226" s="303">
        <v>0.62</v>
      </c>
      <c r="AL226" s="302">
        <v>0.17</v>
      </c>
      <c r="AM226" s="302">
        <v>0.17</v>
      </c>
      <c r="AN226" s="302">
        <v>0.17</v>
      </c>
      <c r="AO226" s="302">
        <v>0.17</v>
      </c>
      <c r="AP226" s="303">
        <v>0.68</v>
      </c>
      <c r="AQ226" s="302">
        <v>0.19</v>
      </c>
      <c r="AR226" s="302">
        <v>0.19</v>
      </c>
      <c r="AS226" s="302">
        <v>0.19</v>
      </c>
      <c r="AT226" s="302">
        <v>0.19</v>
      </c>
      <c r="AU226" s="303">
        <v>0.76</v>
      </c>
      <c r="AV226" s="302">
        <v>0.20499999999999999</v>
      </c>
      <c r="AW226" s="302">
        <v>0.20499999999999999</v>
      </c>
      <c r="AX226" s="302">
        <v>0.20499999999999999</v>
      </c>
      <c r="AY226" s="302">
        <v>0.20499999999999999</v>
      </c>
      <c r="AZ226" s="303">
        <v>0.82</v>
      </c>
      <c r="BA226" s="302">
        <v>0.22</v>
      </c>
      <c r="BB226" s="302">
        <v>0.22</v>
      </c>
      <c r="BC226" s="302">
        <v>0.22</v>
      </c>
      <c r="BD226" s="302">
        <v>0.22</v>
      </c>
      <c r="BE226" s="303">
        <v>0.88</v>
      </c>
      <c r="BF226" s="302">
        <v>0.23499999999999999</v>
      </c>
      <c r="BG226" s="302">
        <v>0.23499999999999999</v>
      </c>
      <c r="BH226" s="302">
        <v>0.23499999999999999</v>
      </c>
      <c r="BI226" s="302">
        <v>0.23499999999999999</v>
      </c>
      <c r="BJ226" s="560">
        <v>0.94</v>
      </c>
      <c r="BK226" s="572">
        <v>0.255</v>
      </c>
      <c r="BL226" s="572">
        <v>0.255</v>
      </c>
      <c r="BM226" s="572">
        <v>0.255</v>
      </c>
      <c r="BN226" s="572">
        <v>0.255</v>
      </c>
      <c r="BO226" s="560">
        <f>SUM(BK226:BN226)</f>
        <v>1.02</v>
      </c>
      <c r="BP226" s="572">
        <v>0.28000000000000003</v>
      </c>
      <c r="BQ226" s="572">
        <v>0.28000000000000003</v>
      </c>
      <c r="BR226" s="572">
        <v>0.28000000000000003</v>
      </c>
      <c r="BS226" s="572">
        <v>0.28000000000000003</v>
      </c>
      <c r="BT226" s="560">
        <f>SUM(BP226:BS226)</f>
        <v>1.1200000000000001</v>
      </c>
      <c r="BU226" s="572">
        <v>0.30499999999999999</v>
      </c>
      <c r="BV226" s="572">
        <v>0.30499999999999999</v>
      </c>
      <c r="BW226" s="572">
        <v>0.30499999999999999</v>
      </c>
      <c r="BX226" s="572">
        <v>0.30499999999999999</v>
      </c>
      <c r="BY226" s="560">
        <f>SUM(BU226:BX226)</f>
        <v>1.22</v>
      </c>
      <c r="BZ226" s="572">
        <v>0.30499999999999999</v>
      </c>
      <c r="CA226" s="572">
        <v>0.30499999999999999</v>
      </c>
      <c r="CB226" s="572">
        <v>0.33</v>
      </c>
      <c r="CC226" s="572">
        <v>0.33</v>
      </c>
      <c r="CD226" s="560">
        <f>SUM(BZ226:CC226)</f>
        <v>1.27</v>
      </c>
      <c r="CE226" s="572">
        <v>0.35</v>
      </c>
      <c r="CF226" s="572">
        <v>0.35</v>
      </c>
      <c r="CG226" s="572">
        <v>0.35</v>
      </c>
      <c r="CH226" s="572">
        <v>0.35</v>
      </c>
      <c r="CI226" s="560">
        <f>SUM(CE226:CH226)</f>
        <v>1.4</v>
      </c>
      <c r="CJ226" s="572">
        <v>0.37</v>
      </c>
      <c r="CK226" s="572">
        <v>0.37</v>
      </c>
      <c r="CL226" s="572">
        <v>0.37</v>
      </c>
      <c r="CM226" s="572">
        <v>0.37</v>
      </c>
      <c r="CN226" s="560">
        <f>SUM(CJ226:CM226)</f>
        <v>1.48</v>
      </c>
      <c r="CO226" s="572">
        <v>0.39</v>
      </c>
      <c r="CP226" s="559">
        <f>CO226</f>
        <v>0.39</v>
      </c>
      <c r="CQ226" s="559">
        <f>CP226</f>
        <v>0.39</v>
      </c>
      <c r="CR226" s="559">
        <f>CQ226</f>
        <v>0.39</v>
      </c>
      <c r="CS226" s="560">
        <f>SUM(CO226:CR226)</f>
        <v>1.56</v>
      </c>
      <c r="CT226" s="559">
        <f>CR226+0.03</f>
        <v>0.42000000000000004</v>
      </c>
      <c r="CU226" s="559">
        <f>CT226</f>
        <v>0.42000000000000004</v>
      </c>
      <c r="CV226" s="559">
        <f>CU226</f>
        <v>0.42000000000000004</v>
      </c>
      <c r="CW226" s="559">
        <f>CV226</f>
        <v>0.42000000000000004</v>
      </c>
      <c r="CX226" s="560">
        <f>SUM(CT226:CW226)</f>
        <v>1.6800000000000002</v>
      </c>
      <c r="CY226" s="559">
        <f>CW226+0.035</f>
        <v>0.45500000000000007</v>
      </c>
      <c r="CZ226" s="559">
        <f>CY226</f>
        <v>0.45500000000000007</v>
      </c>
      <c r="DA226" s="559">
        <f>CZ226</f>
        <v>0.45500000000000007</v>
      </c>
      <c r="DB226" s="559">
        <f>DA226</f>
        <v>0.45500000000000007</v>
      </c>
      <c r="DC226" s="560">
        <f>SUM(CY226:DB226)</f>
        <v>1.8200000000000003</v>
      </c>
      <c r="DD226" s="559">
        <f>DB226+0.035</f>
        <v>0.4900000000000001</v>
      </c>
      <c r="DE226" s="559">
        <f>DD226</f>
        <v>0.4900000000000001</v>
      </c>
      <c r="DF226" s="559">
        <f>DE226</f>
        <v>0.4900000000000001</v>
      </c>
      <c r="DG226" s="559">
        <f>DF226</f>
        <v>0.4900000000000001</v>
      </c>
      <c r="DH226" s="560">
        <f>SUM(DD226:DG226)</f>
        <v>1.9600000000000004</v>
      </c>
      <c r="DI226" s="559">
        <f>DG226+0.035</f>
        <v>0.52500000000000013</v>
      </c>
      <c r="DJ226" s="559">
        <f>DI226</f>
        <v>0.52500000000000013</v>
      </c>
      <c r="DK226" s="559">
        <f>DJ226</f>
        <v>0.52500000000000013</v>
      </c>
      <c r="DL226" s="559">
        <f>DK226</f>
        <v>0.52500000000000013</v>
      </c>
      <c r="DM226" s="560">
        <f>SUM(DI226:DL226)</f>
        <v>2.1000000000000005</v>
      </c>
      <c r="DN226" s="207"/>
    </row>
    <row r="227" spans="1:118" ht="15" x14ac:dyDescent="0.2">
      <c r="A227" s="18" t="s">
        <v>162</v>
      </c>
      <c r="C227" s="218"/>
      <c r="D227" s="218"/>
      <c r="E227" s="218"/>
      <c r="F227" s="218"/>
      <c r="G227" s="209"/>
      <c r="H227" s="218" t="str">
        <f t="shared" ref="H227:AM227" si="372">IF(H187=0,"NA",-H187/H77)</f>
        <v>NA</v>
      </c>
      <c r="I227" s="218">
        <f t="shared" si="372"/>
        <v>0.40075140889167188</v>
      </c>
      <c r="J227" s="218">
        <f t="shared" si="372"/>
        <v>0.44420261179263953</v>
      </c>
      <c r="K227" s="218">
        <f t="shared" si="372"/>
        <v>0.97811816192560175</v>
      </c>
      <c r="L227" s="209">
        <f t="shared" si="372"/>
        <v>0.45740116457247931</v>
      </c>
      <c r="M227" s="218" t="str">
        <f t="shared" si="372"/>
        <v>NA</v>
      </c>
      <c r="N227" s="218">
        <f t="shared" si="372"/>
        <v>0.40646084645266817</v>
      </c>
      <c r="O227" s="218">
        <f t="shared" si="372"/>
        <v>0.45547544258787032</v>
      </c>
      <c r="P227" s="218">
        <f t="shared" si="372"/>
        <v>1.0680360760644967</v>
      </c>
      <c r="Q227" s="209">
        <f t="shared" si="372"/>
        <v>0.48429497744125594</v>
      </c>
      <c r="R227" s="218" t="str">
        <f t="shared" si="372"/>
        <v>NA</v>
      </c>
      <c r="S227" s="218">
        <f t="shared" si="372"/>
        <v>0.40931280510702217</v>
      </c>
      <c r="T227" s="218">
        <f t="shared" si="372"/>
        <v>0.4099028280264429</v>
      </c>
      <c r="U227" s="218">
        <f t="shared" si="372"/>
        <v>1.0445965342608319</v>
      </c>
      <c r="V227" s="209">
        <f t="shared" si="372"/>
        <v>0.47351848941043451</v>
      </c>
      <c r="W227" s="218">
        <f t="shared" si="372"/>
        <v>0.53416149068322982</v>
      </c>
      <c r="X227" s="218">
        <f t="shared" si="372"/>
        <v>0.40294601209164577</v>
      </c>
      <c r="Y227" s="218">
        <f t="shared" si="372"/>
        <v>0.48281505728314239</v>
      </c>
      <c r="Z227" s="218">
        <f t="shared" si="372"/>
        <v>0.55929874762185272</v>
      </c>
      <c r="AA227" s="209">
        <f t="shared" si="372"/>
        <v>0.48689517331333371</v>
      </c>
      <c r="AB227" s="218">
        <f t="shared" si="372"/>
        <v>0.58876003568242641</v>
      </c>
      <c r="AC227" s="218">
        <f t="shared" si="372"/>
        <v>0.41007651502187892</v>
      </c>
      <c r="AD227" s="218">
        <f t="shared" si="372"/>
        <v>1.124800347938241E-2</v>
      </c>
      <c r="AE227" s="218">
        <f t="shared" si="372"/>
        <v>1.2287766200340402</v>
      </c>
      <c r="AF227" s="209">
        <f t="shared" si="372"/>
        <v>0.51750242277319847</v>
      </c>
      <c r="AG227" s="218" t="str">
        <f t="shared" si="372"/>
        <v>NA</v>
      </c>
      <c r="AH227" s="218">
        <f t="shared" si="372"/>
        <v>0.4353348729792148</v>
      </c>
      <c r="AI227" s="218">
        <f t="shared" si="372"/>
        <v>0.48756906077348067</v>
      </c>
      <c r="AJ227" s="218">
        <f t="shared" si="372"/>
        <v>1.1835236541598695</v>
      </c>
      <c r="AK227" s="209">
        <f t="shared" si="372"/>
        <v>0.52260242002082513</v>
      </c>
      <c r="AL227" s="218" t="str">
        <f t="shared" si="372"/>
        <v>NA</v>
      </c>
      <c r="AM227" s="218">
        <f t="shared" si="372"/>
        <v>0.39727410398788493</v>
      </c>
      <c r="AN227" s="218">
        <f t="shared" ref="AN227:BG227" si="373">IF(AN187=0,"NA",-AN187/AN77)</f>
        <v>0.47412755716004812</v>
      </c>
      <c r="AO227" s="218">
        <f t="shared" si="373"/>
        <v>1.1607669616519174</v>
      </c>
      <c r="AP227" s="209">
        <f t="shared" si="373"/>
        <v>0.50071553506121802</v>
      </c>
      <c r="AQ227" s="218" t="str">
        <f t="shared" si="373"/>
        <v>NA</v>
      </c>
      <c r="AR227" s="218">
        <f t="shared" si="373"/>
        <v>0.37283846478279209</v>
      </c>
      <c r="AS227" s="218">
        <f t="shared" si="373"/>
        <v>0.45501551189245087</v>
      </c>
      <c r="AT227" s="218">
        <f t="shared" si="373"/>
        <v>1.1879648411088573</v>
      </c>
      <c r="AU227" s="209">
        <f t="shared" si="373"/>
        <v>0.47839673913043479</v>
      </c>
      <c r="AV227" s="218">
        <f t="shared" si="373"/>
        <v>0.62872270019854404</v>
      </c>
      <c r="AW227" s="218">
        <f t="shared" si="373"/>
        <v>0.44345794392523363</v>
      </c>
      <c r="AX227" s="218">
        <f t="shared" si="373"/>
        <v>0.50612027674294835</v>
      </c>
      <c r="AY227" s="218">
        <f t="shared" si="373"/>
        <v>0.61409179056237884</v>
      </c>
      <c r="AZ227" s="209">
        <f t="shared" si="373"/>
        <v>0.53695068531863788</v>
      </c>
      <c r="BA227" s="218">
        <f t="shared" si="373"/>
        <v>0.54658050619278409</v>
      </c>
      <c r="BB227" s="218">
        <f t="shared" si="373"/>
        <v>0.4131054131054131</v>
      </c>
      <c r="BC227" s="218">
        <f t="shared" si="373"/>
        <v>0.46806526806526805</v>
      </c>
      <c r="BD227" s="218">
        <f t="shared" si="373"/>
        <v>0.61401425178147273</v>
      </c>
      <c r="BE227" s="209">
        <f t="shared" si="373"/>
        <v>0.49957018297924599</v>
      </c>
      <c r="BF227" s="218">
        <f t="shared" si="373"/>
        <v>0.53410230692076233</v>
      </c>
      <c r="BG227" s="218">
        <f t="shared" si="373"/>
        <v>0.39603232916972814</v>
      </c>
      <c r="BH227" s="218" t="s">
        <v>199</v>
      </c>
      <c r="BI227" s="218" t="s">
        <v>199</v>
      </c>
      <c r="BJ227" s="424">
        <f>IF(BJ187=0,"NA",-BJ187/BJ77)</f>
        <v>0.48141513658755036</v>
      </c>
      <c r="BK227" s="436" t="str">
        <f>IF(BK187=0,"NA",-BK187/BK77)</f>
        <v>NA</v>
      </c>
      <c r="BL227" s="436">
        <f>IF(BL187=0,"NA",-BL187/BL77)</f>
        <v>0.41383016839842351</v>
      </c>
      <c r="BM227" s="436">
        <f>IF(BM187=0,"NA",-BM187/BM77)</f>
        <v>0.4929214929214929</v>
      </c>
      <c r="BN227" s="436" t="s">
        <v>199</v>
      </c>
      <c r="BO227" s="424">
        <f t="shared" ref="BO227:CT227" si="374">IF(BO187=0,"NA",-BO187/BO77)</f>
        <v>0.49853531517847455</v>
      </c>
      <c r="BP227" s="436" t="str">
        <f t="shared" si="374"/>
        <v>NA</v>
      </c>
      <c r="BQ227" s="436">
        <f t="shared" si="374"/>
        <v>0.43534332520041824</v>
      </c>
      <c r="BR227" s="436">
        <f t="shared" si="374"/>
        <v>0.52267002518891692</v>
      </c>
      <c r="BS227" s="436">
        <f t="shared" si="374"/>
        <v>1.2032085561497325</v>
      </c>
      <c r="BT227" s="424">
        <f t="shared" si="374"/>
        <v>0.53008320887561344</v>
      </c>
      <c r="BU227" s="436" t="str">
        <f t="shared" si="374"/>
        <v>NA</v>
      </c>
      <c r="BV227" s="436">
        <f t="shared" si="374"/>
        <v>0.47038205397826849</v>
      </c>
      <c r="BW227" s="436">
        <f t="shared" si="374"/>
        <v>0.56839422259983008</v>
      </c>
      <c r="BX227" s="436">
        <f t="shared" si="374"/>
        <v>1.3798449612403101</v>
      </c>
      <c r="BY227" s="424">
        <f t="shared" si="374"/>
        <v>0.58849411505884941</v>
      </c>
      <c r="BZ227" s="436">
        <f t="shared" si="374"/>
        <v>0.6848859315589354</v>
      </c>
      <c r="CA227" s="436">
        <f t="shared" si="374"/>
        <v>0.51636102121539018</v>
      </c>
      <c r="CB227" s="436">
        <f t="shared" si="374"/>
        <v>0.64279319606087737</v>
      </c>
      <c r="CC227" s="436">
        <f t="shared" si="374"/>
        <v>0.85101311084624554</v>
      </c>
      <c r="CD227" s="424">
        <f t="shared" si="374"/>
        <v>0.65260884392406504</v>
      </c>
      <c r="CE227" s="436">
        <f t="shared" si="374"/>
        <v>0.75552208835341361</v>
      </c>
      <c r="CF227" s="436">
        <f t="shared" si="374"/>
        <v>0.57731958762886593</v>
      </c>
      <c r="CG227" s="436">
        <f t="shared" si="374"/>
        <v>5.1162790697674414E-3</v>
      </c>
      <c r="CH227" s="436">
        <f t="shared" si="374"/>
        <v>1.8998109640831757</v>
      </c>
      <c r="CI227" s="424">
        <f t="shared" si="374"/>
        <v>0.7238859607091519</v>
      </c>
      <c r="CJ227" s="436" t="str">
        <f t="shared" si="374"/>
        <v>NA</v>
      </c>
      <c r="CK227" s="436">
        <f t="shared" si="374"/>
        <v>0.62804399057344851</v>
      </c>
      <c r="CL227" s="436">
        <f t="shared" si="374"/>
        <v>0.73897058823529416</v>
      </c>
      <c r="CM227" s="436">
        <f t="shared" si="374"/>
        <v>1.8585074626865672</v>
      </c>
      <c r="CN227" s="424">
        <f t="shared" si="374"/>
        <v>0.76365393910101498</v>
      </c>
      <c r="CO227" s="436">
        <f t="shared" si="374"/>
        <v>3.5590706870983688E-2</v>
      </c>
      <c r="CP227" s="436">
        <f t="shared" ca="1" si="374"/>
        <v>0.63573787576728136</v>
      </c>
      <c r="CQ227" s="436">
        <f t="shared" ca="1" si="374"/>
        <v>0.68244729613830502</v>
      </c>
      <c r="CR227" s="436">
        <f t="shared" ca="1" si="374"/>
        <v>0.85936893112400869</v>
      </c>
      <c r="CS227" s="424">
        <f t="shared" ca="1" si="374"/>
        <v>0.56148774873758911</v>
      </c>
      <c r="CT227" s="436">
        <f t="shared" ca="1" si="374"/>
        <v>0.83155108111845621</v>
      </c>
      <c r="CU227" s="436">
        <f t="shared" ref="CU227:DM227" ca="1" si="375">IF(CU187=0,"NA",-CU187/CU77)</f>
        <v>0.64438421445296024</v>
      </c>
      <c r="CV227" s="436">
        <f t="shared" ca="1" si="375"/>
        <v>0.68997717582057172</v>
      </c>
      <c r="CW227" s="436">
        <f t="shared" ca="1" si="375"/>
        <v>0.86239594337689252</v>
      </c>
      <c r="CX227" s="424">
        <f t="shared" ca="1" si="375"/>
        <v>0.74580133242577695</v>
      </c>
      <c r="CY227" s="436">
        <f t="shared" ca="1" si="375"/>
        <v>0.83895800487115746</v>
      </c>
      <c r="CZ227" s="436">
        <f t="shared" ca="1" si="375"/>
        <v>0.65248464746698487</v>
      </c>
      <c r="DA227" s="436">
        <f t="shared" ca="1" si="375"/>
        <v>0.69753092909115288</v>
      </c>
      <c r="DB227" s="436">
        <f t="shared" ca="1" si="375"/>
        <v>0.86833590432760688</v>
      </c>
      <c r="DC227" s="424">
        <f t="shared" ca="1" si="375"/>
        <v>0.75331744900708597</v>
      </c>
      <c r="DD227" s="436">
        <f t="shared" ca="1" si="375"/>
        <v>0.84516680568268998</v>
      </c>
      <c r="DE227" s="436">
        <f t="shared" ca="1" si="375"/>
        <v>0.65974096126465165</v>
      </c>
      <c r="DF227" s="436">
        <f t="shared" ca="1" si="375"/>
        <v>0.70432100303933809</v>
      </c>
      <c r="DG227" s="436">
        <f t="shared" ca="1" si="375"/>
        <v>0.87358785061654731</v>
      </c>
      <c r="DH227" s="424">
        <f t="shared" ca="1" si="375"/>
        <v>0.75995418516651503</v>
      </c>
      <c r="DI227" s="436">
        <f t="shared" ca="1" si="375"/>
        <v>0.85170033671802825</v>
      </c>
      <c r="DJ227" s="436">
        <f t="shared" ca="1" si="375"/>
        <v>0.66668197425005438</v>
      </c>
      <c r="DK227" s="436">
        <f t="shared" ca="1" si="375"/>
        <v>0.71095813102253547</v>
      </c>
      <c r="DL227" s="436">
        <f t="shared" ca="1" si="375"/>
        <v>0.87932980237339775</v>
      </c>
      <c r="DM227" s="424">
        <f t="shared" ca="1" si="375"/>
        <v>0.76659548324028159</v>
      </c>
      <c r="DN227" s="207"/>
    </row>
    <row r="228" spans="1:118" ht="15.75" x14ac:dyDescent="0.25">
      <c r="C228" s="363"/>
      <c r="D228" s="363"/>
      <c r="E228" s="363"/>
      <c r="F228" s="363"/>
      <c r="G228" s="364"/>
      <c r="H228" s="363"/>
      <c r="I228" s="363"/>
      <c r="J228" s="363"/>
      <c r="K228" s="363"/>
      <c r="L228" s="364"/>
      <c r="M228" s="363"/>
      <c r="N228" s="363"/>
      <c r="O228" s="363"/>
      <c r="P228" s="363"/>
      <c r="Q228" s="364"/>
      <c r="R228" s="363"/>
      <c r="S228" s="363"/>
      <c r="T228" s="363"/>
      <c r="U228" s="363"/>
      <c r="V228" s="364"/>
      <c r="W228" s="363"/>
      <c r="X228" s="363"/>
      <c r="Y228" s="363"/>
      <c r="Z228" s="363"/>
      <c r="AA228" s="364"/>
      <c r="AB228" s="363"/>
      <c r="AC228" s="363"/>
      <c r="AD228" s="363"/>
      <c r="AE228" s="363"/>
      <c r="AF228" s="364"/>
      <c r="AG228" s="363"/>
      <c r="AH228" s="363"/>
      <c r="AI228" s="363"/>
      <c r="AJ228" s="363"/>
      <c r="AK228" s="364"/>
      <c r="AL228" s="363"/>
      <c r="AM228" s="363"/>
      <c r="AN228" s="363"/>
      <c r="AO228" s="363"/>
      <c r="AP228" s="364"/>
      <c r="AQ228" s="363"/>
      <c r="AR228" s="363"/>
      <c r="AS228" s="363"/>
      <c r="AT228" s="363"/>
      <c r="AU228" s="364"/>
      <c r="AV228" s="363"/>
      <c r="AW228" s="363"/>
      <c r="AX228" s="363"/>
      <c r="AY228" s="363"/>
      <c r="AZ228" s="364"/>
      <c r="BA228" s="363"/>
      <c r="BB228" s="363"/>
      <c r="BC228" s="365"/>
      <c r="BD228" s="366"/>
      <c r="BE228" s="367"/>
      <c r="BF228" s="366"/>
      <c r="BG228" s="366"/>
      <c r="BH228" s="366"/>
      <c r="BI228" s="366"/>
      <c r="BJ228" s="573"/>
      <c r="BK228" s="418"/>
      <c r="BL228" s="418"/>
      <c r="BM228" s="418"/>
      <c r="BN228" s="418"/>
      <c r="BO228" s="443"/>
      <c r="BP228" s="418"/>
      <c r="BQ228" s="418"/>
      <c r="BR228" s="418"/>
      <c r="BS228" s="418"/>
      <c r="BT228" s="574"/>
      <c r="BU228" s="482"/>
      <c r="BV228" s="418"/>
      <c r="BW228" s="418"/>
      <c r="BX228" s="418"/>
      <c r="BY228" s="443"/>
      <c r="BZ228" s="418"/>
      <c r="CA228" s="418"/>
      <c r="CB228" s="418"/>
      <c r="CC228" s="418"/>
      <c r="CD228" s="443"/>
      <c r="CE228" s="418"/>
      <c r="CF228" s="418"/>
      <c r="CG228" s="418"/>
      <c r="CH228" s="418"/>
      <c r="CI228" s="443"/>
      <c r="CJ228" s="418"/>
      <c r="CK228" s="418"/>
      <c r="CL228" s="418"/>
      <c r="CM228" s="418"/>
      <c r="CN228" s="443"/>
      <c r="CO228" s="418"/>
      <c r="CP228" s="418"/>
      <c r="CQ228" s="418"/>
      <c r="CR228" s="418"/>
      <c r="CS228" s="443"/>
      <c r="CT228" s="418"/>
      <c r="CU228" s="418"/>
      <c r="CV228" s="418"/>
      <c r="CW228" s="418"/>
      <c r="CX228" s="443"/>
      <c r="CY228" s="418"/>
      <c r="CZ228" s="418"/>
      <c r="DA228" s="418"/>
      <c r="DB228" s="418"/>
      <c r="DC228" s="443"/>
      <c r="DD228" s="418"/>
      <c r="DE228" s="418"/>
      <c r="DF228" s="418"/>
      <c r="DG228" s="418"/>
      <c r="DH228" s="443"/>
      <c r="DI228" s="418"/>
      <c r="DJ228" s="418"/>
      <c r="DK228" s="418"/>
      <c r="DL228" s="418"/>
      <c r="DM228" s="443"/>
      <c r="DN228" s="207"/>
    </row>
    <row r="229" spans="1:118" ht="15" x14ac:dyDescent="0.2">
      <c r="A229" s="18" t="s">
        <v>115</v>
      </c>
      <c r="C229" s="215"/>
      <c r="D229" s="215"/>
      <c r="E229" s="215"/>
      <c r="F229" s="215"/>
      <c r="G229" s="238"/>
      <c r="H229" s="215">
        <f t="shared" ref="H229:AM229" si="376">H133+H135+H136+H140</f>
        <v>6104</v>
      </c>
      <c r="I229" s="215">
        <f t="shared" si="376"/>
        <v>5448</v>
      </c>
      <c r="J229" s="215">
        <f t="shared" si="376"/>
        <v>5280</v>
      </c>
      <c r="K229" s="215">
        <f t="shared" si="376"/>
        <v>5118</v>
      </c>
      <c r="L229" s="238">
        <f t="shared" si="376"/>
        <v>5118</v>
      </c>
      <c r="M229" s="215">
        <f t="shared" si="376"/>
        <v>5878</v>
      </c>
      <c r="N229" s="215">
        <f t="shared" si="376"/>
        <v>5944</v>
      </c>
      <c r="O229" s="215">
        <f t="shared" si="376"/>
        <v>5558</v>
      </c>
      <c r="P229" s="215">
        <f t="shared" si="376"/>
        <v>5356</v>
      </c>
      <c r="Q229" s="238">
        <f t="shared" si="376"/>
        <v>5356</v>
      </c>
      <c r="R229" s="215">
        <f t="shared" si="376"/>
        <v>6146</v>
      </c>
      <c r="S229" s="215">
        <f t="shared" si="376"/>
        <v>5836</v>
      </c>
      <c r="T229" s="215">
        <f t="shared" si="376"/>
        <v>5548</v>
      </c>
      <c r="U229" s="215">
        <f t="shared" si="376"/>
        <v>5423</v>
      </c>
      <c r="V229" s="238">
        <f t="shared" si="376"/>
        <v>5423</v>
      </c>
      <c r="W229" s="215">
        <f t="shared" si="376"/>
        <v>6467</v>
      </c>
      <c r="X229" s="215">
        <f t="shared" si="376"/>
        <v>6552</v>
      </c>
      <c r="Y229" s="215">
        <f t="shared" si="376"/>
        <v>6518</v>
      </c>
      <c r="Z229" s="215">
        <f t="shared" si="376"/>
        <v>7178</v>
      </c>
      <c r="AA229" s="238">
        <f t="shared" si="376"/>
        <v>7178</v>
      </c>
      <c r="AB229" s="215">
        <f t="shared" si="376"/>
        <v>7003</v>
      </c>
      <c r="AC229" s="215">
        <f t="shared" si="376"/>
        <v>4833</v>
      </c>
      <c r="AD229" s="215">
        <f t="shared" si="376"/>
        <v>4200</v>
      </c>
      <c r="AE229" s="215">
        <f t="shared" si="376"/>
        <v>5700</v>
      </c>
      <c r="AF229" s="238">
        <f t="shared" si="376"/>
        <v>5700</v>
      </c>
      <c r="AG229" s="215">
        <f t="shared" si="376"/>
        <v>5657</v>
      </c>
      <c r="AH229" s="215">
        <f t="shared" si="376"/>
        <v>4928</v>
      </c>
      <c r="AI229" s="215">
        <f t="shared" si="376"/>
        <v>4340</v>
      </c>
      <c r="AJ229" s="215">
        <f t="shared" si="376"/>
        <v>4582</v>
      </c>
      <c r="AK229" s="238">
        <f t="shared" si="376"/>
        <v>4582</v>
      </c>
      <c r="AL229" s="215">
        <f t="shared" si="376"/>
        <v>6440</v>
      </c>
      <c r="AM229" s="215">
        <f t="shared" si="376"/>
        <v>9687</v>
      </c>
      <c r="AN229" s="215">
        <f t="shared" ref="AN229:BS229" si="377">AN133+AN135+AN136+AN140</f>
        <v>9646</v>
      </c>
      <c r="AO229" s="215">
        <f t="shared" si="377"/>
        <v>9329</v>
      </c>
      <c r="AP229" s="238">
        <f t="shared" si="377"/>
        <v>9329</v>
      </c>
      <c r="AQ229" s="215">
        <f t="shared" si="377"/>
        <v>10674</v>
      </c>
      <c r="AR229" s="215">
        <f t="shared" si="377"/>
        <v>11157</v>
      </c>
      <c r="AS229" s="215">
        <f t="shared" si="377"/>
        <v>11524</v>
      </c>
      <c r="AT229" s="215">
        <f t="shared" si="377"/>
        <v>9312</v>
      </c>
      <c r="AU229" s="238">
        <f t="shared" si="377"/>
        <v>9312</v>
      </c>
      <c r="AV229" s="215">
        <f t="shared" si="377"/>
        <v>12179</v>
      </c>
      <c r="AW229" s="215">
        <f t="shared" si="377"/>
        <v>11448</v>
      </c>
      <c r="AX229" s="215">
        <f t="shared" si="377"/>
        <v>11214</v>
      </c>
      <c r="AY229" s="215">
        <f t="shared" si="377"/>
        <v>11859</v>
      </c>
      <c r="AZ229" s="238">
        <f t="shared" si="377"/>
        <v>11859</v>
      </c>
      <c r="BA229" s="215">
        <f t="shared" si="377"/>
        <v>11635</v>
      </c>
      <c r="BB229" s="215">
        <f t="shared" si="377"/>
        <v>11709</v>
      </c>
      <c r="BC229" s="215">
        <f t="shared" si="377"/>
        <v>13393</v>
      </c>
      <c r="BD229" s="215">
        <f t="shared" si="377"/>
        <v>23417</v>
      </c>
      <c r="BE229" s="238">
        <f t="shared" si="377"/>
        <v>23417</v>
      </c>
      <c r="BF229" s="215">
        <f t="shared" si="377"/>
        <v>26080</v>
      </c>
      <c r="BG229" s="215">
        <f t="shared" si="377"/>
        <v>26185</v>
      </c>
      <c r="BH229" s="215">
        <f t="shared" si="377"/>
        <v>29188</v>
      </c>
      <c r="BI229" s="215">
        <f t="shared" si="377"/>
        <v>28568</v>
      </c>
      <c r="BJ229" s="492">
        <f t="shared" si="377"/>
        <v>28568</v>
      </c>
      <c r="BK229" s="431">
        <f t="shared" si="377"/>
        <v>31115</v>
      </c>
      <c r="BL229" s="431">
        <f t="shared" si="377"/>
        <v>32482</v>
      </c>
      <c r="BM229" s="431">
        <f t="shared" si="377"/>
        <v>32730</v>
      </c>
      <c r="BN229" s="431">
        <f t="shared" si="377"/>
        <v>32610</v>
      </c>
      <c r="BO229" s="492">
        <f t="shared" si="377"/>
        <v>32610</v>
      </c>
      <c r="BP229" s="431">
        <f t="shared" si="377"/>
        <v>35118</v>
      </c>
      <c r="BQ229" s="431">
        <f t="shared" si="377"/>
        <v>35686</v>
      </c>
      <c r="BR229" s="431">
        <f t="shared" si="377"/>
        <v>36207</v>
      </c>
      <c r="BS229" s="431">
        <f t="shared" si="377"/>
        <v>37079</v>
      </c>
      <c r="BT229" s="492">
        <f t="shared" ref="BT229:CY229" si="378">BT133+BT135+BT136+BT140</f>
        <v>37079</v>
      </c>
      <c r="BU229" s="431">
        <f t="shared" si="378"/>
        <v>38441</v>
      </c>
      <c r="BV229" s="431">
        <f t="shared" si="378"/>
        <v>40243</v>
      </c>
      <c r="BW229" s="431">
        <f t="shared" si="378"/>
        <v>41810</v>
      </c>
      <c r="BX229" s="431">
        <f t="shared" si="378"/>
        <v>41745</v>
      </c>
      <c r="BY229" s="492">
        <f t="shared" si="378"/>
        <v>41745</v>
      </c>
      <c r="BZ229" s="431">
        <f t="shared" si="378"/>
        <v>42510</v>
      </c>
      <c r="CA229" s="431">
        <f t="shared" si="378"/>
        <v>44411</v>
      </c>
      <c r="CB229" s="431">
        <f t="shared" si="378"/>
        <v>46186</v>
      </c>
      <c r="CC229" s="431">
        <f t="shared" si="378"/>
        <v>44213</v>
      </c>
      <c r="CD229" s="492">
        <f t="shared" si="378"/>
        <v>44213</v>
      </c>
      <c r="CE229" s="431">
        <f t="shared" si="378"/>
        <v>46834</v>
      </c>
      <c r="CF229" s="431">
        <f t="shared" si="378"/>
        <v>48048</v>
      </c>
      <c r="CG229" s="431">
        <f t="shared" si="378"/>
        <v>47224</v>
      </c>
      <c r="CH229" s="431">
        <f t="shared" si="378"/>
        <v>45709</v>
      </c>
      <c r="CI229" s="492">
        <f t="shared" si="378"/>
        <v>45709</v>
      </c>
      <c r="CJ229" s="431">
        <f t="shared" si="378"/>
        <v>47449</v>
      </c>
      <c r="CK229" s="431">
        <f t="shared" si="378"/>
        <v>49638</v>
      </c>
      <c r="CL229" s="431">
        <f t="shared" si="378"/>
        <v>49100</v>
      </c>
      <c r="CM229" s="431">
        <f t="shared" si="378"/>
        <v>47685</v>
      </c>
      <c r="CN229" s="492">
        <f t="shared" si="378"/>
        <v>47685</v>
      </c>
      <c r="CO229" s="431">
        <f t="shared" si="378"/>
        <v>48947</v>
      </c>
      <c r="CP229" s="431">
        <f t="shared" ca="1" si="378"/>
        <v>48947</v>
      </c>
      <c r="CQ229" s="431">
        <f t="shared" ca="1" si="378"/>
        <v>45447</v>
      </c>
      <c r="CR229" s="431">
        <f t="shared" ca="1" si="378"/>
        <v>41947</v>
      </c>
      <c r="CS229" s="492">
        <f t="shared" ca="1" si="378"/>
        <v>41947</v>
      </c>
      <c r="CT229" s="431">
        <f t="shared" ca="1" si="378"/>
        <v>42120.862032626144</v>
      </c>
      <c r="CU229" s="431">
        <f t="shared" ca="1" si="378"/>
        <v>40608</v>
      </c>
      <c r="CV229" s="431">
        <f t="shared" ca="1" si="378"/>
        <v>40608</v>
      </c>
      <c r="CW229" s="431">
        <f t="shared" ca="1" si="378"/>
        <v>40608</v>
      </c>
      <c r="CX229" s="492">
        <f t="shared" ca="1" si="378"/>
        <v>40608</v>
      </c>
      <c r="CY229" s="431">
        <f t="shared" ca="1" si="378"/>
        <v>42053.381797480732</v>
      </c>
      <c r="CZ229" s="431">
        <f t="shared" ref="CZ229:DM229" ca="1" si="379">CZ133+CZ135+CZ136+CZ140</f>
        <v>40608</v>
      </c>
      <c r="DA229" s="431">
        <f t="shared" ca="1" si="379"/>
        <v>40608</v>
      </c>
      <c r="DB229" s="431">
        <f t="shared" ca="1" si="379"/>
        <v>40608</v>
      </c>
      <c r="DC229" s="492">
        <f t="shared" ca="1" si="379"/>
        <v>40608</v>
      </c>
      <c r="DD229" s="431">
        <f t="shared" ca="1" si="379"/>
        <v>42067.36853736591</v>
      </c>
      <c r="DE229" s="431">
        <f t="shared" ca="1" si="379"/>
        <v>40608</v>
      </c>
      <c r="DF229" s="431">
        <f t="shared" ca="1" si="379"/>
        <v>40608</v>
      </c>
      <c r="DG229" s="431">
        <f t="shared" ca="1" si="379"/>
        <v>40608</v>
      </c>
      <c r="DH229" s="492">
        <f t="shared" ca="1" si="379"/>
        <v>40608</v>
      </c>
      <c r="DI229" s="431">
        <f t="shared" ca="1" si="379"/>
        <v>42054.642428128805</v>
      </c>
      <c r="DJ229" s="431">
        <f t="shared" ca="1" si="379"/>
        <v>40608</v>
      </c>
      <c r="DK229" s="431">
        <f t="shared" ca="1" si="379"/>
        <v>40608</v>
      </c>
      <c r="DL229" s="431">
        <f t="shared" ca="1" si="379"/>
        <v>40608</v>
      </c>
      <c r="DM229" s="492">
        <f t="shared" ca="1" si="379"/>
        <v>40608</v>
      </c>
      <c r="DN229" s="207"/>
    </row>
    <row r="230" spans="1:118" ht="15" x14ac:dyDescent="0.2">
      <c r="A230" s="18" t="s">
        <v>210</v>
      </c>
      <c r="C230" s="215"/>
      <c r="D230" s="215"/>
      <c r="E230" s="215"/>
      <c r="F230" s="215"/>
      <c r="G230" s="238"/>
      <c r="H230" s="215">
        <f t="shared" ref="H230:AM230" si="380">H114+H115+H116+H117</f>
        <v>2678</v>
      </c>
      <c r="I230" s="215">
        <f t="shared" si="380"/>
        <v>2666</v>
      </c>
      <c r="J230" s="215">
        <f t="shared" si="380"/>
        <v>2567</v>
      </c>
      <c r="K230" s="215">
        <f t="shared" si="380"/>
        <v>1934</v>
      </c>
      <c r="L230" s="238">
        <f t="shared" si="380"/>
        <v>1934</v>
      </c>
      <c r="M230" s="215">
        <f t="shared" si="380"/>
        <v>2397</v>
      </c>
      <c r="N230" s="215">
        <f t="shared" si="380"/>
        <v>2836</v>
      </c>
      <c r="O230" s="215">
        <f t="shared" si="380"/>
        <v>2793</v>
      </c>
      <c r="P230" s="215">
        <f t="shared" si="380"/>
        <v>2345</v>
      </c>
      <c r="Q230" s="238">
        <f t="shared" si="380"/>
        <v>2345</v>
      </c>
      <c r="R230" s="215">
        <f t="shared" si="380"/>
        <v>3193</v>
      </c>
      <c r="S230" s="215">
        <f t="shared" si="380"/>
        <v>3560</v>
      </c>
      <c r="T230" s="215">
        <f t="shared" si="380"/>
        <v>3847</v>
      </c>
      <c r="U230" s="215">
        <f t="shared" si="380"/>
        <v>3482</v>
      </c>
      <c r="V230" s="238">
        <f t="shared" si="380"/>
        <v>3482</v>
      </c>
      <c r="W230" s="215">
        <f t="shared" si="380"/>
        <v>4432</v>
      </c>
      <c r="X230" s="215">
        <f t="shared" si="380"/>
        <v>5181</v>
      </c>
      <c r="Y230" s="215">
        <f t="shared" si="380"/>
        <v>5520</v>
      </c>
      <c r="Z230" s="215">
        <f t="shared" si="380"/>
        <v>6768</v>
      </c>
      <c r="AA230" s="238">
        <f t="shared" si="380"/>
        <v>6768</v>
      </c>
      <c r="AB230" s="215">
        <f t="shared" si="380"/>
        <v>7026</v>
      </c>
      <c r="AC230" s="215">
        <f t="shared" si="380"/>
        <v>5011</v>
      </c>
      <c r="AD230" s="215">
        <f t="shared" si="380"/>
        <v>5062</v>
      </c>
      <c r="AE230" s="215">
        <f t="shared" si="380"/>
        <v>4767</v>
      </c>
      <c r="AF230" s="238">
        <f t="shared" si="380"/>
        <v>4767</v>
      </c>
      <c r="AG230" s="215">
        <f t="shared" si="380"/>
        <v>4492</v>
      </c>
      <c r="AH230" s="215">
        <f t="shared" si="380"/>
        <v>4130</v>
      </c>
      <c r="AI230" s="215">
        <f t="shared" si="380"/>
        <v>3523</v>
      </c>
      <c r="AJ230" s="215">
        <f t="shared" si="380"/>
        <v>2590</v>
      </c>
      <c r="AK230" s="238">
        <f t="shared" si="380"/>
        <v>2590</v>
      </c>
      <c r="AL230" s="215">
        <f t="shared" si="380"/>
        <v>3783</v>
      </c>
      <c r="AM230" s="215">
        <f t="shared" si="380"/>
        <v>4541</v>
      </c>
      <c r="AN230" s="215">
        <f t="shared" ref="AN230:BS230" si="381">AN114+AN115+AN116+AN117</f>
        <v>4811</v>
      </c>
      <c r="AO230" s="215">
        <f t="shared" si="381"/>
        <v>4308</v>
      </c>
      <c r="AP230" s="238">
        <f t="shared" si="381"/>
        <v>4308</v>
      </c>
      <c r="AQ230" s="215">
        <f t="shared" si="381"/>
        <v>6420</v>
      </c>
      <c r="AR230" s="215">
        <f t="shared" si="381"/>
        <v>6857</v>
      </c>
      <c r="AS230" s="215">
        <f t="shared" si="381"/>
        <v>8084</v>
      </c>
      <c r="AT230" s="215">
        <f t="shared" si="381"/>
        <v>4979</v>
      </c>
      <c r="AU230" s="238">
        <f t="shared" si="381"/>
        <v>4979</v>
      </c>
      <c r="AV230" s="215">
        <f t="shared" si="381"/>
        <v>7079</v>
      </c>
      <c r="AW230" s="215">
        <f t="shared" si="381"/>
        <v>7945</v>
      </c>
      <c r="AX230" s="215">
        <f t="shared" si="381"/>
        <v>9125</v>
      </c>
      <c r="AY230" s="215">
        <f t="shared" si="381"/>
        <v>9213</v>
      </c>
      <c r="AZ230" s="238">
        <f t="shared" si="381"/>
        <v>9213</v>
      </c>
      <c r="BA230" s="215">
        <f t="shared" si="381"/>
        <v>8794</v>
      </c>
      <c r="BB230" s="215">
        <f t="shared" si="381"/>
        <v>10166</v>
      </c>
      <c r="BC230" s="215">
        <f t="shared" si="381"/>
        <v>13265</v>
      </c>
      <c r="BD230" s="215">
        <f t="shared" si="381"/>
        <v>11337</v>
      </c>
      <c r="BE230" s="238">
        <f t="shared" si="381"/>
        <v>11337</v>
      </c>
      <c r="BF230" s="215">
        <f t="shared" si="381"/>
        <v>12277</v>
      </c>
      <c r="BG230" s="215">
        <f t="shared" si="381"/>
        <v>14017</v>
      </c>
      <c r="BH230" s="215">
        <f t="shared" si="381"/>
        <v>16497</v>
      </c>
      <c r="BI230" s="215">
        <f t="shared" si="381"/>
        <v>14035</v>
      </c>
      <c r="BJ230" s="492">
        <f t="shared" si="381"/>
        <v>14035</v>
      </c>
      <c r="BK230" s="431">
        <f t="shared" si="381"/>
        <v>15779</v>
      </c>
      <c r="BL230" s="431">
        <f t="shared" si="381"/>
        <v>16966</v>
      </c>
      <c r="BM230" s="431">
        <f t="shared" si="381"/>
        <v>18083</v>
      </c>
      <c r="BN230" s="431">
        <f t="shared" si="381"/>
        <v>16551</v>
      </c>
      <c r="BO230" s="492">
        <f t="shared" si="381"/>
        <v>16551</v>
      </c>
      <c r="BP230" s="431">
        <f t="shared" si="381"/>
        <v>18428</v>
      </c>
      <c r="BQ230" s="431">
        <f t="shared" si="381"/>
        <v>19213</v>
      </c>
      <c r="BR230" s="431">
        <f t="shared" si="381"/>
        <v>20459</v>
      </c>
      <c r="BS230" s="431">
        <f t="shared" si="381"/>
        <v>20268</v>
      </c>
      <c r="BT230" s="492">
        <f t="shared" ref="BT230:CY230" si="382">BT114+BT115+BT116+BT117</f>
        <v>20268</v>
      </c>
      <c r="BU230" s="431">
        <f t="shared" si="382"/>
        <v>19433</v>
      </c>
      <c r="BV230" s="431">
        <f t="shared" si="382"/>
        <v>21609</v>
      </c>
      <c r="BW230" s="431">
        <f t="shared" si="382"/>
        <v>23714</v>
      </c>
      <c r="BX230" s="431">
        <f t="shared" si="382"/>
        <v>21675</v>
      </c>
      <c r="BY230" s="492">
        <f t="shared" si="382"/>
        <v>21675</v>
      </c>
      <c r="BZ230" s="431">
        <f t="shared" si="382"/>
        <v>20049</v>
      </c>
      <c r="CA230" s="431">
        <f t="shared" si="382"/>
        <v>20947</v>
      </c>
      <c r="CB230" s="431">
        <f t="shared" si="382"/>
        <v>22774</v>
      </c>
      <c r="CC230" s="431">
        <f t="shared" si="382"/>
        <v>19900</v>
      </c>
      <c r="CD230" s="492">
        <f t="shared" si="382"/>
        <v>19900</v>
      </c>
      <c r="CE230" s="431">
        <f t="shared" si="382"/>
        <v>22211</v>
      </c>
      <c r="CF230" s="431">
        <f t="shared" si="382"/>
        <v>24075</v>
      </c>
      <c r="CG230" s="431">
        <f t="shared" si="382"/>
        <v>25569</v>
      </c>
      <c r="CH230" s="431">
        <f t="shared" si="382"/>
        <v>22201</v>
      </c>
      <c r="CI230" s="492">
        <f t="shared" si="382"/>
        <v>22201</v>
      </c>
      <c r="CJ230" s="431">
        <f t="shared" si="382"/>
        <v>25205</v>
      </c>
      <c r="CK230" s="431">
        <f t="shared" si="382"/>
        <v>27224</v>
      </c>
      <c r="CL230" s="431">
        <f t="shared" si="382"/>
        <v>27357</v>
      </c>
      <c r="CM230" s="431">
        <f t="shared" si="382"/>
        <v>20675</v>
      </c>
      <c r="CN230" s="492">
        <f t="shared" si="382"/>
        <v>20675</v>
      </c>
      <c r="CO230" s="431">
        <f t="shared" si="382"/>
        <v>21373</v>
      </c>
      <c r="CP230" s="431">
        <f t="shared" ca="1" si="382"/>
        <v>26035.693924218311</v>
      </c>
      <c r="CQ230" s="431">
        <f t="shared" ca="1" si="382"/>
        <v>22983.951490621715</v>
      </c>
      <c r="CR230" s="431">
        <f t="shared" ca="1" si="382"/>
        <v>18328.614829871418</v>
      </c>
      <c r="CS230" s="492">
        <f t="shared" ca="1" si="382"/>
        <v>18328.614829871418</v>
      </c>
      <c r="CT230" s="431">
        <f t="shared" ca="1" si="382"/>
        <v>14373</v>
      </c>
      <c r="CU230" s="431">
        <f t="shared" ca="1" si="382"/>
        <v>17766.144229593861</v>
      </c>
      <c r="CV230" s="431">
        <f t="shared" ca="1" si="382"/>
        <v>18442.04822599309</v>
      </c>
      <c r="CW230" s="431">
        <f t="shared" ca="1" si="382"/>
        <v>17344.508012071245</v>
      </c>
      <c r="CX230" s="492">
        <f t="shared" ca="1" si="382"/>
        <v>17344.508012071245</v>
      </c>
      <c r="CY230" s="431">
        <f t="shared" ca="1" si="382"/>
        <v>14373</v>
      </c>
      <c r="CZ230" s="431">
        <f t="shared" ref="CZ230:DM230" ca="1" si="383">CZ114+CZ115+CZ116+CZ117</f>
        <v>17878.636723507792</v>
      </c>
      <c r="DA230" s="431">
        <f t="shared" ca="1" si="383"/>
        <v>18614.151026599618</v>
      </c>
      <c r="DB230" s="431">
        <f t="shared" ca="1" si="383"/>
        <v>17571.535271496708</v>
      </c>
      <c r="DC230" s="492">
        <f t="shared" ca="1" si="383"/>
        <v>17571.535271496708</v>
      </c>
      <c r="DD230" s="431">
        <f t="shared" ca="1" si="383"/>
        <v>14373.000000000011</v>
      </c>
      <c r="DE230" s="431">
        <f t="shared" ca="1" si="383"/>
        <v>17924.900498223229</v>
      </c>
      <c r="DF230" s="431">
        <f t="shared" ca="1" si="383"/>
        <v>18759.773089358154</v>
      </c>
      <c r="DG230" s="431">
        <f t="shared" ca="1" si="383"/>
        <v>17817.01589315186</v>
      </c>
      <c r="DH230" s="492">
        <f t="shared" ca="1" si="383"/>
        <v>17817.01589315186</v>
      </c>
      <c r="DI230" s="431">
        <f t="shared" ca="1" si="383"/>
        <v>14373.000000000009</v>
      </c>
      <c r="DJ230" s="431">
        <f t="shared" ca="1" si="383"/>
        <v>17997.448393178085</v>
      </c>
      <c r="DK230" s="431">
        <f t="shared" ca="1" si="383"/>
        <v>18944.13585120107</v>
      </c>
      <c r="DL230" s="431">
        <f t="shared" ca="1" si="383"/>
        <v>18116.106113615686</v>
      </c>
      <c r="DM230" s="492">
        <f t="shared" ca="1" si="383"/>
        <v>18116.106113615686</v>
      </c>
      <c r="DN230" s="207"/>
    </row>
    <row r="231" spans="1:118" ht="15.75" x14ac:dyDescent="0.25">
      <c r="A231" s="20" t="s">
        <v>116</v>
      </c>
      <c r="C231" s="368"/>
      <c r="D231" s="368"/>
      <c r="E231" s="368"/>
      <c r="F231" s="368"/>
      <c r="G231" s="369"/>
      <c r="H231" s="368">
        <f t="shared" ref="H231:AZ231" si="384">H229-H230</f>
        <v>3426</v>
      </c>
      <c r="I231" s="368">
        <f t="shared" si="384"/>
        <v>2782</v>
      </c>
      <c r="J231" s="368">
        <f t="shared" si="384"/>
        <v>2713</v>
      </c>
      <c r="K231" s="368">
        <f t="shared" si="384"/>
        <v>3184</v>
      </c>
      <c r="L231" s="369">
        <f t="shared" si="384"/>
        <v>3184</v>
      </c>
      <c r="M231" s="368">
        <f t="shared" si="384"/>
        <v>3481</v>
      </c>
      <c r="N231" s="368">
        <f t="shared" si="384"/>
        <v>3108</v>
      </c>
      <c r="O231" s="368">
        <f t="shared" si="384"/>
        <v>2765</v>
      </c>
      <c r="P231" s="368">
        <f t="shared" si="384"/>
        <v>3011</v>
      </c>
      <c r="Q231" s="369">
        <f t="shared" si="384"/>
        <v>3011</v>
      </c>
      <c r="R231" s="368">
        <f t="shared" si="384"/>
        <v>2953</v>
      </c>
      <c r="S231" s="368">
        <f t="shared" si="384"/>
        <v>2276</v>
      </c>
      <c r="T231" s="368">
        <f t="shared" si="384"/>
        <v>1701</v>
      </c>
      <c r="U231" s="368">
        <f t="shared" si="384"/>
        <v>1941</v>
      </c>
      <c r="V231" s="369">
        <f t="shared" si="384"/>
        <v>1941</v>
      </c>
      <c r="W231" s="368">
        <f t="shared" si="384"/>
        <v>2035</v>
      </c>
      <c r="X231" s="368">
        <f t="shared" si="384"/>
        <v>1371</v>
      </c>
      <c r="Y231" s="368">
        <f t="shared" si="384"/>
        <v>998</v>
      </c>
      <c r="Z231" s="368">
        <f t="shared" si="384"/>
        <v>410</v>
      </c>
      <c r="AA231" s="369">
        <f t="shared" si="384"/>
        <v>410</v>
      </c>
      <c r="AB231" s="368">
        <f t="shared" si="384"/>
        <v>-23</v>
      </c>
      <c r="AC231" s="368">
        <f t="shared" si="384"/>
        <v>-178</v>
      </c>
      <c r="AD231" s="368">
        <f t="shared" si="384"/>
        <v>-862</v>
      </c>
      <c r="AE231" s="368">
        <f t="shared" si="384"/>
        <v>933</v>
      </c>
      <c r="AF231" s="369">
        <f t="shared" si="384"/>
        <v>933</v>
      </c>
      <c r="AG231" s="368">
        <f t="shared" si="384"/>
        <v>1165</v>
      </c>
      <c r="AH231" s="368">
        <f t="shared" si="384"/>
        <v>798</v>
      </c>
      <c r="AI231" s="368">
        <f t="shared" si="384"/>
        <v>817</v>
      </c>
      <c r="AJ231" s="368">
        <f t="shared" si="384"/>
        <v>1992</v>
      </c>
      <c r="AK231" s="369">
        <f t="shared" si="384"/>
        <v>1992</v>
      </c>
      <c r="AL231" s="368">
        <f t="shared" si="384"/>
        <v>2657</v>
      </c>
      <c r="AM231" s="368">
        <f t="shared" si="384"/>
        <v>5146</v>
      </c>
      <c r="AN231" s="368">
        <f t="shared" si="384"/>
        <v>4835</v>
      </c>
      <c r="AO231" s="368">
        <f t="shared" si="384"/>
        <v>5021</v>
      </c>
      <c r="AP231" s="369">
        <f t="shared" si="384"/>
        <v>5021</v>
      </c>
      <c r="AQ231" s="368">
        <f t="shared" si="384"/>
        <v>4254</v>
      </c>
      <c r="AR231" s="368">
        <f t="shared" si="384"/>
        <v>4300</v>
      </c>
      <c r="AS231" s="368">
        <f t="shared" si="384"/>
        <v>3440</v>
      </c>
      <c r="AT231" s="368">
        <f t="shared" si="384"/>
        <v>4333</v>
      </c>
      <c r="AU231" s="369">
        <f t="shared" si="384"/>
        <v>4333</v>
      </c>
      <c r="AV231" s="368">
        <f t="shared" si="384"/>
        <v>5100</v>
      </c>
      <c r="AW231" s="368">
        <f t="shared" si="384"/>
        <v>3503</v>
      </c>
      <c r="AX231" s="368">
        <f t="shared" si="384"/>
        <v>2089</v>
      </c>
      <c r="AY231" s="368">
        <f t="shared" si="384"/>
        <v>2646</v>
      </c>
      <c r="AZ231" s="369">
        <f t="shared" si="384"/>
        <v>2646</v>
      </c>
      <c r="BA231" s="368">
        <f t="shared" ref="BA231:CF231" si="385">BA229-BA230</f>
        <v>2841</v>
      </c>
      <c r="BB231" s="368">
        <f t="shared" si="385"/>
        <v>1543</v>
      </c>
      <c r="BC231" s="368">
        <f>BC229-BC230</f>
        <v>128</v>
      </c>
      <c r="BD231" s="368">
        <f t="shared" si="385"/>
        <v>12080</v>
      </c>
      <c r="BE231" s="369">
        <f t="shared" si="385"/>
        <v>12080</v>
      </c>
      <c r="BF231" s="368">
        <f t="shared" si="385"/>
        <v>13803</v>
      </c>
      <c r="BG231" s="368">
        <f t="shared" si="385"/>
        <v>12168</v>
      </c>
      <c r="BH231" s="368">
        <f t="shared" si="385"/>
        <v>12691</v>
      </c>
      <c r="BI231" s="368">
        <f t="shared" si="385"/>
        <v>14533</v>
      </c>
      <c r="BJ231" s="575">
        <f t="shared" si="385"/>
        <v>14533</v>
      </c>
      <c r="BK231" s="576">
        <f t="shared" si="385"/>
        <v>15336</v>
      </c>
      <c r="BL231" s="576">
        <f t="shared" si="385"/>
        <v>15516</v>
      </c>
      <c r="BM231" s="576">
        <f t="shared" si="385"/>
        <v>14647</v>
      </c>
      <c r="BN231" s="576">
        <f t="shared" si="385"/>
        <v>16059</v>
      </c>
      <c r="BO231" s="575">
        <f t="shared" si="385"/>
        <v>16059</v>
      </c>
      <c r="BP231" s="576">
        <f t="shared" si="385"/>
        <v>16690</v>
      </c>
      <c r="BQ231" s="576">
        <f t="shared" si="385"/>
        <v>16473</v>
      </c>
      <c r="BR231" s="576">
        <f t="shared" si="385"/>
        <v>15748</v>
      </c>
      <c r="BS231" s="576">
        <f t="shared" si="385"/>
        <v>16811</v>
      </c>
      <c r="BT231" s="575">
        <f t="shared" si="385"/>
        <v>16811</v>
      </c>
      <c r="BU231" s="576">
        <f>BU229-BU230</f>
        <v>19008</v>
      </c>
      <c r="BV231" s="576">
        <f t="shared" si="385"/>
        <v>18634</v>
      </c>
      <c r="BW231" s="576">
        <f>BW229-BW230</f>
        <v>18096</v>
      </c>
      <c r="BX231" s="576">
        <f>BX229-BX230</f>
        <v>20070</v>
      </c>
      <c r="BY231" s="575">
        <f t="shared" si="385"/>
        <v>20070</v>
      </c>
      <c r="BZ231" s="576">
        <f t="shared" si="385"/>
        <v>22461</v>
      </c>
      <c r="CA231" s="576">
        <f t="shared" si="385"/>
        <v>23464</v>
      </c>
      <c r="CB231" s="576">
        <f t="shared" si="385"/>
        <v>23412</v>
      </c>
      <c r="CC231" s="576">
        <f t="shared" si="385"/>
        <v>24313</v>
      </c>
      <c r="CD231" s="575">
        <f t="shared" si="385"/>
        <v>24313</v>
      </c>
      <c r="CE231" s="576">
        <f t="shared" si="385"/>
        <v>24623</v>
      </c>
      <c r="CF231" s="576">
        <f t="shared" si="385"/>
        <v>23973</v>
      </c>
      <c r="CG231" s="576">
        <f t="shared" ref="CG231:CH231" si="386">CG229-CG230</f>
        <v>21655</v>
      </c>
      <c r="CH231" s="576">
        <f t="shared" si="386"/>
        <v>23508</v>
      </c>
      <c r="CI231" s="575">
        <f t="shared" ref="CI231:CX231" si="387">CI229-CI230</f>
        <v>23508</v>
      </c>
      <c r="CJ231" s="576">
        <f t="shared" si="387"/>
        <v>22244</v>
      </c>
      <c r="CK231" s="576">
        <f t="shared" ref="CK231" si="388">CK229-CK230</f>
        <v>22414</v>
      </c>
      <c r="CL231" s="576">
        <f t="shared" si="387"/>
        <v>21743</v>
      </c>
      <c r="CM231" s="576">
        <f t="shared" si="387"/>
        <v>27010</v>
      </c>
      <c r="CN231" s="575">
        <f t="shared" si="387"/>
        <v>27010</v>
      </c>
      <c r="CO231" s="576">
        <f t="shared" si="387"/>
        <v>27574</v>
      </c>
      <c r="CP231" s="576">
        <f t="shared" ca="1" si="387"/>
        <v>22911.306075781689</v>
      </c>
      <c r="CQ231" s="576">
        <f t="shared" ca="1" si="387"/>
        <v>22463.048509378285</v>
      </c>
      <c r="CR231" s="576">
        <f t="shared" ca="1" si="387"/>
        <v>23618.385170128582</v>
      </c>
      <c r="CS231" s="575">
        <f t="shared" ca="1" si="387"/>
        <v>23618.385170128582</v>
      </c>
      <c r="CT231" s="576">
        <f t="shared" ca="1" si="387"/>
        <v>27747.862032626144</v>
      </c>
      <c r="CU231" s="576">
        <f t="shared" ca="1" si="387"/>
        <v>22841.855770406139</v>
      </c>
      <c r="CV231" s="576">
        <f t="shared" ca="1" si="387"/>
        <v>22165.95177400691</v>
      </c>
      <c r="CW231" s="576">
        <f t="shared" ca="1" si="387"/>
        <v>23263.491987928755</v>
      </c>
      <c r="CX231" s="575">
        <f t="shared" ca="1" si="387"/>
        <v>23263.491987928755</v>
      </c>
      <c r="CY231" s="576">
        <f t="shared" ref="CY231:DH231" ca="1" si="389">CY229-CY230</f>
        <v>27680.381797480732</v>
      </c>
      <c r="CZ231" s="576">
        <f t="shared" ca="1" si="389"/>
        <v>22729.363276492208</v>
      </c>
      <c r="DA231" s="576">
        <f t="shared" ca="1" si="389"/>
        <v>21993.848973400382</v>
      </c>
      <c r="DB231" s="576">
        <f t="shared" ca="1" si="389"/>
        <v>23036.464728503292</v>
      </c>
      <c r="DC231" s="575">
        <f t="shared" ca="1" si="389"/>
        <v>23036.464728503292</v>
      </c>
      <c r="DD231" s="576">
        <f t="shared" ca="1" si="389"/>
        <v>27694.368537365899</v>
      </c>
      <c r="DE231" s="576">
        <f t="shared" ca="1" si="389"/>
        <v>22683.099501776771</v>
      </c>
      <c r="DF231" s="576">
        <f t="shared" ca="1" si="389"/>
        <v>21848.226910641846</v>
      </c>
      <c r="DG231" s="576">
        <f t="shared" ca="1" si="389"/>
        <v>22790.98410684814</v>
      </c>
      <c r="DH231" s="575">
        <f t="shared" ca="1" si="389"/>
        <v>22790.98410684814</v>
      </c>
      <c r="DI231" s="576">
        <f ca="1">DI229-DI230</f>
        <v>27681.642428128798</v>
      </c>
      <c r="DJ231" s="576">
        <f ca="1">DJ229-DJ230</f>
        <v>22610.551606821915</v>
      </c>
      <c r="DK231" s="576">
        <f ca="1">DK229-DK230</f>
        <v>21663.86414879893</v>
      </c>
      <c r="DL231" s="576">
        <f ca="1">DL229-DL230</f>
        <v>22491.893886384314</v>
      </c>
      <c r="DM231" s="575">
        <f ca="1">DM229-DM230</f>
        <v>22491.893886384314</v>
      </c>
      <c r="DN231" s="207"/>
    </row>
    <row r="232" spans="1:118" ht="15" x14ac:dyDescent="0.2">
      <c r="A232" s="18" t="s">
        <v>117</v>
      </c>
      <c r="C232" s="357"/>
      <c r="D232" s="357"/>
      <c r="E232" s="357"/>
      <c r="F232" s="357"/>
      <c r="G232" s="209"/>
      <c r="H232" s="357">
        <f>-H65*8/(H229+G229)</f>
        <v>0.11926605504587157</v>
      </c>
      <c r="I232" s="357">
        <f>-I65*8/(I229+H229)</f>
        <v>5.3324099722991687E-2</v>
      </c>
      <c r="J232" s="357">
        <f>-J65*8/(J229+I229)</f>
        <v>4.9217002237136466E-2</v>
      </c>
      <c r="K232" s="357">
        <f>-K65*8/(K229+J229)</f>
        <v>4.2315829967301405E-2</v>
      </c>
      <c r="L232" s="209">
        <f>-L65/AVERAGE(G229:K229)</f>
        <v>5.2665148063781322E-2</v>
      </c>
      <c r="M232" s="357">
        <f>-M65*8/(M229+L229)</f>
        <v>3.2739177882866496E-2</v>
      </c>
      <c r="N232" s="357">
        <f>-N65*8/(N229+M229)</f>
        <v>3.9248858061241752E-2</v>
      </c>
      <c r="O232" s="357">
        <f>-O65*8/(O229+N229)</f>
        <v>3.6341505825073901E-2</v>
      </c>
      <c r="P232" s="357">
        <f>-P65*8/(P229+O229)</f>
        <v>3.1702400586402786E-2</v>
      </c>
      <c r="Q232" s="209">
        <f>-Q65/AVERAGE(L229:P229)</f>
        <v>3.5632225174122206E-2</v>
      </c>
      <c r="R232" s="357">
        <f>-R65*8/(R229+Q229)</f>
        <v>3.1298904538341159E-2</v>
      </c>
      <c r="S232" s="357">
        <f>-S65*8/(S229+R229)</f>
        <v>2.8709731263562011E-2</v>
      </c>
      <c r="T232" s="357">
        <f>-T65*8/(T229+S229)</f>
        <v>2.9515108924806747E-2</v>
      </c>
      <c r="U232" s="357">
        <f>-U65*8/(U229+T229)</f>
        <v>3.5001367240907848E-2</v>
      </c>
      <c r="V232" s="209">
        <f>-V65/AVERAGE(Q229:U229)</f>
        <v>3.1438765057048991E-2</v>
      </c>
      <c r="W232" s="357">
        <f>-W65*8/(W229+V229)</f>
        <v>2.9604709840201849E-2</v>
      </c>
      <c r="X232" s="357">
        <f>-X65*8/(X229+W229)</f>
        <v>2.8880866425992781E-2</v>
      </c>
      <c r="Y232" s="357">
        <f>-Y65*8/(Y229+X229)</f>
        <v>2.8768171384850803E-2</v>
      </c>
      <c r="Z232" s="357">
        <f>-Z65*8/(Z229+Y229)</f>
        <v>3.3878504672897193E-2</v>
      </c>
      <c r="AA232" s="209">
        <f>-AA65/AVERAGE(V229:Z229)</f>
        <v>3.0493496795071254E-2</v>
      </c>
      <c r="AB232" s="357">
        <f>-AB65*8/(AB229+AA229)</f>
        <v>3.8361187504407306E-2</v>
      </c>
      <c r="AC232" s="357">
        <f>-AC65*8/(AC229+AB229)</f>
        <v>4.1906049340993581E-2</v>
      </c>
      <c r="AD232" s="357">
        <f>-AD65*8/(AD229+AC229)</f>
        <v>4.3396435292815234E-2</v>
      </c>
      <c r="AE232" s="357">
        <f>-AE65*8/(AE229+AD229)</f>
        <v>4.9292929292929291E-2</v>
      </c>
      <c r="AF232" s="209">
        <f>-AF65/AVERAGE(AA229:AE229)</f>
        <v>4.150238638721726E-2</v>
      </c>
      <c r="AG232" s="357">
        <f>-AG65*8/(AG229+AF229)</f>
        <v>4.437791670335476E-2</v>
      </c>
      <c r="AH232" s="357">
        <f>-AH65*8/(AH229+AG229)</f>
        <v>4.7614548889938595E-2</v>
      </c>
      <c r="AI232" s="357">
        <f>-AI65*8/(AI229+AH229)</f>
        <v>4.0569702201122139E-2</v>
      </c>
      <c r="AJ232" s="357">
        <f>-AJ65*8/(AJ229+AI229)</f>
        <v>4.214301726070388E-2</v>
      </c>
      <c r="AK232" s="209">
        <f>-AK65/AVERAGE(AF229:AJ229)</f>
        <v>4.3638671797516564E-2</v>
      </c>
      <c r="AL232" s="357">
        <f>-AL65*8/(AL229+AK229)</f>
        <v>5.1533297042279075E-2</v>
      </c>
      <c r="AM232" s="357">
        <f>-AM65*8/(AM229+AL229)</f>
        <v>5.0598375395299808E-2</v>
      </c>
      <c r="AN232" s="357">
        <f>-AN65*8/(AN229+AM229)</f>
        <v>5.2552630217762374E-2</v>
      </c>
      <c r="AO232" s="357">
        <f>-AO65*8/(AO229+AN229)</f>
        <v>6.5770750988142293E-2</v>
      </c>
      <c r="AP232" s="209">
        <f>-AP65/AVERAGE(AK229:AO229)</f>
        <v>5.7453885697006352E-2</v>
      </c>
      <c r="AQ232" s="357">
        <f>-AQ65*8/(AQ229+AP229)</f>
        <v>4.6792981052842075E-2</v>
      </c>
      <c r="AR232" s="357">
        <f>-AR65*8/(AR229+AQ229)</f>
        <v>3.2614172506985478E-2</v>
      </c>
      <c r="AS232" s="357">
        <f>-AS65*8/(AS229+AR229)</f>
        <v>3.9151712887438822E-2</v>
      </c>
      <c r="AT232" s="357">
        <f>-AT65*8/(AT229+AS229)</f>
        <v>4.6458053369168743E-2</v>
      </c>
      <c r="AU232" s="209">
        <f>-AU65/AVERAGE(AP229:AT229)</f>
        <v>4.2118624509577658E-2</v>
      </c>
      <c r="AV232" s="357">
        <f>-AV65*8/(AV229+AU229)</f>
        <v>3.1641152110185658E-2</v>
      </c>
      <c r="AW232" s="357">
        <f>-AW65*8/(AW229+AV229)</f>
        <v>3.2843780420705126E-2</v>
      </c>
      <c r="AX232" s="357">
        <f>-AX65*8/(AX229+AW229)</f>
        <v>3.1418233165651753E-2</v>
      </c>
      <c r="AY232" s="357">
        <f>-AY65*8/(AY229+AX229)</f>
        <v>2.9124951241711092E-2</v>
      </c>
      <c r="AZ232" s="209">
        <f>-AZ65/AVERAGE(AU229:AY229)</f>
        <v>3.1689637934728274E-2</v>
      </c>
      <c r="BA232" s="357">
        <f>-BA65*8/(BA229+AZ229)</f>
        <v>2.8943560057887119E-2</v>
      </c>
      <c r="BB232" s="357">
        <f>-BB65*8/(BB229+BA229)</f>
        <v>2.7758738862234407E-2</v>
      </c>
      <c r="BC232" s="357">
        <f>-BC65*8/(BC229+BB229)</f>
        <v>2.5495976416221814E-2</v>
      </c>
      <c r="BD232" s="357">
        <f>-BD65*8/(BD229+BC229)</f>
        <v>3.1513175767454493E-2</v>
      </c>
      <c r="BE232" s="209">
        <f>-BE65/AVERAGE(AZ229:BD229)</f>
        <v>2.7147876077930372E-2</v>
      </c>
      <c r="BF232" s="357">
        <f>-BF65*8/(BF229+BE229)</f>
        <v>1.7617229327029922E-2</v>
      </c>
      <c r="BG232" s="357">
        <f>-BG65*8/(BG229+BF229)</f>
        <v>1.301061896106381E-2</v>
      </c>
      <c r="BH232" s="357">
        <f>-BH65*8/(BH229+BG229)</f>
        <v>1.6036696584978239E-2</v>
      </c>
      <c r="BI232" s="357">
        <f>-BI65*8/(BI229+BH229)</f>
        <v>1.4266915991412148E-2</v>
      </c>
      <c r="BJ232" s="424">
        <f>-BJ65/AVERAGE(BE229:BI229)</f>
        <v>1.5287998920847135E-2</v>
      </c>
      <c r="BK232" s="569">
        <f>-BK65*8/(BK229+BJ229)</f>
        <v>1.1795653703734732E-2</v>
      </c>
      <c r="BL232" s="569">
        <f>-BL65*8/(BL229+BK229)</f>
        <v>1.4088714876487884E-2</v>
      </c>
      <c r="BM232" s="569">
        <f>-BM65*8/(BM229+BL229)</f>
        <v>1.251303441084463E-2</v>
      </c>
      <c r="BN232" s="569">
        <f>-BN65*8/(BN229+BM229)</f>
        <v>1.1631466176920723E-2</v>
      </c>
      <c r="BO232" s="424">
        <f>-BO65/AVERAGE(BJ229:BN229)</f>
        <v>1.2602774515094759E-2</v>
      </c>
      <c r="BP232" s="569">
        <f>-BP65*8/(BP229+BO229)</f>
        <v>1.2048192771084338E-2</v>
      </c>
      <c r="BQ232" s="569">
        <f>-BQ65*8/(BQ229+BP229)</f>
        <v>1.1185808711372239E-2</v>
      </c>
      <c r="BR232" s="569">
        <f>-BR65*8/(BR229+BQ229)</f>
        <v>1.001488322924346E-2</v>
      </c>
      <c r="BS232" s="569">
        <f>-BS65*8/(BS229+BR229)</f>
        <v>1.2990202767240673E-2</v>
      </c>
      <c r="BT232" s="424">
        <f>-BT65/AVERAGE(BO229:BS229)</f>
        <v>1.1601584606677985E-2</v>
      </c>
      <c r="BU232" s="569">
        <f>-BU65*8/(BU229+BT229)</f>
        <v>1.3135593220338982E-2</v>
      </c>
      <c r="BV232" s="569">
        <f>-BV65*8/(BV229+BU229)</f>
        <v>1.0878958873468557E-2</v>
      </c>
      <c r="BW232" s="569">
        <f>-BW65*8/(BW229+BV229)</f>
        <v>1.1017269325923489E-2</v>
      </c>
      <c r="BX232" s="569">
        <f>-BX65*8/(BX229+BW229)</f>
        <v>1.3308599126323978E-2</v>
      </c>
      <c r="BY232" s="424">
        <f>-BY65/AVERAGE(BT229:BX229)</f>
        <v>1.2116316639741519E-2</v>
      </c>
      <c r="BZ232" s="569">
        <f>-BZ65*8/(BZ229+BY229)</f>
        <v>1.2058631535220462E-2</v>
      </c>
      <c r="CA232" s="569">
        <f>-CA65*8/(CA229+BZ229)</f>
        <v>1.1780812461890682E-2</v>
      </c>
      <c r="CB232" s="569">
        <f>-CB65*8/(CB229+CA229)</f>
        <v>1.2185833968012186E-2</v>
      </c>
      <c r="CC232" s="569">
        <f>-CC65*8/(CC229+CB229)</f>
        <v>1.2655007245655372E-2</v>
      </c>
      <c r="CD232" s="424">
        <f>-CD65/AVERAGE(BY229:CC229)</f>
        <v>1.2233811882318034E-2</v>
      </c>
      <c r="CE232" s="569">
        <f>-CE65*8/(CE229+CD229)</f>
        <v>1.2389205575142509E-2</v>
      </c>
      <c r="CF232" s="569">
        <f>-CF65*8/(CF229+CE229)</f>
        <v>1.3659071267469066E-2</v>
      </c>
      <c r="CG232" s="569">
        <f>-CG65*8/(CG229+CF229)</f>
        <v>1.5282559408850449E-2</v>
      </c>
      <c r="CH232" s="569">
        <f>-CH65*8/(CH229+CG229)</f>
        <v>2.1348713589360076E-2</v>
      </c>
      <c r="CI232" s="424">
        <f>-CI65/AVERAGE(CD229:CH229)</f>
        <v>1.5795507438757392E-2</v>
      </c>
      <c r="CJ232" s="569">
        <f>-CJ65*8/(CJ229+CI229)</f>
        <v>1.6488116962579704E-2</v>
      </c>
      <c r="CK232" s="569">
        <f>-CK65*8/(CK229+CJ229)</f>
        <v>1.5903262022721888E-2</v>
      </c>
      <c r="CL232" s="569">
        <f>-CL65*8/(CL229+CK229)</f>
        <v>1.6852680832101116E-2</v>
      </c>
      <c r="CM232" s="569">
        <f>-CM65*8/(CM229+CL229)</f>
        <v>1.7358061683112054E-2</v>
      </c>
      <c r="CN232" s="424">
        <f>-CN65/AVERAGE(CI229:CM229)</f>
        <v>1.6758424082043234E-2</v>
      </c>
      <c r="CO232" s="569">
        <f>-CO65*8/(CO229+CN229)</f>
        <v>1.9041311366835002E-2</v>
      </c>
      <c r="CP232" s="570">
        <f t="shared" ref="CP232:CR233" si="390">CO232</f>
        <v>1.9041311366835002E-2</v>
      </c>
      <c r="CQ232" s="570">
        <f t="shared" si="390"/>
        <v>1.9041311366835002E-2</v>
      </c>
      <c r="CR232" s="570">
        <f t="shared" si="390"/>
        <v>1.9041311366835002E-2</v>
      </c>
      <c r="CS232" s="424">
        <f ca="1">-CS65/AVERAGE(CN229:CR229)</f>
        <v>1.9223021674451404E-2</v>
      </c>
      <c r="CT232" s="570">
        <f>CR232</f>
        <v>1.9041311366835002E-2</v>
      </c>
      <c r="CU232" s="570">
        <f t="shared" ref="CU232:CW233" si="391">CT232</f>
        <v>1.9041311366835002E-2</v>
      </c>
      <c r="CV232" s="570">
        <f t="shared" si="391"/>
        <v>1.9041311366835002E-2</v>
      </c>
      <c r="CW232" s="570">
        <f t="shared" si="391"/>
        <v>1.9041311366835002E-2</v>
      </c>
      <c r="CX232" s="424">
        <f ca="1">-CX65/AVERAGE(CS229:CW229)</f>
        <v>1.9029851957064237E-2</v>
      </c>
      <c r="CY232" s="570">
        <f>CW232</f>
        <v>1.9041311366835002E-2</v>
      </c>
      <c r="CZ232" s="570">
        <f t="shared" ref="CZ232:DB233" si="392">CY232</f>
        <v>1.9041311366835002E-2</v>
      </c>
      <c r="DA232" s="570">
        <f t="shared" si="392"/>
        <v>1.9041311366835002E-2</v>
      </c>
      <c r="DB232" s="570">
        <f t="shared" si="392"/>
        <v>1.9041311366835002E-2</v>
      </c>
      <c r="DC232" s="424">
        <f ca="1">-DC65/AVERAGE(CX229:DB229)</f>
        <v>1.9074959205873494E-2</v>
      </c>
      <c r="DD232" s="570">
        <f>DB232</f>
        <v>1.9041311366835002E-2</v>
      </c>
      <c r="DE232" s="570">
        <f t="shared" ref="DE232:DG233" si="393">DD232</f>
        <v>1.9041311366835002E-2</v>
      </c>
      <c r="DF232" s="570">
        <f t="shared" si="393"/>
        <v>1.9041311366835002E-2</v>
      </c>
      <c r="DG232" s="570">
        <f t="shared" si="393"/>
        <v>1.9041311366835002E-2</v>
      </c>
      <c r="DH232" s="424">
        <f ca="1">-DH65/AVERAGE(DC229:DG229)</f>
        <v>1.9075282487281114E-2</v>
      </c>
      <c r="DI232" s="570">
        <f>DG232</f>
        <v>1.9041311366835002E-2</v>
      </c>
      <c r="DJ232" s="570">
        <f t="shared" ref="DJ232:DL233" si="394">DI232</f>
        <v>1.9041311366835002E-2</v>
      </c>
      <c r="DK232" s="570">
        <f t="shared" si="394"/>
        <v>1.9041311366835002E-2</v>
      </c>
      <c r="DL232" s="570">
        <f t="shared" si="394"/>
        <v>1.9041311366835002E-2</v>
      </c>
      <c r="DM232" s="424">
        <f ca="1">-DM65/AVERAGE(DH229:DL229)</f>
        <v>1.9074988345173766E-2</v>
      </c>
      <c r="DN232" s="207"/>
    </row>
    <row r="233" spans="1:118" ht="15" x14ac:dyDescent="0.2">
      <c r="A233" s="18" t="s">
        <v>209</v>
      </c>
      <c r="C233" s="357"/>
      <c r="D233" s="357"/>
      <c r="E233" s="357"/>
      <c r="F233" s="357"/>
      <c r="G233" s="209"/>
      <c r="H233" s="357">
        <f>H64*8/(H230+G230)</f>
        <v>0.2419716206123973</v>
      </c>
      <c r="I233" s="357">
        <f>I64*8/(I230+H230)</f>
        <v>0.11676646706586827</v>
      </c>
      <c r="J233" s="357">
        <f>J64*8/(J230+I230)</f>
        <v>0.1039556659659851</v>
      </c>
      <c r="K233" s="357">
        <f>K64*8/(K230+J230)</f>
        <v>0.17418351477449456</v>
      </c>
      <c r="L233" s="209">
        <f>L64/AVERAGE(G230:K230)</f>
        <v>0.13204672422549518</v>
      </c>
      <c r="M233" s="357">
        <f>M64*8/(M230+L230)</f>
        <v>0.10713461094435466</v>
      </c>
      <c r="N233" s="357">
        <f>N64*8/(N230+M230)</f>
        <v>7.9495509268106251E-2</v>
      </c>
      <c r="O233" s="357">
        <f>O64*8/(O230+N230)</f>
        <v>6.537573281222242E-2</v>
      </c>
      <c r="P233" s="357">
        <f>P64*8/(P230+O230)</f>
        <v>8.2522382249902687E-2</v>
      </c>
      <c r="Q233" s="209">
        <f>Q64/AVERAGE(L230:P230)</f>
        <v>8.4924827305973186E-2</v>
      </c>
      <c r="R233" s="357">
        <f>R64*8/(R230+Q230)</f>
        <v>8.0895630191404833E-2</v>
      </c>
      <c r="S233" s="357">
        <f>S64*8/(S230+R230)</f>
        <v>5.3309640159928923E-2</v>
      </c>
      <c r="T233" s="357">
        <f>T64*8/(T230+S230)</f>
        <v>3.996219792088565E-2</v>
      </c>
      <c r="U233" s="357">
        <f>U64*8/(U230+T230)</f>
        <v>4.1479055805703373E-2</v>
      </c>
      <c r="V233" s="209">
        <f>V64/AVERAGE(Q230:U230)</f>
        <v>5.3570341510927127E-2</v>
      </c>
      <c r="W233" s="357">
        <f>W64*8/(W230+V230)</f>
        <v>3.5380338640384132E-2</v>
      </c>
      <c r="X233" s="357">
        <f>X64*8/(X230+W230)</f>
        <v>2.6630604389888693E-2</v>
      </c>
      <c r="Y233" s="357">
        <f>Y64*8/(Y230+X230)</f>
        <v>2.9156153630501822E-2</v>
      </c>
      <c r="Z233" s="357">
        <f>Z64*8/(Z230+Y230)</f>
        <v>3.3203125E-2</v>
      </c>
      <c r="AA233" s="209">
        <f>AA64/AVERAGE(V230:Z230)</f>
        <v>3.0926210455816883E-2</v>
      </c>
      <c r="AB233" s="357">
        <f>AB64*8/(AB230+AA230)</f>
        <v>3.4797738147020446E-2</v>
      </c>
      <c r="AC233" s="357">
        <f>AC64*8/(AC230+AB230)</f>
        <v>3.5889341197972914E-2</v>
      </c>
      <c r="AD233" s="357">
        <f>AD64*8/(AD230+AC230)</f>
        <v>3.8915913829047952E-2</v>
      </c>
      <c r="AE233" s="357">
        <f>AE64*8/(AE230+AD230)</f>
        <v>5.8602095838844237E-2</v>
      </c>
      <c r="AF233" s="209">
        <f>AF64/AVERAGE(AA230:AE230)</f>
        <v>4.103513305860166E-2</v>
      </c>
      <c r="AG233" s="357">
        <f>AG64*8/(AG230+AF230)</f>
        <v>6.0481693487417651E-2</v>
      </c>
      <c r="AH233" s="357">
        <f>AH64*8/(AH230+AG230)</f>
        <v>4.3609371375550918E-2</v>
      </c>
      <c r="AI233" s="357">
        <f>AI64*8/(AI230+AH230)</f>
        <v>3.6586959362341569E-2</v>
      </c>
      <c r="AJ233" s="357">
        <f>AJ64*8/(AJ230+AI230)</f>
        <v>5.3656142646818256E-2</v>
      </c>
      <c r="AK233" s="209">
        <f>AK64/AVERAGE(AF230:AJ230)</f>
        <v>4.9482104399548761E-2</v>
      </c>
      <c r="AL233" s="357">
        <f>AL64*8/(AL230+AK230)</f>
        <v>4.644594382551389E-2</v>
      </c>
      <c r="AM233" s="357">
        <f>AM64*8/(AM230+AL230)</f>
        <v>5.1898125901009132E-2</v>
      </c>
      <c r="AN233" s="357">
        <f>AN64*8/(AN230+AM230)</f>
        <v>5.0470487596236097E-2</v>
      </c>
      <c r="AO233" s="357">
        <f>AO64*8/(AO230+AN230)</f>
        <v>7.5446869174251557E-2</v>
      </c>
      <c r="AP233" s="209">
        <f>AP64/AVERAGE(AK230:AO230)</f>
        <v>5.8902810362901216E-2</v>
      </c>
      <c r="AQ233" s="357">
        <f>AQ64*8/(AQ230+AP230)</f>
        <v>4.8471290082028336E-2</v>
      </c>
      <c r="AR233" s="357">
        <f>AR64*8/(AR230+AQ230)</f>
        <v>4.157565715146494E-2</v>
      </c>
      <c r="AS233" s="357">
        <f>AS64*8/(AS230+AR230)</f>
        <v>5.6221136470115791E-2</v>
      </c>
      <c r="AT233" s="357">
        <f>AT64*8/(AT230+AS230)</f>
        <v>5.7567174462221544E-2</v>
      </c>
      <c r="AU233" s="209">
        <f>AU64/AVERAGE(AP230:AT230)</f>
        <v>5.4326546593578696E-2</v>
      </c>
      <c r="AV233" s="357">
        <f>AV64*8/(AV230+AU230)</f>
        <v>3.9807596616354288E-2</v>
      </c>
      <c r="AW233" s="357">
        <f>AW64*8/(AW230+AV230)</f>
        <v>3.035143769968051E-2</v>
      </c>
      <c r="AX233" s="357">
        <f>AX64*8/(AX230+AW230)</f>
        <v>3.1400117164616284E-2</v>
      </c>
      <c r="AY233" s="357">
        <f>AY64*8/(AY230+AX230)</f>
        <v>2.8356418366234048E-2</v>
      </c>
      <c r="AZ233" s="209">
        <f>AZ64/AVERAGE(AU230:AY230)</f>
        <v>3.2471766516261963E-2</v>
      </c>
      <c r="BA233" s="357">
        <f>BA64*8/(BA230+AZ230)</f>
        <v>2.6656300327650359E-2</v>
      </c>
      <c r="BB233" s="357">
        <f>BB64*8/(BB230+BA230)</f>
        <v>2.8270042194092827E-2</v>
      </c>
      <c r="BC233" s="357">
        <f>BC64*8/(BC230+BB230)</f>
        <v>3.1752806111561609E-2</v>
      </c>
      <c r="BD233" s="357">
        <f>BD64*8/(BD230+BC230)</f>
        <v>3.1542151044630519E-2</v>
      </c>
      <c r="BE233" s="209">
        <f>BE64/AVERAGE(AZ230:BD230)</f>
        <v>3.0033159639981051E-2</v>
      </c>
      <c r="BF233" s="357">
        <f>BF64*8/(BF230+BE230)</f>
        <v>3.1845515372236809E-2</v>
      </c>
      <c r="BG233" s="357">
        <f>BG64*8/(BG230+BF230)</f>
        <v>3.6814482391420093E-2</v>
      </c>
      <c r="BH233" s="357">
        <f>BH64*8/(BH230+BG230)</f>
        <v>3.6966638264403225E-2</v>
      </c>
      <c r="BI233" s="357">
        <f>BI64*8/(BI230+BH230)</f>
        <v>3.3276562295296741E-2</v>
      </c>
      <c r="BJ233" s="424">
        <f>BJ64/AVERAGE(BE230:BI230)</f>
        <v>3.5429778618898816E-2</v>
      </c>
      <c r="BK233" s="569">
        <f>BK64*8/(BK230+BJ230)</f>
        <v>3.0857986180988797E-2</v>
      </c>
      <c r="BL233" s="569">
        <f>BL64*8/(BL230+BK230)</f>
        <v>2.7362956176515497E-2</v>
      </c>
      <c r="BM233" s="569">
        <f>BM64*8/(BM230+BL230)</f>
        <v>2.6933721361522441E-2</v>
      </c>
      <c r="BN233" s="569">
        <f>BN64*8/(BN230+BM230)</f>
        <v>2.9104348328232374E-2</v>
      </c>
      <c r="BO233" s="424">
        <f>BO64/AVERAGE(BJ230:BN230)</f>
        <v>2.8926228904119687E-2</v>
      </c>
      <c r="BP233" s="569">
        <f>BP64*8/(BP230+BO230)</f>
        <v>2.6530203836587666E-2</v>
      </c>
      <c r="BQ233" s="569">
        <f>BQ64*8/(BQ230+BP230)</f>
        <v>2.7416912409340879E-2</v>
      </c>
      <c r="BR233" s="569">
        <f>BR64*8/(BR230+BQ230)</f>
        <v>2.7424884049203468E-2</v>
      </c>
      <c r="BS233" s="569">
        <f>BS64*8/(BS230+BR230)</f>
        <v>3.0053772681513491E-2</v>
      </c>
      <c r="BT233" s="424">
        <f>BT64/AVERAGE(BO230:BS230)</f>
        <v>2.8129247042214943E-2</v>
      </c>
      <c r="BU233" s="569">
        <f>BU64*8/(BU230+BT230)</f>
        <v>2.4785269892446032E-2</v>
      </c>
      <c r="BV233" s="569">
        <f>BV64*8/(BV230+BU230)</f>
        <v>2.8068807562984261E-2</v>
      </c>
      <c r="BW233" s="569">
        <f>BW64*8/(BW230+BV230)</f>
        <v>2.9830328972045097E-2</v>
      </c>
      <c r="BX233" s="569">
        <f>BX64*8/(BX230+BW230)</f>
        <v>2.7848157042455222E-2</v>
      </c>
      <c r="BY233" s="424">
        <f>BY64/AVERAGE(BT230:BX230)</f>
        <v>2.7835312420922409E-2</v>
      </c>
      <c r="BZ233" s="569">
        <f>BZ64*8/(BZ230+BY230)</f>
        <v>2.9719106509443007E-2</v>
      </c>
      <c r="CA233" s="569">
        <f>CA64*8/(CA230+BZ230)</f>
        <v>2.9076007415357596E-2</v>
      </c>
      <c r="CB233" s="569">
        <f>CB64*8/(CB230+CA230)</f>
        <v>2.8361656869696484E-2</v>
      </c>
      <c r="CC233" s="569">
        <f>CC64*8/(CC230+CB230)</f>
        <v>2.8870037962225242E-2</v>
      </c>
      <c r="CD233" s="424">
        <f>CD64/AVERAGE(BY230:CC230)</f>
        <v>2.9094878731786036E-2</v>
      </c>
      <c r="CE233" s="569">
        <f>CE64*8/(CE230+CD230)</f>
        <v>2.7356272707843556E-2</v>
      </c>
      <c r="CF233" s="569">
        <f>CF64*8/(CF230+CE230)</f>
        <v>2.8345504040098519E-2</v>
      </c>
      <c r="CG233" s="569">
        <f>CG64*8/(CG230+CF230)</f>
        <v>2.6428168560148256E-2</v>
      </c>
      <c r="CH233" s="569">
        <f>CH64*8/(CH230+CG230)</f>
        <v>2.8469750889679714E-2</v>
      </c>
      <c r="CI233" s="424">
        <f>CI64/AVERAGE(CD230:CH230)</f>
        <v>2.8168766892484817E-2</v>
      </c>
      <c r="CJ233" s="569">
        <f>CJ64*8/(CJ230+CI230)</f>
        <v>2.615702653672531E-2</v>
      </c>
      <c r="CK233" s="569">
        <f>CK64*8/(CK230+CJ230)</f>
        <v>2.5176905910850866E-2</v>
      </c>
      <c r="CL233" s="569">
        <f>CL64*8/(CL230+CK230)</f>
        <v>2.5649951448306188E-2</v>
      </c>
      <c r="CM233" s="569">
        <f>CM64*8/(CM230+CL230)</f>
        <v>3.0313124583610927E-2</v>
      </c>
      <c r="CN233" s="424">
        <f>CN64/AVERAGE(CI230:CM230)</f>
        <v>2.7596158549510034E-2</v>
      </c>
      <c r="CO233" s="569">
        <f>CO64*8/(CO230+CN230)</f>
        <v>3.1392694063926939E-2</v>
      </c>
      <c r="CP233" s="570">
        <v>0.03</v>
      </c>
      <c r="CQ233" s="570">
        <f t="shared" si="390"/>
        <v>0.03</v>
      </c>
      <c r="CR233" s="570">
        <f t="shared" si="390"/>
        <v>0.03</v>
      </c>
      <c r="CS233" s="424">
        <f ca="1">CS64/AVERAGE(CN230:CR230)</f>
        <v>3.1149529001210315E-2</v>
      </c>
      <c r="CT233" s="570">
        <f>CR233</f>
        <v>0.03</v>
      </c>
      <c r="CU233" s="570">
        <f t="shared" si="391"/>
        <v>0.03</v>
      </c>
      <c r="CV233" s="570">
        <f t="shared" si="391"/>
        <v>0.03</v>
      </c>
      <c r="CW233" s="570">
        <f t="shared" si="391"/>
        <v>0.03</v>
      </c>
      <c r="CX233" s="424">
        <f ca="1">CX64/AVERAGE(CS230:CW230)</f>
        <v>2.9745361278688601E-2</v>
      </c>
      <c r="CY233" s="570">
        <f>CW233</f>
        <v>0.03</v>
      </c>
      <c r="CZ233" s="570">
        <f t="shared" si="392"/>
        <v>0.03</v>
      </c>
      <c r="DA233" s="570">
        <f t="shared" si="392"/>
        <v>0.03</v>
      </c>
      <c r="DB233" s="570">
        <f t="shared" si="392"/>
        <v>0.03</v>
      </c>
      <c r="DC233" s="424">
        <f ca="1">DC64/AVERAGE(CX230:DB230)</f>
        <v>2.9868129664778389E-2</v>
      </c>
      <c r="DD233" s="570">
        <f>DB233</f>
        <v>0.03</v>
      </c>
      <c r="DE233" s="570">
        <f t="shared" si="393"/>
        <v>0.03</v>
      </c>
      <c r="DF233" s="570">
        <f t="shared" si="393"/>
        <v>0.03</v>
      </c>
      <c r="DG233" s="570">
        <f t="shared" si="393"/>
        <v>0.03</v>
      </c>
      <c r="DH233" s="424">
        <f ca="1">DH64/AVERAGE(DC230:DG230)</f>
        <v>2.9824299456234566E-2</v>
      </c>
      <c r="DI233" s="570">
        <f>DG233</f>
        <v>0.03</v>
      </c>
      <c r="DJ233" s="570">
        <f t="shared" si="394"/>
        <v>0.03</v>
      </c>
      <c r="DK233" s="570">
        <f t="shared" si="394"/>
        <v>0.03</v>
      </c>
      <c r="DL233" s="570">
        <f t="shared" si="394"/>
        <v>0.03</v>
      </c>
      <c r="DM233" s="424">
        <f ca="1">DM64/AVERAGE(DH230:DL230)</f>
        <v>2.9777779364336746E-2</v>
      </c>
      <c r="DN233" s="207"/>
    </row>
    <row r="234" spans="1:118" ht="15.75" x14ac:dyDescent="0.25">
      <c r="A234" s="20" t="s">
        <v>118</v>
      </c>
      <c r="C234" s="370"/>
      <c r="D234" s="370"/>
      <c r="E234" s="370"/>
      <c r="F234" s="370"/>
      <c r="G234" s="371"/>
      <c r="H234" s="370">
        <f>H231/(H61+F61+E61+D61)</f>
        <v>0.5520464067031905</v>
      </c>
      <c r="I234" s="370">
        <f>I231/(I61+H61+F61+E61)</f>
        <v>0.44755469755469757</v>
      </c>
      <c r="J234" s="370">
        <f>J231/(J61+I61+H61+F61)</f>
        <v>0.43807524624576133</v>
      </c>
      <c r="K234" s="370">
        <f>K231/(H61+I61+J61+K61)</f>
        <v>0.51730300568643384</v>
      </c>
      <c r="L234" s="371">
        <f>K234</f>
        <v>0.51730300568643384</v>
      </c>
      <c r="M234" s="370">
        <f>M231/(M61+K61+J61+I61)</f>
        <v>0.57613373055279704</v>
      </c>
      <c r="N234" s="370">
        <f>N231/(N61+M61+K61+J61)</f>
        <v>0.51009354997538159</v>
      </c>
      <c r="O234" s="370">
        <f>O231/(O61+N61+M61+K61)</f>
        <v>0.44261245397790938</v>
      </c>
      <c r="P234" s="370">
        <f>P231/(M61+N61+O61+P61)</f>
        <v>0.48068326947637291</v>
      </c>
      <c r="Q234" s="371">
        <f>P234</f>
        <v>0.48068326947637291</v>
      </c>
      <c r="R234" s="370">
        <f>R231/(R61+P61+O61+N61)</f>
        <v>0.47044766608252347</v>
      </c>
      <c r="S234" s="370">
        <f>S231/(S61+R61+P61+O61)</f>
        <v>0.36012658227848099</v>
      </c>
      <c r="T234" s="370">
        <f>T231/(T61+S61+R61+P61)</f>
        <v>0.26774752085628839</v>
      </c>
      <c r="U234" s="370">
        <f>U231/(R61+S61+T61+U61)</f>
        <v>0.30418429713211098</v>
      </c>
      <c r="V234" s="371">
        <f>U234</f>
        <v>0.30418429713211098</v>
      </c>
      <c r="W234" s="370">
        <f>W231/(W61+U61+T61+S61)</f>
        <v>0.30468633028896541</v>
      </c>
      <c r="X234" s="370">
        <f>X231/(X61+W61+U61+T61)</f>
        <v>0.19692617064062051</v>
      </c>
      <c r="Y234" s="370">
        <f>Y231/(Y61+X61+W61+U61)</f>
        <v>0.14304142181453347</v>
      </c>
      <c r="Z234" s="370">
        <f>Z231/(W61+X61+Y61+Z61)</f>
        <v>5.8139534883720929E-2</v>
      </c>
      <c r="AA234" s="371">
        <f>Z234</f>
        <v>5.8139534883720929E-2</v>
      </c>
      <c r="AB234" s="370">
        <f>AB231/(AB61+Z61+Y61+X61)</f>
        <v>-3.2749537234799944E-3</v>
      </c>
      <c r="AC234" s="370">
        <f>AC231/(AC61+AB61+Z61+Y61)</f>
        <v>-2.5116410328770988E-2</v>
      </c>
      <c r="AD234" s="370">
        <f>AD231/(AD61+AC61+AB61+Z61)</f>
        <v>-0.11978877153974431</v>
      </c>
      <c r="AE234" s="370">
        <f>AE231/(AB61+AC61+AD61+AE61)</f>
        <v>0.13124208749472499</v>
      </c>
      <c r="AF234" s="371">
        <f>AE234</f>
        <v>0.13124208749472499</v>
      </c>
      <c r="AG234" s="370">
        <f>AG231/(AG61+AE61+AD61+AC61)</f>
        <v>0.16355468201600448</v>
      </c>
      <c r="AH234" s="370">
        <f>AH231/(AH61+AG61+AE61+AD61)</f>
        <v>0.10985682819383259</v>
      </c>
      <c r="AI234" s="370">
        <f>AI231/(AI61+AH61+AG61+AE61)</f>
        <v>0.11055480378890392</v>
      </c>
      <c r="AJ234" s="370">
        <f>AJ231/(AG61+AH61+AI61+AJ61)</f>
        <v>0.2643662906436629</v>
      </c>
      <c r="AK234" s="371">
        <f>AJ234</f>
        <v>0.2643662906436629</v>
      </c>
      <c r="AL234" s="370">
        <f>AL231/(AL61+AJ61+AI61+AH61)</f>
        <v>0.34222050489438433</v>
      </c>
      <c r="AM234" s="370">
        <f>AM231/(AM61+AL61+AJ61+AI61)</f>
        <v>0.63830315058298193</v>
      </c>
      <c r="AN234" s="370">
        <f>AN231/(AN61+AM61+AL61+AJ61)</f>
        <v>0.58112980769230771</v>
      </c>
      <c r="AO234" s="370">
        <f>AO231/(AL61+AM61+AN61+AO61)</f>
        <v>0.57832296705828146</v>
      </c>
      <c r="AP234" s="371">
        <f>AO234</f>
        <v>0.57832296705828146</v>
      </c>
      <c r="AQ234" s="370">
        <f>AQ231/(AQ61+AO61+AN61+AM61)</f>
        <v>0.46938099966898378</v>
      </c>
      <c r="AR234" s="370">
        <f>AR231/(AR61+AQ61+AO61+AN61)</f>
        <v>0.44838373305526591</v>
      </c>
      <c r="AS234" s="370">
        <f>AS231/(AS61+AR61+AQ61+AO61)</f>
        <v>0.34614610585630912</v>
      </c>
      <c r="AT234" s="370">
        <f>AT231/(AQ61+AR61+AS61+AT61)</f>
        <v>0.43256464011180995</v>
      </c>
      <c r="AU234" s="371">
        <f>AT234</f>
        <v>0.43256464011180995</v>
      </c>
      <c r="AV234" s="370">
        <f>AV231/(AV61+AT61+AS61+AR61)</f>
        <v>0.51020408163265307</v>
      </c>
      <c r="AW234" s="370">
        <f>AW231/(AW61+AV61+AT61+AS61)</f>
        <v>0.3615440189906079</v>
      </c>
      <c r="AX234" s="370">
        <f>AX231/(AX61+AW61+AV61+AT61)</f>
        <v>0.21609599668976931</v>
      </c>
      <c r="AY234" s="370">
        <f>AY231/(AV61+AW61+AX61+AY61)</f>
        <v>0.2705521472392638</v>
      </c>
      <c r="AZ234" s="371">
        <f>AY234</f>
        <v>0.2705521472392638</v>
      </c>
      <c r="BA234" s="370">
        <f>BA231/(BA61+AY61+AX61+AW61)</f>
        <v>0.28084223013048637</v>
      </c>
      <c r="BB234" s="370">
        <f>BB231/(BB61+BA61+AY61+AX61)</f>
        <v>0.14750023898288883</v>
      </c>
      <c r="BC234" s="370">
        <f>BC231/(BC61+BB61+BA61+AY61)</f>
        <v>1.1951447245564892E-2</v>
      </c>
      <c r="BD234" s="370">
        <f>BD231/(BA61+BB61+BC61+BD61)</f>
        <v>1.0959898385048086</v>
      </c>
      <c r="BE234" s="371">
        <f>BD234</f>
        <v>1.0959898385048086</v>
      </c>
      <c r="BF234" s="370">
        <f>BF231/(BF61+BD61+BC61+BB61)</f>
        <v>1.2068724315817085</v>
      </c>
      <c r="BG234" s="370">
        <f>BG231/(BG61+BF61+BD61+BC61)</f>
        <v>1.0054536440257809</v>
      </c>
      <c r="BH234" s="370">
        <f>BH231/(BH61+BG61+BF61+BD61)</f>
        <v>0.99435869309723424</v>
      </c>
      <c r="BI234" s="370">
        <f>BI231/(BF61+BG61+BH61+BI61)</f>
        <v>1.1175792063980314</v>
      </c>
      <c r="BJ234" s="577">
        <f>BI234</f>
        <v>1.1175792063980314</v>
      </c>
      <c r="BK234" s="578">
        <f>BK231/(BK61+BI61+BH61+BG61)</f>
        <v>1.1773376324274527</v>
      </c>
      <c r="BL234" s="578">
        <f>BL231/(BL61+BK61+BI61+BH61)</f>
        <v>1.1821714285714287</v>
      </c>
      <c r="BM234" s="578">
        <f>BM231/(BM61+BL61+BK61+BI61)</f>
        <v>1.1266056457195601</v>
      </c>
      <c r="BN234" s="578">
        <f>BN231/(BK61+BL61+BM61+BN61)</f>
        <v>1.2136487303506651</v>
      </c>
      <c r="BO234" s="577">
        <f>BN234</f>
        <v>1.2136487303506651</v>
      </c>
      <c r="BP234" s="578">
        <f>BP231/(BP61+BN61+BM61+BL61)</f>
        <v>1.2544156332205938</v>
      </c>
      <c r="BQ234" s="578">
        <f>BQ231/(BQ61+BP61+BN61+BM61)</f>
        <v>1.2408104850858692</v>
      </c>
      <c r="BR234" s="578">
        <f>BR231/(BR61+BQ61+BP61+BN61)</f>
        <v>1.182548622062026</v>
      </c>
      <c r="BS234" s="578">
        <f>BS231/(BP61+BQ61+BR61+BS61)</f>
        <v>1.2700007554581854</v>
      </c>
      <c r="BT234" s="577">
        <f>BS234</f>
        <v>1.2700007554581854</v>
      </c>
      <c r="BU234" s="578">
        <f>BU231/(BU61+BS61+BR61+BQ61)</f>
        <v>1.4526557126480704</v>
      </c>
      <c r="BV234" s="578">
        <f>BV231/(BV61+BU61+BS61+BR61)</f>
        <v>1.4319526627218935</v>
      </c>
      <c r="BW234" s="578">
        <f>BW231/(BW61+BV61+BU61+BS61)</f>
        <v>1.3900752803810108</v>
      </c>
      <c r="BX234" s="578">
        <f>BX231/(BX61+BW61+BV61+BT61)</f>
        <v>0.86378308586184638</v>
      </c>
      <c r="BY234" s="577">
        <f>BX234</f>
        <v>0.86378308586184638</v>
      </c>
      <c r="BZ234" s="578">
        <f>BZ231/(BZ61+BX61+BW61+BV61)</f>
        <v>1.7305647584559674</v>
      </c>
      <c r="CA234" s="578">
        <f>CA231/(CA61+BZ61+BX61+BW61)</f>
        <v>1.832981798297008</v>
      </c>
      <c r="CB234" s="578">
        <f>CB231/(CB61+CA61+BZ61+BX61)</f>
        <v>1.852508308276626</v>
      </c>
      <c r="CC234" s="578">
        <f>CC231/(BZ61+CA61+CB61+CC61)</f>
        <v>1.9697804423559913</v>
      </c>
      <c r="CD234" s="577">
        <f>CC234</f>
        <v>1.9697804423559913</v>
      </c>
      <c r="CE234" s="578">
        <f>CE231/(CE61+CC61+CB61+CA61)</f>
        <v>2.0072552376294124</v>
      </c>
      <c r="CF234" s="578">
        <f>CF231/(CF61+CE61+CC61+CB61)</f>
        <v>1.9779702970297031</v>
      </c>
      <c r="CG234" s="578">
        <f>CG231/(CG61+CF61+CE61+CC61)</f>
        <v>1.8297422898183355</v>
      </c>
      <c r="CH234" s="578">
        <f>CH231/(CE61+CF61+CG61+CH61)</f>
        <v>2.0015325670498085</v>
      </c>
      <c r="CI234" s="577">
        <f>CH234</f>
        <v>2.0015325670498085</v>
      </c>
      <c r="CJ234" s="578">
        <f>CJ231/(CJ61+CH61+CG61+CF61)</f>
        <v>1.9478108581436078</v>
      </c>
      <c r="CK234" s="578">
        <f>CK231/(CK61+CJ61+CH61+CG61)</f>
        <v>2.0147415730337079</v>
      </c>
      <c r="CL234" s="578">
        <f>CL231/(CL61+CK61+CJ61+CH61)</f>
        <v>1.9833074888260513</v>
      </c>
      <c r="CM234" s="578">
        <f>CM231/(CJ61+CK61+CL61+CM61)</f>
        <v>2.5009259259259258</v>
      </c>
      <c r="CN234" s="577">
        <f>CM234</f>
        <v>2.5009259259259258</v>
      </c>
      <c r="CO234" s="578">
        <f>CO231/(CO61+CM61+CL61+CK61)</f>
        <v>2.5467811951602477</v>
      </c>
      <c r="CP234" s="578">
        <f ca="1">CP231/(CP61+CO61+CM61+CL61)</f>
        <v>2.1293075448711525</v>
      </c>
      <c r="CQ234" s="578">
        <f ca="1">CQ231/(CQ61+CP61+CO61+CM61)</f>
        <v>2.0522706767975656</v>
      </c>
      <c r="CR234" s="578">
        <f ca="1">CR231/(CO61+CP61+CQ61+CR61)</f>
        <v>2.1133157452414619</v>
      </c>
      <c r="CS234" s="577">
        <f ca="1">CR234</f>
        <v>2.1133157452414619</v>
      </c>
      <c r="CT234" s="578">
        <f ca="1">CT231/(CT61+CR61+CQ61+CP61)</f>
        <v>2.4432492335738707</v>
      </c>
      <c r="CU234" s="578">
        <f ca="1">CU231/(CU61+CT61+CR61+CQ61)</f>
        <v>1.9711761848978389</v>
      </c>
      <c r="CV234" s="578">
        <f ca="1">CV231/(CV61+CU61+CT61+CR61)</f>
        <v>1.8777279973894141</v>
      </c>
      <c r="CW234" s="578">
        <f ca="1">CW231/(CT61+CU61+CV61+CW61)</f>
        <v>1.9396444415316014</v>
      </c>
      <c r="CX234" s="577">
        <f ca="1">CW234</f>
        <v>1.9396444415316014</v>
      </c>
      <c r="CY234" s="578">
        <f ca="1">CY231/(CY61+CW61+CV61+CU61)</f>
        <v>2.2705698098012514</v>
      </c>
      <c r="CZ234" s="578">
        <f ca="1">CZ231/(CZ61+CY61+CW61+CV61)</f>
        <v>1.8304816858503976</v>
      </c>
      <c r="DA234" s="578">
        <f ca="1">DA231/(DA61+CZ61+CY61+CW61)</f>
        <v>1.7409250006788373</v>
      </c>
      <c r="DB234" s="578">
        <f ca="1">DB231/(CY61+CZ61+DA61+DB61)</f>
        <v>1.7960652162747965</v>
      </c>
      <c r="DC234" s="577">
        <f ca="1">DB234</f>
        <v>1.7960652162747965</v>
      </c>
      <c r="DD234" s="578">
        <f ca="1">DD231/(DD61+DB61+DA61+CZ61)</f>
        <v>2.1266448936788014</v>
      </c>
      <c r="DE234" s="578">
        <f ca="1">DE231/(DE61+DD61+DB61+DA61)</f>
        <v>1.7122752634671508</v>
      </c>
      <c r="DF234" s="578">
        <f ca="1">DF231/(DF61+DE61+DD61+DB61)</f>
        <v>1.622904000959557</v>
      </c>
      <c r="DG234" s="578">
        <f ca="1">DG231/(DD61+DE61+DF61+DG61)</f>
        <v>1.6690567688168483</v>
      </c>
      <c r="DH234" s="577">
        <f ca="1">DG234</f>
        <v>1.6690567688168483</v>
      </c>
      <c r="DI234" s="578">
        <f ca="1">DI231/(DI61+DG61+DF61+DE61)</f>
        <v>1.9989909774330892</v>
      </c>
      <c r="DJ234" s="578">
        <f ca="1">DJ231/(DJ61+DI61+DG61+DF61)</f>
        <v>1.6070864243324716</v>
      </c>
      <c r="DK234" s="578">
        <f ca="1">DK231/(DK61+DJ61+DI61+DG61)</f>
        <v>1.5170108778382434</v>
      </c>
      <c r="DL234" s="578">
        <f ca="1">DL231/(DI61+DJ61+DK61+DL61)</f>
        <v>1.5544687942784376</v>
      </c>
      <c r="DM234" s="577">
        <f ca="1">DL234</f>
        <v>1.5544687942784376</v>
      </c>
      <c r="DN234" s="207"/>
    </row>
    <row r="235" spans="1:118" ht="13.5" customHeight="1" x14ac:dyDescent="0.2">
      <c r="G235" s="225"/>
      <c r="L235" s="225"/>
      <c r="Q235" s="225"/>
      <c r="V235" s="225"/>
      <c r="AA235" s="225"/>
      <c r="AF235" s="225"/>
      <c r="AK235" s="225"/>
      <c r="AP235" s="225"/>
      <c r="AU235" s="225"/>
      <c r="AZ235" s="225"/>
      <c r="BD235" s="372"/>
      <c r="BE235" s="219"/>
      <c r="BJ235" s="443"/>
      <c r="BK235" s="418"/>
      <c r="BL235" s="418"/>
      <c r="BM235" s="418"/>
      <c r="BN235" s="418"/>
      <c r="BO235" s="443"/>
      <c r="BP235" s="418"/>
      <c r="BQ235" s="418"/>
      <c r="BR235" s="418"/>
      <c r="BS235" s="418"/>
      <c r="BT235" s="443"/>
      <c r="BU235" s="418"/>
      <c r="BV235" s="418"/>
      <c r="BW235" s="418"/>
      <c r="BX235" s="418"/>
      <c r="BY235" s="579"/>
      <c r="BZ235" s="418"/>
      <c r="CA235" s="418"/>
      <c r="CB235" s="418"/>
      <c r="CC235" s="418"/>
      <c r="CD235" s="443"/>
      <c r="CE235" s="418"/>
      <c r="CF235" s="418"/>
      <c r="CG235" s="418"/>
      <c r="CH235" s="418"/>
      <c r="CI235" s="834"/>
      <c r="CJ235" s="418"/>
      <c r="CK235" s="418"/>
      <c r="CL235" s="418"/>
      <c r="CM235" s="418"/>
      <c r="CN235" s="443"/>
      <c r="CO235" s="418"/>
      <c r="CP235" s="418"/>
      <c r="CQ235" s="418"/>
      <c r="CR235" s="418"/>
      <c r="CS235" s="443"/>
      <c r="CT235" s="418"/>
      <c r="CU235" s="418"/>
      <c r="CV235" s="418"/>
      <c r="CW235" s="418"/>
      <c r="CX235" s="443"/>
      <c r="CY235" s="418"/>
      <c r="CZ235" s="418"/>
      <c r="DA235" s="418"/>
      <c r="DB235" s="418"/>
      <c r="DC235" s="443"/>
      <c r="DD235" s="418"/>
      <c r="DE235" s="418"/>
      <c r="DF235" s="418"/>
      <c r="DG235" s="418"/>
      <c r="DH235" s="443"/>
      <c r="DI235" s="418"/>
      <c r="DJ235" s="418"/>
      <c r="DK235" s="418"/>
      <c r="DL235" s="418"/>
      <c r="DM235" s="443"/>
      <c r="DN235" s="207"/>
    </row>
    <row r="236" spans="1:118" ht="15.75" x14ac:dyDescent="0.25">
      <c r="A236" s="20" t="s">
        <v>122</v>
      </c>
      <c r="C236" s="368"/>
      <c r="D236" s="368"/>
      <c r="E236" s="368"/>
      <c r="F236" s="368"/>
      <c r="G236" s="373"/>
      <c r="H236" s="368">
        <f t="shared" ref="H236:AY236" si="395">H130-H114-H115-H116-H117-H134-H137</f>
        <v>14824</v>
      </c>
      <c r="I236" s="368">
        <f t="shared" si="395"/>
        <v>14643</v>
      </c>
      <c r="J236" s="368">
        <f t="shared" si="395"/>
        <v>15211</v>
      </c>
      <c r="K236" s="368">
        <f t="shared" si="395"/>
        <v>15953</v>
      </c>
      <c r="L236" s="373">
        <f t="shared" si="395"/>
        <v>15953</v>
      </c>
      <c r="M236" s="368">
        <f t="shared" si="395"/>
        <v>16295</v>
      </c>
      <c r="N236" s="368">
        <f t="shared" si="395"/>
        <v>16758</v>
      </c>
      <c r="O236" s="368">
        <f t="shared" si="395"/>
        <v>17119</v>
      </c>
      <c r="P236" s="368">
        <f t="shared" si="395"/>
        <v>17375</v>
      </c>
      <c r="Q236" s="373">
        <f t="shared" si="395"/>
        <v>17375</v>
      </c>
      <c r="R236" s="368">
        <f t="shared" si="395"/>
        <v>17864</v>
      </c>
      <c r="S236" s="368">
        <f t="shared" si="395"/>
        <v>18594</v>
      </c>
      <c r="T236" s="368">
        <f t="shared" si="395"/>
        <v>18038</v>
      </c>
      <c r="U236" s="368">
        <f t="shared" si="395"/>
        <v>18880</v>
      </c>
      <c r="V236" s="373">
        <f t="shared" si="395"/>
        <v>18880</v>
      </c>
      <c r="W236" s="368">
        <f t="shared" si="395"/>
        <v>19620</v>
      </c>
      <c r="X236" s="368">
        <f t="shared" si="395"/>
        <v>19342</v>
      </c>
      <c r="Y236" s="368">
        <f t="shared" si="395"/>
        <v>18897</v>
      </c>
      <c r="Z236" s="368">
        <f t="shared" si="395"/>
        <v>19609</v>
      </c>
      <c r="AA236" s="373">
        <f t="shared" si="395"/>
        <v>19609</v>
      </c>
      <c r="AB236" s="368">
        <f t="shared" si="395"/>
        <v>19814</v>
      </c>
      <c r="AC236" s="368">
        <f t="shared" si="395"/>
        <v>19560</v>
      </c>
      <c r="AD236" s="368">
        <f t="shared" si="395"/>
        <v>18944</v>
      </c>
      <c r="AE236" s="368">
        <f t="shared" si="395"/>
        <v>19370</v>
      </c>
      <c r="AF236" s="373">
        <f t="shared" si="395"/>
        <v>19370</v>
      </c>
      <c r="AG236" s="368">
        <f t="shared" si="395"/>
        <v>19709</v>
      </c>
      <c r="AH236" s="368">
        <f t="shared" si="395"/>
        <v>20196</v>
      </c>
      <c r="AI236" s="368">
        <f t="shared" si="395"/>
        <v>21644</v>
      </c>
      <c r="AJ236" s="368">
        <f t="shared" si="395"/>
        <v>21751</v>
      </c>
      <c r="AK236" s="373">
        <f t="shared" si="395"/>
        <v>21751</v>
      </c>
      <c r="AL236" s="368">
        <f t="shared" si="395"/>
        <v>23071</v>
      </c>
      <c r="AM236" s="368">
        <f t="shared" si="395"/>
        <v>28288</v>
      </c>
      <c r="AN236" s="368">
        <f t="shared" si="395"/>
        <v>29345</v>
      </c>
      <c r="AO236" s="368">
        <f t="shared" si="395"/>
        <v>31788</v>
      </c>
      <c r="AP236" s="373">
        <f t="shared" si="395"/>
        <v>31788</v>
      </c>
      <c r="AQ236" s="368">
        <f t="shared" si="395"/>
        <v>32411</v>
      </c>
      <c r="AR236" s="368">
        <f t="shared" si="395"/>
        <v>32537</v>
      </c>
      <c r="AS236" s="368">
        <f t="shared" si="395"/>
        <v>32156</v>
      </c>
      <c r="AT236" s="368">
        <f t="shared" si="395"/>
        <v>29083</v>
      </c>
      <c r="AU236" s="373">
        <f t="shared" si="395"/>
        <v>29083</v>
      </c>
      <c r="AV236" s="368">
        <f t="shared" si="395"/>
        <v>30017</v>
      </c>
      <c r="AW236" s="368">
        <f t="shared" si="395"/>
        <v>30973</v>
      </c>
      <c r="AX236" s="368">
        <f t="shared" si="395"/>
        <v>30758</v>
      </c>
      <c r="AY236" s="368">
        <f t="shared" si="395"/>
        <v>32537</v>
      </c>
      <c r="AZ236" s="373">
        <f t="shared" ref="AZ236:CE236" si="396">AZ130-AZ114-AZ115-AZ116-AZ117-AZ134-AZ137-AZ123-AZ124</f>
        <v>25782</v>
      </c>
      <c r="BA236" s="368">
        <f t="shared" si="396"/>
        <v>25493</v>
      </c>
      <c r="BB236" s="368">
        <f t="shared" si="396"/>
        <v>24888</v>
      </c>
      <c r="BC236" s="368">
        <f t="shared" si="396"/>
        <v>25010</v>
      </c>
      <c r="BD236" s="368">
        <f t="shared" si="396"/>
        <v>44867</v>
      </c>
      <c r="BE236" s="373">
        <f t="shared" si="396"/>
        <v>44867</v>
      </c>
      <c r="BF236" s="368">
        <f t="shared" si="396"/>
        <v>47669</v>
      </c>
      <c r="BG236" s="368">
        <f t="shared" si="396"/>
        <v>48235</v>
      </c>
      <c r="BH236" s="368">
        <f t="shared" si="396"/>
        <v>46818</v>
      </c>
      <c r="BI236" s="368">
        <f t="shared" si="396"/>
        <v>48194</v>
      </c>
      <c r="BJ236" s="580">
        <f t="shared" si="396"/>
        <v>48194</v>
      </c>
      <c r="BK236" s="576">
        <f t="shared" si="396"/>
        <v>49125</v>
      </c>
      <c r="BL236" s="576">
        <f t="shared" si="396"/>
        <v>48557</v>
      </c>
      <c r="BM236" s="576">
        <f t="shared" si="396"/>
        <v>47962</v>
      </c>
      <c r="BN236" s="576">
        <f t="shared" si="396"/>
        <v>49228</v>
      </c>
      <c r="BO236" s="580">
        <f t="shared" si="396"/>
        <v>49228</v>
      </c>
      <c r="BP236" s="576">
        <f t="shared" si="396"/>
        <v>48670</v>
      </c>
      <c r="BQ236" s="576">
        <f t="shared" si="396"/>
        <v>48507</v>
      </c>
      <c r="BR236" s="576">
        <f t="shared" si="396"/>
        <v>46430</v>
      </c>
      <c r="BS236" s="576">
        <f t="shared" si="396"/>
        <v>48389</v>
      </c>
      <c r="BT236" s="580">
        <f t="shared" si="396"/>
        <v>48389</v>
      </c>
      <c r="BU236" s="576">
        <f t="shared" si="396"/>
        <v>48474</v>
      </c>
      <c r="BV236" s="576">
        <f t="shared" si="396"/>
        <v>48393</v>
      </c>
      <c r="BW236" s="576">
        <f t="shared" si="396"/>
        <v>47220</v>
      </c>
      <c r="BX236" s="576">
        <f t="shared" si="396"/>
        <v>47031</v>
      </c>
      <c r="BY236" s="580">
        <f t="shared" si="396"/>
        <v>47031</v>
      </c>
      <c r="BZ236" s="576">
        <f t="shared" si="396"/>
        <v>47372</v>
      </c>
      <c r="CA236" s="576">
        <f t="shared" si="396"/>
        <v>45954</v>
      </c>
      <c r="CB236" s="576">
        <f t="shared" si="396"/>
        <v>43992</v>
      </c>
      <c r="CC236" s="576">
        <f t="shared" si="396"/>
        <v>43281</v>
      </c>
      <c r="CD236" s="580">
        <f t="shared" si="396"/>
        <v>43281</v>
      </c>
      <c r="CE236" s="576">
        <f t="shared" si="396"/>
        <v>44113</v>
      </c>
      <c r="CF236" s="576">
        <f t="shared" ref="CF236:DM236" si="397">CF130-CF114-CF115-CF116-CF117-CF134-CF137-CF123-CF124</f>
        <v>41772</v>
      </c>
      <c r="CG236" s="576">
        <f t="shared" si="397"/>
        <v>38100</v>
      </c>
      <c r="CH236" s="576">
        <f t="shared" si="397"/>
        <v>37313</v>
      </c>
      <c r="CI236" s="580">
        <f t="shared" si="397"/>
        <v>37313</v>
      </c>
      <c r="CJ236" s="576">
        <f t="shared" si="397"/>
        <v>35268</v>
      </c>
      <c r="CK236" s="576">
        <f t="shared" si="397"/>
        <v>30922</v>
      </c>
      <c r="CL236" s="576">
        <f t="shared" si="397"/>
        <v>29393</v>
      </c>
      <c r="CM236" s="576">
        <f t="shared" si="397"/>
        <v>34578</v>
      </c>
      <c r="CN236" s="580">
        <f t="shared" si="397"/>
        <v>34578</v>
      </c>
      <c r="CO236" s="576">
        <f t="shared" si="397"/>
        <v>37067</v>
      </c>
      <c r="CP236" s="576">
        <f t="shared" ca="1" si="397"/>
        <v>29126.487076775113</v>
      </c>
      <c r="CQ236" s="576">
        <f t="shared" ca="1" si="397"/>
        <v>29066.459783419974</v>
      </c>
      <c r="CR236" s="576">
        <f t="shared" ca="1" si="397"/>
        <v>34676.401056111077</v>
      </c>
      <c r="CS236" s="580">
        <f t="shared" ca="1" si="397"/>
        <v>34676.401056111077</v>
      </c>
      <c r="CT236" s="576">
        <f t="shared" ca="1" si="397"/>
        <v>39442.859038224356</v>
      </c>
      <c r="CU236" s="576">
        <f t="shared" ca="1" si="397"/>
        <v>31149.126550041139</v>
      </c>
      <c r="CV236" s="576">
        <f t="shared" ca="1" si="397"/>
        <v>30854.050264977304</v>
      </c>
      <c r="CW236" s="576">
        <f t="shared" ca="1" si="397"/>
        <v>36423.894312303222</v>
      </c>
      <c r="CX236" s="580">
        <f t="shared" ca="1" si="397"/>
        <v>36423.894312303222</v>
      </c>
      <c r="CY236" s="576">
        <f t="shared" ca="1" si="397"/>
        <v>41432.070824935661</v>
      </c>
      <c r="CZ236" s="576">
        <f t="shared" ca="1" si="397"/>
        <v>32924.63562121852</v>
      </c>
      <c r="DA236" s="576">
        <f t="shared" ca="1" si="397"/>
        <v>32563.925627424404</v>
      </c>
      <c r="DB236" s="576">
        <f t="shared" ca="1" si="397"/>
        <v>38252.864096833997</v>
      </c>
      <c r="DC236" s="580">
        <f t="shared" ca="1" si="397"/>
        <v>38252.864096833997</v>
      </c>
      <c r="DD236" s="576">
        <f t="shared" ca="1" si="397"/>
        <v>43441.101343793605</v>
      </c>
      <c r="DE236" s="576">
        <f t="shared" ca="1" si="397"/>
        <v>34755.747754345895</v>
      </c>
      <c r="DF236" s="576">
        <f t="shared" ca="1" si="397"/>
        <v>34327.872837276183</v>
      </c>
      <c r="DG236" s="576">
        <f t="shared" ca="1" si="397"/>
        <v>40119.639830898617</v>
      </c>
      <c r="DH236" s="580">
        <f t="shared" ca="1" si="397"/>
        <v>40119.639830898617</v>
      </c>
      <c r="DI236" s="576">
        <f t="shared" ca="1" si="397"/>
        <v>45509.374032444757</v>
      </c>
      <c r="DJ236" s="576">
        <f t="shared" ca="1" si="397"/>
        <v>36660.059499629278</v>
      </c>
      <c r="DK236" s="576">
        <f t="shared" ca="1" si="397"/>
        <v>36161.647305455925</v>
      </c>
      <c r="DL236" s="576">
        <f t="shared" ca="1" si="397"/>
        <v>42044.12315507749</v>
      </c>
      <c r="DM236" s="580">
        <f t="shared" ca="1" si="397"/>
        <v>42044.12315507749</v>
      </c>
      <c r="DN236" s="207"/>
    </row>
    <row r="237" spans="1:118" ht="15" x14ac:dyDescent="0.2">
      <c r="A237" s="220"/>
      <c r="B237" s="220"/>
      <c r="C237" s="220"/>
      <c r="D237" s="220"/>
      <c r="E237" s="220"/>
      <c r="F237" s="220"/>
      <c r="G237" s="220"/>
      <c r="H237" s="220"/>
      <c r="I237" s="220"/>
      <c r="J237" s="220"/>
      <c r="K237" s="220"/>
      <c r="L237" s="220"/>
      <c r="M237" s="220"/>
      <c r="N237" s="220"/>
      <c r="O237" s="220"/>
      <c r="P237" s="220"/>
      <c r="Q237" s="220"/>
      <c r="R237" s="220"/>
      <c r="S237" s="220"/>
      <c r="T237" s="220"/>
      <c r="U237" s="220"/>
      <c r="V237" s="220"/>
      <c r="W237" s="220"/>
      <c r="X237" s="220"/>
      <c r="Y237" s="220"/>
      <c r="Z237" s="220"/>
      <c r="AA237" s="220"/>
      <c r="AB237" s="220"/>
      <c r="AC237" s="220"/>
      <c r="AD237" s="220"/>
      <c r="AE237" s="220"/>
      <c r="AF237" s="220"/>
      <c r="AG237" s="220"/>
      <c r="AH237" s="220"/>
      <c r="AI237" s="220"/>
      <c r="AJ237" s="220"/>
      <c r="AK237" s="220"/>
      <c r="AL237" s="220"/>
      <c r="AM237" s="220"/>
      <c r="AN237" s="220"/>
      <c r="AO237" s="220"/>
      <c r="AP237" s="220"/>
      <c r="AQ237" s="220"/>
      <c r="AR237" s="220"/>
      <c r="AS237" s="220"/>
      <c r="AT237" s="220"/>
      <c r="AU237" s="220"/>
      <c r="AV237" s="220"/>
      <c r="AW237" s="220"/>
      <c r="AX237" s="220"/>
      <c r="AY237" s="220"/>
      <c r="AZ237" s="220"/>
      <c r="BA237" s="220"/>
      <c r="BB237" s="220"/>
      <c r="BC237" s="220"/>
      <c r="BD237" s="374"/>
      <c r="BE237" s="220"/>
      <c r="BF237" s="220"/>
      <c r="BG237" s="220"/>
      <c r="BH237" s="220"/>
      <c r="BI237" s="220"/>
      <c r="BJ237" s="444"/>
      <c r="BK237" s="444"/>
      <c r="BL237" s="444"/>
      <c r="BM237" s="444"/>
      <c r="BN237" s="444"/>
      <c r="BO237" s="444"/>
      <c r="BP237" s="444"/>
      <c r="BQ237" s="444"/>
      <c r="BR237" s="444"/>
      <c r="BS237" s="444"/>
      <c r="BT237" s="444"/>
      <c r="BU237" s="444"/>
      <c r="BV237" s="444"/>
      <c r="BW237" s="444"/>
      <c r="BX237" s="444"/>
      <c r="BY237" s="444"/>
      <c r="BZ237" s="444"/>
      <c r="CA237" s="444"/>
      <c r="CB237" s="444"/>
      <c r="CC237" s="444"/>
      <c r="CD237" s="444"/>
      <c r="CE237" s="444"/>
      <c r="CF237" s="444"/>
      <c r="CG237" s="444"/>
      <c r="CH237" s="444"/>
      <c r="CI237" s="444"/>
      <c r="CJ237" s="444"/>
      <c r="CK237" s="444"/>
      <c r="CL237" s="444"/>
      <c r="CM237" s="444"/>
      <c r="CN237" s="444"/>
      <c r="CO237" s="444"/>
      <c r="CP237" s="444"/>
      <c r="CQ237" s="444"/>
      <c r="CR237" s="444"/>
      <c r="CS237" s="444"/>
      <c r="CT237" s="444"/>
      <c r="CU237" s="444"/>
      <c r="CV237" s="444"/>
      <c r="CW237" s="444"/>
      <c r="CX237" s="444"/>
      <c r="CY237" s="444"/>
      <c r="CZ237" s="444"/>
      <c r="DA237" s="444"/>
      <c r="DB237" s="444"/>
      <c r="DC237" s="444"/>
      <c r="DD237" s="444"/>
      <c r="DE237" s="444"/>
      <c r="DF237" s="444"/>
      <c r="DG237" s="444"/>
      <c r="DH237" s="444"/>
      <c r="DI237" s="444"/>
      <c r="DJ237" s="444"/>
      <c r="DK237" s="444"/>
      <c r="DL237" s="444"/>
      <c r="DM237" s="444"/>
      <c r="DN237" s="220"/>
    </row>
    <row r="238" spans="1:118" ht="15.75" x14ac:dyDescent="0.25">
      <c r="A238" s="346" t="s">
        <v>123</v>
      </c>
      <c r="B238" s="201"/>
      <c r="C238" s="202"/>
      <c r="D238" s="202"/>
      <c r="E238" s="202"/>
      <c r="F238" s="202"/>
      <c r="G238" s="203" t="str">
        <f t="shared" ref="G238:AL238" si="398">G4</f>
        <v>FY2000</v>
      </c>
      <c r="H238" s="202">
        <f t="shared" si="398"/>
        <v>36981</v>
      </c>
      <c r="I238" s="202">
        <f t="shared" si="398"/>
        <v>37051</v>
      </c>
      <c r="J238" s="202">
        <f t="shared" si="398"/>
        <v>37143</v>
      </c>
      <c r="K238" s="202">
        <f t="shared" si="398"/>
        <v>37234</v>
      </c>
      <c r="L238" s="203" t="str">
        <f t="shared" si="398"/>
        <v>FY2001</v>
      </c>
      <c r="M238" s="202">
        <f t="shared" si="398"/>
        <v>37346</v>
      </c>
      <c r="N238" s="202">
        <f t="shared" si="398"/>
        <v>37416</v>
      </c>
      <c r="O238" s="202">
        <f t="shared" si="398"/>
        <v>37508</v>
      </c>
      <c r="P238" s="202">
        <f t="shared" si="398"/>
        <v>37599</v>
      </c>
      <c r="Q238" s="203" t="str">
        <f t="shared" si="398"/>
        <v>FY2002</v>
      </c>
      <c r="R238" s="202">
        <f t="shared" si="398"/>
        <v>37711</v>
      </c>
      <c r="S238" s="202">
        <f t="shared" si="398"/>
        <v>37781</v>
      </c>
      <c r="T238" s="202">
        <f t="shared" si="398"/>
        <v>37873</v>
      </c>
      <c r="U238" s="202">
        <f t="shared" si="398"/>
        <v>37964</v>
      </c>
      <c r="V238" s="203" t="str">
        <f t="shared" si="398"/>
        <v>FY2003</v>
      </c>
      <c r="W238" s="202">
        <f t="shared" si="398"/>
        <v>38077</v>
      </c>
      <c r="X238" s="202">
        <f t="shared" si="398"/>
        <v>38147</v>
      </c>
      <c r="Y238" s="202">
        <f t="shared" si="398"/>
        <v>38239</v>
      </c>
      <c r="Z238" s="202">
        <f t="shared" si="398"/>
        <v>38330</v>
      </c>
      <c r="AA238" s="203" t="str">
        <f t="shared" si="398"/>
        <v>FY2004</v>
      </c>
      <c r="AB238" s="202">
        <f t="shared" si="398"/>
        <v>38442</v>
      </c>
      <c r="AC238" s="202">
        <f t="shared" si="398"/>
        <v>38512</v>
      </c>
      <c r="AD238" s="202">
        <f t="shared" si="398"/>
        <v>38604</v>
      </c>
      <c r="AE238" s="202">
        <f t="shared" si="398"/>
        <v>38695</v>
      </c>
      <c r="AF238" s="203" t="str">
        <f t="shared" si="398"/>
        <v>FY2005</v>
      </c>
      <c r="AG238" s="202">
        <f t="shared" si="398"/>
        <v>38807</v>
      </c>
      <c r="AH238" s="202">
        <f t="shared" si="398"/>
        <v>38877</v>
      </c>
      <c r="AI238" s="202">
        <f t="shared" si="398"/>
        <v>38969</v>
      </c>
      <c r="AJ238" s="202">
        <f t="shared" si="398"/>
        <v>39060</v>
      </c>
      <c r="AK238" s="203" t="str">
        <f t="shared" si="398"/>
        <v>FY2006</v>
      </c>
      <c r="AL238" s="202">
        <f t="shared" si="398"/>
        <v>39172</v>
      </c>
      <c r="AM238" s="202">
        <f t="shared" ref="AM238:BR238" si="399">AM4</f>
        <v>39242</v>
      </c>
      <c r="AN238" s="202">
        <f t="shared" si="399"/>
        <v>39334</v>
      </c>
      <c r="AO238" s="202">
        <f t="shared" si="399"/>
        <v>39425</v>
      </c>
      <c r="AP238" s="203" t="str">
        <f t="shared" si="399"/>
        <v>FY2007</v>
      </c>
      <c r="AQ238" s="202">
        <f t="shared" si="399"/>
        <v>39538</v>
      </c>
      <c r="AR238" s="202">
        <f t="shared" si="399"/>
        <v>39608</v>
      </c>
      <c r="AS238" s="202">
        <f t="shared" si="399"/>
        <v>39700</v>
      </c>
      <c r="AT238" s="202">
        <f t="shared" si="399"/>
        <v>39791</v>
      </c>
      <c r="AU238" s="203" t="str">
        <f t="shared" si="399"/>
        <v>FY2008</v>
      </c>
      <c r="AV238" s="202">
        <f t="shared" si="399"/>
        <v>39903</v>
      </c>
      <c r="AW238" s="202">
        <f t="shared" si="399"/>
        <v>39973</v>
      </c>
      <c r="AX238" s="202">
        <f t="shared" si="399"/>
        <v>40065</v>
      </c>
      <c r="AY238" s="202">
        <f t="shared" si="399"/>
        <v>40156</v>
      </c>
      <c r="AZ238" s="203" t="str">
        <f t="shared" si="399"/>
        <v>FY2009</v>
      </c>
      <c r="BA238" s="202">
        <f t="shared" si="399"/>
        <v>40247</v>
      </c>
      <c r="BB238" s="202">
        <f t="shared" si="399"/>
        <v>40339</v>
      </c>
      <c r="BC238" s="202">
        <f t="shared" si="399"/>
        <v>40431</v>
      </c>
      <c r="BD238" s="202">
        <f t="shared" si="399"/>
        <v>40522</v>
      </c>
      <c r="BE238" s="203" t="str">
        <f t="shared" si="399"/>
        <v>FY2010</v>
      </c>
      <c r="BF238" s="202">
        <f t="shared" si="399"/>
        <v>40613</v>
      </c>
      <c r="BG238" s="202">
        <f t="shared" si="399"/>
        <v>40705</v>
      </c>
      <c r="BH238" s="202">
        <f t="shared" si="399"/>
        <v>40797</v>
      </c>
      <c r="BI238" s="202">
        <f t="shared" si="399"/>
        <v>40888</v>
      </c>
      <c r="BJ238" s="416" t="str">
        <f t="shared" si="399"/>
        <v>FY2011</v>
      </c>
      <c r="BK238" s="414">
        <f t="shared" si="399"/>
        <v>40980</v>
      </c>
      <c r="BL238" s="414">
        <f t="shared" si="399"/>
        <v>41072</v>
      </c>
      <c r="BM238" s="414">
        <f t="shared" si="399"/>
        <v>41164</v>
      </c>
      <c r="BN238" s="414">
        <f t="shared" si="399"/>
        <v>41274</v>
      </c>
      <c r="BO238" s="416" t="str">
        <f t="shared" si="399"/>
        <v>FY2012</v>
      </c>
      <c r="BP238" s="414">
        <f t="shared" si="399"/>
        <v>41346</v>
      </c>
      <c r="BQ238" s="414">
        <f t="shared" si="399"/>
        <v>41438</v>
      </c>
      <c r="BR238" s="414">
        <f t="shared" si="399"/>
        <v>41530</v>
      </c>
      <c r="BS238" s="414">
        <f t="shared" ref="BS238:CX238" si="400">BS4</f>
        <v>41621</v>
      </c>
      <c r="BT238" s="416" t="str">
        <f t="shared" si="400"/>
        <v>FY2013</v>
      </c>
      <c r="BU238" s="414">
        <f t="shared" si="400"/>
        <v>41712</v>
      </c>
      <c r="BV238" s="414">
        <f t="shared" si="400"/>
        <v>41804</v>
      </c>
      <c r="BW238" s="414">
        <f t="shared" si="400"/>
        <v>41896</v>
      </c>
      <c r="BX238" s="414">
        <f t="shared" si="400"/>
        <v>41987</v>
      </c>
      <c r="BY238" s="416" t="str">
        <f t="shared" si="400"/>
        <v>FY2014</v>
      </c>
      <c r="BZ238" s="414">
        <f t="shared" si="400"/>
        <v>42078</v>
      </c>
      <c r="CA238" s="414">
        <f t="shared" si="400"/>
        <v>42170</v>
      </c>
      <c r="CB238" s="414">
        <f t="shared" si="400"/>
        <v>42262</v>
      </c>
      <c r="CC238" s="414">
        <f t="shared" si="400"/>
        <v>42353</v>
      </c>
      <c r="CD238" s="416" t="str">
        <f t="shared" si="400"/>
        <v>FY2015</v>
      </c>
      <c r="CE238" s="414">
        <f t="shared" si="400"/>
        <v>42445</v>
      </c>
      <c r="CF238" s="414">
        <f t="shared" si="400"/>
        <v>42537</v>
      </c>
      <c r="CG238" s="414">
        <f t="shared" si="400"/>
        <v>42629</v>
      </c>
      <c r="CH238" s="414">
        <f t="shared" si="400"/>
        <v>42720</v>
      </c>
      <c r="CI238" s="416" t="str">
        <f t="shared" si="400"/>
        <v>FY2016</v>
      </c>
      <c r="CJ238" s="414">
        <f t="shared" si="400"/>
        <v>42811</v>
      </c>
      <c r="CK238" s="414">
        <f t="shared" si="400"/>
        <v>42903</v>
      </c>
      <c r="CL238" s="414">
        <f t="shared" si="400"/>
        <v>42995</v>
      </c>
      <c r="CM238" s="414">
        <f t="shared" si="400"/>
        <v>43086</v>
      </c>
      <c r="CN238" s="416" t="str">
        <f t="shared" si="400"/>
        <v>FY2017</v>
      </c>
      <c r="CO238" s="414">
        <f t="shared" si="400"/>
        <v>43177</v>
      </c>
      <c r="CP238" s="414" t="str">
        <f t="shared" si="400"/>
        <v>Jun-18 E</v>
      </c>
      <c r="CQ238" s="414" t="str">
        <f t="shared" si="400"/>
        <v>Sep-18 E</v>
      </c>
      <c r="CR238" s="414" t="str">
        <f t="shared" si="400"/>
        <v>Dec-18 E</v>
      </c>
      <c r="CS238" s="416" t="str">
        <f t="shared" si="400"/>
        <v>FY2018E</v>
      </c>
      <c r="CT238" s="414" t="str">
        <f t="shared" si="400"/>
        <v>Mar-19 E</v>
      </c>
      <c r="CU238" s="414" t="str">
        <f t="shared" si="400"/>
        <v>Jun-19 E</v>
      </c>
      <c r="CV238" s="414" t="str">
        <f t="shared" si="400"/>
        <v>Sep-19 E</v>
      </c>
      <c r="CW238" s="414" t="str">
        <f t="shared" si="400"/>
        <v>Dec-19 E</v>
      </c>
      <c r="CX238" s="416" t="str">
        <f t="shared" si="400"/>
        <v>FY2019E</v>
      </c>
      <c r="CY238" s="414" t="str">
        <f t="shared" ref="CY238:DM238" si="401">CY4</f>
        <v>Mar-20 E</v>
      </c>
      <c r="CZ238" s="414" t="str">
        <f t="shared" si="401"/>
        <v>Jun-20 E</v>
      </c>
      <c r="DA238" s="414" t="str">
        <f t="shared" si="401"/>
        <v>Sep-20 E</v>
      </c>
      <c r="DB238" s="414" t="str">
        <f t="shared" si="401"/>
        <v>Dec-20 E</v>
      </c>
      <c r="DC238" s="416" t="str">
        <f t="shared" si="401"/>
        <v>FY2020E</v>
      </c>
      <c r="DD238" s="414" t="str">
        <f t="shared" si="401"/>
        <v>Mar-21 E</v>
      </c>
      <c r="DE238" s="414" t="str">
        <f t="shared" si="401"/>
        <v>Jun-21 E</v>
      </c>
      <c r="DF238" s="414" t="str">
        <f t="shared" si="401"/>
        <v>Sep-21 E</v>
      </c>
      <c r="DG238" s="414" t="str">
        <f t="shared" si="401"/>
        <v>Dec-21 E</v>
      </c>
      <c r="DH238" s="416" t="str">
        <f t="shared" si="401"/>
        <v>FY2021E</v>
      </c>
      <c r="DI238" s="414" t="str">
        <f t="shared" si="401"/>
        <v>Mar-22 E</v>
      </c>
      <c r="DJ238" s="414" t="str">
        <f t="shared" si="401"/>
        <v>Jun-22 E</v>
      </c>
      <c r="DK238" s="414" t="str">
        <f t="shared" si="401"/>
        <v>Sep-22 E</v>
      </c>
      <c r="DL238" s="414" t="str">
        <f t="shared" si="401"/>
        <v>Dec-22 E</v>
      </c>
      <c r="DM238" s="416" t="str">
        <f t="shared" si="401"/>
        <v>FY2022E</v>
      </c>
      <c r="DN238" s="207"/>
    </row>
    <row r="239" spans="1:118" ht="15" x14ac:dyDescent="0.2">
      <c r="B239" s="18" t="s">
        <v>124</v>
      </c>
      <c r="C239" s="215"/>
      <c r="D239" s="215"/>
      <c r="E239" s="215"/>
      <c r="F239" s="215"/>
      <c r="G239" s="238"/>
      <c r="H239" s="215">
        <f t="shared" ref="H239:AY239" si="402">H55+H66</f>
        <v>1242</v>
      </c>
      <c r="I239" s="215">
        <f t="shared" si="402"/>
        <v>1614</v>
      </c>
      <c r="J239" s="215">
        <f t="shared" si="402"/>
        <v>1415</v>
      </c>
      <c r="K239" s="215">
        <f t="shared" si="402"/>
        <v>1233</v>
      </c>
      <c r="L239" s="238">
        <f t="shared" si="402"/>
        <v>5504</v>
      </c>
      <c r="M239" s="215">
        <f t="shared" si="402"/>
        <v>1219</v>
      </c>
      <c r="N239" s="215">
        <f t="shared" si="402"/>
        <v>1736</v>
      </c>
      <c r="O239" s="215">
        <f t="shared" si="402"/>
        <v>1563</v>
      </c>
      <c r="P239" s="215">
        <f t="shared" si="402"/>
        <v>1324</v>
      </c>
      <c r="Q239" s="238">
        <f t="shared" si="402"/>
        <v>5842</v>
      </c>
      <c r="R239" s="215">
        <f t="shared" si="402"/>
        <v>1217</v>
      </c>
      <c r="S239" s="215">
        <f t="shared" si="402"/>
        <v>1783</v>
      </c>
      <c r="T239" s="215">
        <f t="shared" si="402"/>
        <v>1654</v>
      </c>
      <c r="U239" s="215">
        <f t="shared" si="402"/>
        <v>1378</v>
      </c>
      <c r="V239" s="238">
        <f t="shared" si="402"/>
        <v>6032</v>
      </c>
      <c r="W239" s="215">
        <f t="shared" si="402"/>
        <v>1546</v>
      </c>
      <c r="X239" s="215">
        <f t="shared" si="402"/>
        <v>2066</v>
      </c>
      <c r="Y239" s="215">
        <f t="shared" si="402"/>
        <v>1669</v>
      </c>
      <c r="Z239" s="215">
        <f t="shared" si="402"/>
        <v>1462</v>
      </c>
      <c r="AA239" s="238">
        <f t="shared" si="402"/>
        <v>6743</v>
      </c>
      <c r="AB239" s="215">
        <f t="shared" si="402"/>
        <v>1500</v>
      </c>
      <c r="AC239" s="215">
        <f t="shared" si="402"/>
        <v>2176</v>
      </c>
      <c r="AD239" s="215">
        <f t="shared" si="402"/>
        <v>1776</v>
      </c>
      <c r="AE239" s="215">
        <f t="shared" si="402"/>
        <v>1433</v>
      </c>
      <c r="AF239" s="238">
        <f t="shared" si="402"/>
        <v>6885</v>
      </c>
      <c r="AG239" s="215">
        <f t="shared" si="402"/>
        <v>1535</v>
      </c>
      <c r="AH239" s="215">
        <f t="shared" si="402"/>
        <v>2301</v>
      </c>
      <c r="AI239" s="215">
        <f t="shared" si="402"/>
        <v>1935</v>
      </c>
      <c r="AJ239" s="215">
        <f t="shared" si="402"/>
        <v>1534</v>
      </c>
      <c r="AK239" s="238">
        <f t="shared" si="402"/>
        <v>7305</v>
      </c>
      <c r="AL239" s="215">
        <f t="shared" si="402"/>
        <v>1730</v>
      </c>
      <c r="AM239" s="215">
        <f t="shared" si="402"/>
        <v>2597</v>
      </c>
      <c r="AN239" s="215">
        <f t="shared" si="402"/>
        <v>2179</v>
      </c>
      <c r="AO239" s="215">
        <f t="shared" si="402"/>
        <v>1831</v>
      </c>
      <c r="AP239" s="238">
        <f t="shared" si="402"/>
        <v>8337</v>
      </c>
      <c r="AQ239" s="215">
        <f t="shared" si="402"/>
        <v>2084</v>
      </c>
      <c r="AR239" s="215">
        <f t="shared" si="402"/>
        <v>3078</v>
      </c>
      <c r="AS239" s="215">
        <f t="shared" si="402"/>
        <v>2509</v>
      </c>
      <c r="AT239" s="215">
        <f t="shared" si="402"/>
        <v>1930</v>
      </c>
      <c r="AU239" s="238">
        <f t="shared" si="402"/>
        <v>9601</v>
      </c>
      <c r="AV239" s="215">
        <f t="shared" si="402"/>
        <v>2024</v>
      </c>
      <c r="AW239" s="215">
        <f t="shared" si="402"/>
        <v>2830</v>
      </c>
      <c r="AX239" s="215">
        <f t="shared" si="402"/>
        <v>2486</v>
      </c>
      <c r="AY239" s="215">
        <f t="shared" si="402"/>
        <v>2071</v>
      </c>
      <c r="AZ239" s="238">
        <f t="shared" ref="AZ239:CE239" si="403">AZ55</f>
        <v>8544</v>
      </c>
      <c r="BA239" s="215">
        <f t="shared" si="403"/>
        <v>2279</v>
      </c>
      <c r="BB239" s="215">
        <f t="shared" si="403"/>
        <v>2841</v>
      </c>
      <c r="BC239" s="215">
        <f t="shared" si="403"/>
        <v>2444</v>
      </c>
      <c r="BD239" s="215">
        <f t="shared" si="403"/>
        <v>2015</v>
      </c>
      <c r="BE239" s="238">
        <f t="shared" si="403"/>
        <v>9579</v>
      </c>
      <c r="BF239" s="215">
        <f t="shared" si="403"/>
        <v>2503</v>
      </c>
      <c r="BG239" s="215">
        <f t="shared" si="403"/>
        <v>3351</v>
      </c>
      <c r="BH239" s="215">
        <f t="shared" si="403"/>
        <v>2962</v>
      </c>
      <c r="BI239" s="215">
        <f t="shared" si="403"/>
        <v>2234</v>
      </c>
      <c r="BJ239" s="492">
        <f t="shared" si="403"/>
        <v>11050</v>
      </c>
      <c r="BK239" s="431">
        <f t="shared" si="403"/>
        <v>2564</v>
      </c>
      <c r="BL239" s="431">
        <f t="shared" si="403"/>
        <v>3413</v>
      </c>
      <c r="BM239" s="431">
        <f t="shared" si="403"/>
        <v>2790</v>
      </c>
      <c r="BN239" s="431">
        <f t="shared" si="403"/>
        <v>2483</v>
      </c>
      <c r="BO239" s="492">
        <f t="shared" si="403"/>
        <v>11250</v>
      </c>
      <c r="BP239" s="431">
        <f t="shared" si="403"/>
        <v>2611</v>
      </c>
      <c r="BQ239" s="431">
        <f t="shared" si="403"/>
        <v>3418</v>
      </c>
      <c r="BR239" s="431">
        <f t="shared" si="403"/>
        <v>2848</v>
      </c>
      <c r="BS239" s="431">
        <f t="shared" si="403"/>
        <v>2383</v>
      </c>
      <c r="BT239" s="492">
        <f t="shared" si="403"/>
        <v>11260</v>
      </c>
      <c r="BU239" s="431">
        <f t="shared" si="403"/>
        <v>2459</v>
      </c>
      <c r="BV239" s="431">
        <f t="shared" si="403"/>
        <v>3326</v>
      </c>
      <c r="BW239" s="431">
        <f t="shared" si="403"/>
        <v>2840</v>
      </c>
      <c r="BX239" s="431">
        <f t="shared" si="403"/>
        <v>2329</v>
      </c>
      <c r="BY239" s="492">
        <f t="shared" si="403"/>
        <v>10954</v>
      </c>
      <c r="BZ239" s="431">
        <f t="shared" si="403"/>
        <v>2508</v>
      </c>
      <c r="CA239" s="431">
        <f t="shared" si="403"/>
        <v>3154</v>
      </c>
      <c r="CB239" s="431">
        <f t="shared" si="403"/>
        <v>2705</v>
      </c>
      <c r="CC239" s="431">
        <f t="shared" si="403"/>
        <v>2006</v>
      </c>
      <c r="CD239" s="492">
        <f t="shared" si="403"/>
        <v>10373</v>
      </c>
      <c r="CE239" s="431">
        <f t="shared" si="403"/>
        <v>2447</v>
      </c>
      <c r="CF239" s="431">
        <f t="shared" ref="CF239:DM239" si="404">CF55</f>
        <v>3050</v>
      </c>
      <c r="CG239" s="431">
        <f t="shared" si="404"/>
        <v>2482</v>
      </c>
      <c r="CH239" s="431">
        <f t="shared" si="404"/>
        <v>1979</v>
      </c>
      <c r="CI239" s="492">
        <f t="shared" si="404"/>
        <v>9958</v>
      </c>
      <c r="CJ239" s="431">
        <f t="shared" si="404"/>
        <v>2252</v>
      </c>
      <c r="CK239" s="431">
        <f t="shared" si="404"/>
        <v>2899</v>
      </c>
      <c r="CL239" s="431">
        <f t="shared" si="404"/>
        <v>2443</v>
      </c>
      <c r="CM239" s="431">
        <f t="shared" si="404"/>
        <v>1946</v>
      </c>
      <c r="CN239" s="492">
        <f t="shared" si="404"/>
        <v>9540</v>
      </c>
      <c r="CO239" s="431">
        <f t="shared" si="404"/>
        <v>2337</v>
      </c>
      <c r="CP239" s="431">
        <f t="shared" si="404"/>
        <v>2886.6143747064043</v>
      </c>
      <c r="CQ239" s="431">
        <f t="shared" si="404"/>
        <v>2642.8599366542803</v>
      </c>
      <c r="CR239" s="431">
        <f t="shared" si="404"/>
        <v>2170.2381049353507</v>
      </c>
      <c r="CS239" s="492">
        <f t="shared" si="404"/>
        <v>10036.712416296035</v>
      </c>
      <c r="CT239" s="431">
        <f t="shared" si="404"/>
        <v>2500.40742196679</v>
      </c>
      <c r="CU239" s="431">
        <f t="shared" si="404"/>
        <v>3091.2023806452739</v>
      </c>
      <c r="CV239" s="431">
        <f t="shared" si="404"/>
        <v>2836.5876567526493</v>
      </c>
      <c r="CW239" s="431">
        <f t="shared" si="404"/>
        <v>2339.1074078871688</v>
      </c>
      <c r="CX239" s="492">
        <f t="shared" si="404"/>
        <v>10767.304867251882</v>
      </c>
      <c r="CY239" s="431">
        <f t="shared" si="404"/>
        <v>2685.9408327565407</v>
      </c>
      <c r="CZ239" s="431">
        <f t="shared" si="404"/>
        <v>3306.2976280622897</v>
      </c>
      <c r="DA239" s="431">
        <f t="shared" si="404"/>
        <v>3040.4210401089922</v>
      </c>
      <c r="DB239" s="431">
        <f t="shared" si="404"/>
        <v>2517.0708626850628</v>
      </c>
      <c r="DC239" s="492">
        <f t="shared" si="404"/>
        <v>11549.730363612885</v>
      </c>
      <c r="DD239" s="431">
        <f t="shared" si="404"/>
        <v>2870.1988270365264</v>
      </c>
      <c r="DE239" s="431">
        <f t="shared" si="404"/>
        <v>3519.5378281546764</v>
      </c>
      <c r="DF239" s="431">
        <f t="shared" si="404"/>
        <v>3242.6375978201863</v>
      </c>
      <c r="DG239" s="431">
        <f t="shared" si="404"/>
        <v>2694.5301472699562</v>
      </c>
      <c r="DH239" s="492">
        <f t="shared" si="404"/>
        <v>12326.904400281344</v>
      </c>
      <c r="DI239" s="431">
        <f t="shared" si="404"/>
        <v>3050.4619334172421</v>
      </c>
      <c r="DJ239" s="431">
        <f t="shared" si="404"/>
        <v>3729.2029181325051</v>
      </c>
      <c r="DK239" s="431">
        <f t="shared" si="404"/>
        <v>3440.8316659732336</v>
      </c>
      <c r="DL239" s="431">
        <f t="shared" si="404"/>
        <v>2867.6535680450861</v>
      </c>
      <c r="DM239" s="492">
        <f t="shared" si="404"/>
        <v>13088.150085568068</v>
      </c>
      <c r="DN239" s="207"/>
    </row>
    <row r="240" spans="1:118" ht="15" x14ac:dyDescent="0.2">
      <c r="B240" s="18" t="s">
        <v>36</v>
      </c>
      <c r="C240" s="357"/>
      <c r="D240" s="357"/>
      <c r="E240" s="357"/>
      <c r="F240" s="357"/>
      <c r="G240" s="358"/>
      <c r="H240" s="357">
        <f t="shared" ref="H240:AM240" si="405">H71</f>
        <v>0.30000000000000004</v>
      </c>
      <c r="I240" s="357">
        <f t="shared" si="405"/>
        <v>0.3</v>
      </c>
      <c r="J240" s="357">
        <f t="shared" si="405"/>
        <v>0.3</v>
      </c>
      <c r="K240" s="357">
        <f t="shared" si="405"/>
        <v>0.29256965944272445</v>
      </c>
      <c r="L240" s="358">
        <f t="shared" si="405"/>
        <v>0.29827956989247312</v>
      </c>
      <c r="M240" s="357">
        <f t="shared" si="405"/>
        <v>0.27</v>
      </c>
      <c r="N240" s="357">
        <f t="shared" si="405"/>
        <v>0.27</v>
      </c>
      <c r="O240" s="357">
        <f t="shared" si="405"/>
        <v>0.26999999999999996</v>
      </c>
      <c r="P240" s="357">
        <f t="shared" si="405"/>
        <v>0.26950000000000002</v>
      </c>
      <c r="Q240" s="358">
        <f t="shared" si="405"/>
        <v>0.26988675593914047</v>
      </c>
      <c r="R240" s="357">
        <f t="shared" si="405"/>
        <v>0.26827160493827157</v>
      </c>
      <c r="S240" s="357">
        <f t="shared" si="405"/>
        <v>0.23520964962665136</v>
      </c>
      <c r="T240" s="357">
        <f t="shared" si="405"/>
        <v>0.1787025513378967</v>
      </c>
      <c r="U240" s="357">
        <f t="shared" si="405"/>
        <v>0.22205267118133937</v>
      </c>
      <c r="V240" s="358">
        <f t="shared" si="405"/>
        <v>0.223647827562797</v>
      </c>
      <c r="W240" s="357">
        <f t="shared" si="405"/>
        <v>0.25462962962962965</v>
      </c>
      <c r="X240" s="357">
        <f t="shared" si="405"/>
        <v>0.25160190615835781</v>
      </c>
      <c r="Y240" s="357">
        <f t="shared" si="405"/>
        <v>0.24892440073755379</v>
      </c>
      <c r="Z240" s="357">
        <f t="shared" si="405"/>
        <v>0.22857967988865693</v>
      </c>
      <c r="AA240" s="358">
        <f t="shared" si="405"/>
        <v>0.24663945937783149</v>
      </c>
      <c r="AB240" s="357">
        <f t="shared" si="405"/>
        <v>0.24</v>
      </c>
      <c r="AC240" s="357">
        <f t="shared" si="405"/>
        <v>0.24000000000000002</v>
      </c>
      <c r="AD240" s="357">
        <f t="shared" si="405"/>
        <v>0.23446039035591273</v>
      </c>
      <c r="AE240" s="357">
        <f t="shared" si="405"/>
        <v>0.23500000000000001</v>
      </c>
      <c r="AF240" s="358">
        <f t="shared" si="405"/>
        <v>0.2375342566671578</v>
      </c>
      <c r="AG240" s="357">
        <f t="shared" si="405"/>
        <v>0.23858731196860694</v>
      </c>
      <c r="AH240" s="357">
        <f t="shared" si="405"/>
        <v>0.23968393327480245</v>
      </c>
      <c r="AI240" s="357">
        <f t="shared" si="405"/>
        <v>0.22483940042826553</v>
      </c>
      <c r="AJ240" s="357">
        <f t="shared" si="405"/>
        <v>0.18266666666666667</v>
      </c>
      <c r="AK240" s="358">
        <f t="shared" si="405"/>
        <v>0.22366550522648082</v>
      </c>
      <c r="AL240" s="357">
        <f t="shared" si="405"/>
        <v>0.2298507462686567</v>
      </c>
      <c r="AM240" s="357">
        <f t="shared" si="405"/>
        <v>0.22191673212882954</v>
      </c>
      <c r="AN240" s="357">
        <f t="shared" ref="AN240:BS240" si="406">AN71</f>
        <v>0.20970042796005706</v>
      </c>
      <c r="AO240" s="357">
        <f t="shared" si="406"/>
        <v>0.22024151811385853</v>
      </c>
      <c r="AP240" s="358">
        <f t="shared" si="406"/>
        <v>0.22001736326429369</v>
      </c>
      <c r="AQ240" s="357">
        <f t="shared" si="406"/>
        <v>0.22018802572983673</v>
      </c>
      <c r="AR240" s="357">
        <f t="shared" si="406"/>
        <v>0.21903820816864294</v>
      </c>
      <c r="AS240" s="357">
        <f t="shared" si="406"/>
        <v>0.21984671238402581</v>
      </c>
      <c r="AT240" s="357">
        <f t="shared" si="406"/>
        <v>0.22034791776489193</v>
      </c>
      <c r="AU240" s="358">
        <f t="shared" si="406"/>
        <v>0.21976041556238737</v>
      </c>
      <c r="AV240" s="357">
        <f t="shared" si="406"/>
        <v>0.23363544813695872</v>
      </c>
      <c r="AW240" s="357">
        <f t="shared" si="406"/>
        <v>0.23416370106761566</v>
      </c>
      <c r="AX240" s="357">
        <f t="shared" si="406"/>
        <v>0.23482106956172094</v>
      </c>
      <c r="AY240" s="357">
        <f t="shared" si="406"/>
        <v>0.22640586797066015</v>
      </c>
      <c r="AZ240" s="358">
        <f t="shared" si="406"/>
        <v>0.23252572898799315</v>
      </c>
      <c r="BA240" s="357">
        <f t="shared" si="406"/>
        <v>0.23181257706535141</v>
      </c>
      <c r="BB240" s="357">
        <f t="shared" si="406"/>
        <v>0.23220391669257071</v>
      </c>
      <c r="BC240" s="357">
        <f t="shared" si="406"/>
        <v>0.22604951560818085</v>
      </c>
      <c r="BD240" s="357">
        <f t="shared" si="406"/>
        <v>0.2150786308973173</v>
      </c>
      <c r="BE240" s="358">
        <f t="shared" si="406"/>
        <v>0.22700254741013304</v>
      </c>
      <c r="BF240" s="357">
        <f t="shared" si="406"/>
        <v>0.2400605831124574</v>
      </c>
      <c r="BG240" s="357">
        <f t="shared" si="406"/>
        <v>0.2400445558340295</v>
      </c>
      <c r="BH240" s="357">
        <f t="shared" si="406"/>
        <v>0.2399497487437186</v>
      </c>
      <c r="BI240" s="357">
        <f t="shared" si="406"/>
        <v>0.23512276321265085</v>
      </c>
      <c r="BJ240" s="568">
        <f t="shared" si="406"/>
        <v>0.23902191386750149</v>
      </c>
      <c r="BK240" s="569">
        <f t="shared" si="406"/>
        <v>0.24790069368382622</v>
      </c>
      <c r="BL240" s="569">
        <f t="shared" si="406"/>
        <v>0.2342981977061715</v>
      </c>
      <c r="BM240" s="569">
        <f t="shared" si="406"/>
        <v>0.23972824328696216</v>
      </c>
      <c r="BN240" s="569">
        <f t="shared" si="406"/>
        <v>0.24</v>
      </c>
      <c r="BO240" s="568">
        <f t="shared" si="406"/>
        <v>0.23999345174756487</v>
      </c>
      <c r="BP240" s="569">
        <f t="shared" si="406"/>
        <v>0.23522935779816515</v>
      </c>
      <c r="BQ240" s="569">
        <f t="shared" si="406"/>
        <v>0.22621281157866524</v>
      </c>
      <c r="BR240" s="569">
        <f t="shared" si="406"/>
        <v>0.22977763454721237</v>
      </c>
      <c r="BS240" s="569">
        <f t="shared" si="406"/>
        <v>0.2303370786516854</v>
      </c>
      <c r="BT240" s="568">
        <f t="shared" ref="BT240:CY240" si="407">BT71</f>
        <v>0.23002698503557117</v>
      </c>
      <c r="BU240" s="569">
        <f t="shared" si="407"/>
        <v>0.23022432113341204</v>
      </c>
      <c r="BV240" s="569">
        <f t="shared" si="407"/>
        <v>0.22137612183845526</v>
      </c>
      <c r="BW240" s="569">
        <f t="shared" si="407"/>
        <v>0.22506561679790027</v>
      </c>
      <c r="BX240" s="569">
        <f t="shared" si="407"/>
        <v>0.22466960352422907</v>
      </c>
      <c r="BY240" s="568">
        <f t="shared" si="407"/>
        <v>0.22494261667941851</v>
      </c>
      <c r="BZ240" s="569">
        <f t="shared" si="407"/>
        <v>0.22487160674981657</v>
      </c>
      <c r="CA240" s="569">
        <f t="shared" si="407"/>
        <v>0.22516003339827442</v>
      </c>
      <c r="CB240" s="569">
        <f t="shared" si="407"/>
        <v>0.22506925207756232</v>
      </c>
      <c r="CC240" s="569">
        <f t="shared" si="407"/>
        <v>0.22468793342579751</v>
      </c>
      <c r="CD240" s="568">
        <f t="shared" si="407"/>
        <v>0.22497801231310466</v>
      </c>
      <c r="CE240" s="569">
        <f t="shared" si="407"/>
        <v>0.22493224932249323</v>
      </c>
      <c r="CF240" s="569">
        <f t="shared" si="407"/>
        <v>0.22503681885125185</v>
      </c>
      <c r="CG240" s="569">
        <f t="shared" si="407"/>
        <v>0.22517985611510791</v>
      </c>
      <c r="CH240" s="569">
        <f t="shared" si="407"/>
        <v>0.22476840565577766</v>
      </c>
      <c r="CI240" s="568">
        <f t="shared" si="407"/>
        <v>0.22499768711259135</v>
      </c>
      <c r="CJ240" s="569">
        <f t="shared" si="407"/>
        <v>0.24</v>
      </c>
      <c r="CK240" s="569">
        <f t="shared" si="407"/>
        <v>0.24015513126491647</v>
      </c>
      <c r="CL240" s="569">
        <f t="shared" si="407"/>
        <v>0.23994403637635536</v>
      </c>
      <c r="CM240" s="569">
        <f t="shared" si="407"/>
        <v>0.2401270994098956</v>
      </c>
      <c r="CN240" s="568">
        <f t="shared" si="407"/>
        <v>0.2400587749104601</v>
      </c>
      <c r="CO240" s="569">
        <f t="shared" si="407"/>
        <v>0.21007418976962125</v>
      </c>
      <c r="CP240" s="569">
        <f t="shared" si="407"/>
        <v>0.21</v>
      </c>
      <c r="CQ240" s="569">
        <f t="shared" si="407"/>
        <v>0.21</v>
      </c>
      <c r="CR240" s="569">
        <f t="shared" ca="1" si="407"/>
        <v>0.20992227475394601</v>
      </c>
      <c r="CS240" s="568">
        <f t="shared" si="407"/>
        <v>0.21</v>
      </c>
      <c r="CT240" s="569">
        <f t="shared" si="407"/>
        <v>0.21</v>
      </c>
      <c r="CU240" s="569">
        <f t="shared" si="407"/>
        <v>0.21</v>
      </c>
      <c r="CV240" s="569">
        <f t="shared" si="407"/>
        <v>0.21</v>
      </c>
      <c r="CW240" s="569">
        <f t="shared" ca="1" si="407"/>
        <v>0.2100000000000001</v>
      </c>
      <c r="CX240" s="568">
        <f t="shared" si="407"/>
        <v>0.21</v>
      </c>
      <c r="CY240" s="569">
        <f t="shared" si="407"/>
        <v>0.21</v>
      </c>
      <c r="CZ240" s="569">
        <f t="shared" ref="CZ240:DM240" si="408">CZ71</f>
        <v>0.21</v>
      </c>
      <c r="DA240" s="569">
        <f t="shared" si="408"/>
        <v>0.21</v>
      </c>
      <c r="DB240" s="569">
        <f t="shared" ca="1" si="408"/>
        <v>0.20999999999999985</v>
      </c>
      <c r="DC240" s="568">
        <f t="shared" si="408"/>
        <v>0.21</v>
      </c>
      <c r="DD240" s="569">
        <f t="shared" si="408"/>
        <v>0.21</v>
      </c>
      <c r="DE240" s="569">
        <f t="shared" si="408"/>
        <v>0.21</v>
      </c>
      <c r="DF240" s="569">
        <f t="shared" si="408"/>
        <v>0.21</v>
      </c>
      <c r="DG240" s="569">
        <f t="shared" ca="1" si="408"/>
        <v>0.20999999999999994</v>
      </c>
      <c r="DH240" s="568">
        <f t="shared" si="408"/>
        <v>0.21</v>
      </c>
      <c r="DI240" s="569">
        <f t="shared" si="408"/>
        <v>0.21</v>
      </c>
      <c r="DJ240" s="569">
        <f t="shared" si="408"/>
        <v>0.21</v>
      </c>
      <c r="DK240" s="569">
        <f t="shared" si="408"/>
        <v>0.21</v>
      </c>
      <c r="DL240" s="569">
        <f t="shared" ca="1" si="408"/>
        <v>0.2099999999999998</v>
      </c>
      <c r="DM240" s="568">
        <f t="shared" si="408"/>
        <v>0.21</v>
      </c>
      <c r="DN240" s="207"/>
    </row>
    <row r="241" spans="1:118" ht="15" x14ac:dyDescent="0.2">
      <c r="B241" s="18" t="s">
        <v>398</v>
      </c>
      <c r="C241" s="215"/>
      <c r="D241" s="215"/>
      <c r="E241" s="215"/>
      <c r="F241" s="215"/>
      <c r="G241" s="238"/>
      <c r="H241" s="215">
        <f t="shared" ref="H241:AM241" si="409">H239*(1-H240)</f>
        <v>869.4</v>
      </c>
      <c r="I241" s="215">
        <f t="shared" si="409"/>
        <v>1129.8</v>
      </c>
      <c r="J241" s="215">
        <f t="shared" si="409"/>
        <v>990.49999999999989</v>
      </c>
      <c r="K241" s="215">
        <f t="shared" si="409"/>
        <v>872.26160990712071</v>
      </c>
      <c r="L241" s="238">
        <f t="shared" si="409"/>
        <v>3862.2692473118277</v>
      </c>
      <c r="M241" s="215">
        <f t="shared" si="409"/>
        <v>889.87</v>
      </c>
      <c r="N241" s="215">
        <f t="shared" si="409"/>
        <v>1267.28</v>
      </c>
      <c r="O241" s="215">
        <f t="shared" si="409"/>
        <v>1140.99</v>
      </c>
      <c r="P241" s="215">
        <f t="shared" si="409"/>
        <v>967.1819999999999</v>
      </c>
      <c r="Q241" s="238">
        <f t="shared" si="409"/>
        <v>4265.3215718035417</v>
      </c>
      <c r="R241" s="215">
        <f t="shared" si="409"/>
        <v>890.51345679012343</v>
      </c>
      <c r="S241" s="215">
        <f t="shared" si="409"/>
        <v>1363.6211947156805</v>
      </c>
      <c r="T241" s="215">
        <f t="shared" si="409"/>
        <v>1358.4259800871189</v>
      </c>
      <c r="U241" s="215">
        <f t="shared" si="409"/>
        <v>1072.0114191121145</v>
      </c>
      <c r="V241" s="238">
        <f t="shared" si="409"/>
        <v>4682.9563041412084</v>
      </c>
      <c r="W241" s="215">
        <f t="shared" si="409"/>
        <v>1152.3425925925926</v>
      </c>
      <c r="X241" s="215">
        <f t="shared" si="409"/>
        <v>1546.1904618768326</v>
      </c>
      <c r="Y241" s="215">
        <f t="shared" si="409"/>
        <v>1253.5451751690227</v>
      </c>
      <c r="Z241" s="215">
        <f t="shared" si="409"/>
        <v>1127.8165080027836</v>
      </c>
      <c r="AA241" s="238">
        <f t="shared" si="409"/>
        <v>5079.910125415282</v>
      </c>
      <c r="AB241" s="215">
        <f t="shared" si="409"/>
        <v>1140</v>
      </c>
      <c r="AC241" s="215">
        <f t="shared" si="409"/>
        <v>1653.76</v>
      </c>
      <c r="AD241" s="215">
        <f t="shared" si="409"/>
        <v>1359.5983467278991</v>
      </c>
      <c r="AE241" s="215">
        <f t="shared" si="409"/>
        <v>1096.2450000000001</v>
      </c>
      <c r="AF241" s="238">
        <f t="shared" si="409"/>
        <v>5249.5766428466186</v>
      </c>
      <c r="AG241" s="215">
        <f t="shared" si="409"/>
        <v>1168.7684761281882</v>
      </c>
      <c r="AH241" s="215">
        <f t="shared" si="409"/>
        <v>1749.4872695346796</v>
      </c>
      <c r="AI241" s="215">
        <f t="shared" si="409"/>
        <v>1499.9357601713061</v>
      </c>
      <c r="AJ241" s="215">
        <f t="shared" si="409"/>
        <v>1253.7893333333334</v>
      </c>
      <c r="AK241" s="238">
        <f t="shared" si="409"/>
        <v>5671.1234843205575</v>
      </c>
      <c r="AL241" s="215">
        <f t="shared" si="409"/>
        <v>1332.3582089552237</v>
      </c>
      <c r="AM241" s="215">
        <f t="shared" si="409"/>
        <v>2020.6822466614296</v>
      </c>
      <c r="AN241" s="215">
        <f t="shared" ref="AN241:AY241" si="410">AN239*(1-AN240)</f>
        <v>1722.0627674750356</v>
      </c>
      <c r="AO241" s="215">
        <f t="shared" si="410"/>
        <v>1427.7377803335251</v>
      </c>
      <c r="AP241" s="238">
        <f t="shared" si="410"/>
        <v>6502.7152424655833</v>
      </c>
      <c r="AQ241" s="215">
        <f t="shared" si="410"/>
        <v>1625.1281543790201</v>
      </c>
      <c r="AR241" s="215">
        <f t="shared" si="410"/>
        <v>2403.800395256917</v>
      </c>
      <c r="AS241" s="215">
        <f t="shared" si="410"/>
        <v>1957.4045986284793</v>
      </c>
      <c r="AT241" s="215">
        <f t="shared" si="410"/>
        <v>1504.7285187137586</v>
      </c>
      <c r="AU241" s="238">
        <f t="shared" si="410"/>
        <v>7491.0802501855187</v>
      </c>
      <c r="AV241" s="215">
        <f t="shared" si="410"/>
        <v>1551.1218529707955</v>
      </c>
      <c r="AW241" s="215">
        <f t="shared" si="410"/>
        <v>2167.3167259786478</v>
      </c>
      <c r="AX241" s="215">
        <f t="shared" si="410"/>
        <v>1902.2348210695616</v>
      </c>
      <c r="AY241" s="215">
        <f t="shared" si="410"/>
        <v>1602.1134474327628</v>
      </c>
      <c r="AZ241" s="238">
        <f>AZ239*(1-AZ240)</f>
        <v>6557.3001715265864</v>
      </c>
      <c r="BA241" s="215">
        <f t="shared" ref="BA241:BI241" si="411">BA239*(1-BA240)</f>
        <v>1750.6991368680642</v>
      </c>
      <c r="BB241" s="215">
        <f t="shared" si="411"/>
        <v>2181.3086726764068</v>
      </c>
      <c r="BC241" s="215">
        <f t="shared" si="411"/>
        <v>1891.534983853606</v>
      </c>
      <c r="BD241" s="215">
        <f t="shared" si="411"/>
        <v>1581.6165587419057</v>
      </c>
      <c r="BE241" s="238">
        <f t="shared" si="411"/>
        <v>7404.5425983583355</v>
      </c>
      <c r="BF241" s="215">
        <f t="shared" si="411"/>
        <v>1902.1283604695193</v>
      </c>
      <c r="BG241" s="215">
        <f t="shared" si="411"/>
        <v>2546.6106934001673</v>
      </c>
      <c r="BH241" s="215">
        <f t="shared" si="411"/>
        <v>2251.2688442211056</v>
      </c>
      <c r="BI241" s="215">
        <f t="shared" si="411"/>
        <v>1708.7357469829378</v>
      </c>
      <c r="BJ241" s="492">
        <f t="shared" ref="BJ241:CO241" si="412">BJ239*(1-BJ240)+BJ66+BJ67</f>
        <v>9102.8078517641079</v>
      </c>
      <c r="BK241" s="431">
        <f t="shared" si="412"/>
        <v>2076.3826213946695</v>
      </c>
      <c r="BL241" s="431">
        <f t="shared" si="412"/>
        <v>2862.3402512288367</v>
      </c>
      <c r="BM241" s="431">
        <f t="shared" si="412"/>
        <v>2406.1582012293757</v>
      </c>
      <c r="BN241" s="431">
        <f t="shared" si="412"/>
        <v>2098.08</v>
      </c>
      <c r="BO241" s="492">
        <f t="shared" si="412"/>
        <v>9443.0736678398953</v>
      </c>
      <c r="BP241" s="431">
        <f t="shared" si="412"/>
        <v>2096.8161467889909</v>
      </c>
      <c r="BQ241" s="431">
        <f t="shared" si="412"/>
        <v>2927.8046100241222</v>
      </c>
      <c r="BR241" s="431">
        <f t="shared" si="412"/>
        <v>2402.5932968095394</v>
      </c>
      <c r="BS241" s="431">
        <f t="shared" si="412"/>
        <v>2087.106741573034</v>
      </c>
      <c r="BT241" s="492">
        <f t="shared" si="412"/>
        <v>9514.8961484994688</v>
      </c>
      <c r="BU241" s="431">
        <f t="shared" si="412"/>
        <v>1975.8783943329397</v>
      </c>
      <c r="BV241" s="431">
        <f t="shared" si="412"/>
        <v>2903.7030187652981</v>
      </c>
      <c r="BW241" s="431">
        <f t="shared" si="412"/>
        <v>2352.8136482939631</v>
      </c>
      <c r="BX241" s="431">
        <f t="shared" si="412"/>
        <v>1954.7444933920706</v>
      </c>
      <c r="BY241" s="492">
        <f t="shared" si="412"/>
        <v>9187.978576893649</v>
      </c>
      <c r="BZ241" s="431">
        <f t="shared" si="412"/>
        <v>2134.0220102714602</v>
      </c>
      <c r="CA241" s="431">
        <f t="shared" si="412"/>
        <v>2861.8452546618428</v>
      </c>
      <c r="CB241" s="431">
        <f t="shared" si="412"/>
        <v>2262.1876731301941</v>
      </c>
      <c r="CC241" s="431">
        <f t="shared" si="412"/>
        <v>1701.2760055478502</v>
      </c>
      <c r="CD241" s="492">
        <f t="shared" si="412"/>
        <v>8959.3030782761653</v>
      </c>
      <c r="CE241" s="431">
        <f t="shared" si="412"/>
        <v>2029.5907859078591</v>
      </c>
      <c r="CF241" s="431">
        <f t="shared" si="412"/>
        <v>2706.6377025036818</v>
      </c>
      <c r="CG241" s="431">
        <f t="shared" si="412"/>
        <v>2239.1035971223018</v>
      </c>
      <c r="CH241" s="431">
        <f t="shared" si="412"/>
        <v>1684.1833252072158</v>
      </c>
      <c r="CI241" s="492">
        <f t="shared" si="412"/>
        <v>8659.473031732814</v>
      </c>
      <c r="CJ241" s="431">
        <f t="shared" si="412"/>
        <v>1971.52</v>
      </c>
      <c r="CK241" s="431">
        <f t="shared" si="412"/>
        <v>2683.7902744630069</v>
      </c>
      <c r="CL241" s="431">
        <f t="shared" si="412"/>
        <v>2305.8167191325638</v>
      </c>
      <c r="CM241" s="431">
        <f t="shared" si="412"/>
        <v>1763.7126645483431</v>
      </c>
      <c r="CN241" s="492">
        <f t="shared" si="412"/>
        <v>8724.8392873542107</v>
      </c>
      <c r="CO241" s="431">
        <f t="shared" si="412"/>
        <v>2135.0566185083953</v>
      </c>
      <c r="CP241" s="431">
        <f t="shared" ref="CP241:DM241" si="413">CP239*(1-CP240)+CP66+CP67</f>
        <v>2757.1853560180598</v>
      </c>
      <c r="CQ241" s="431">
        <f t="shared" si="413"/>
        <v>2561.7793499568816</v>
      </c>
      <c r="CR241" s="431">
        <f t="shared" ca="1" si="413"/>
        <v>2042.0167851896292</v>
      </c>
      <c r="CS241" s="492">
        <f t="shared" si="413"/>
        <v>9496.0428088738681</v>
      </c>
      <c r="CT241" s="431">
        <f t="shared" si="413"/>
        <v>2274.9368633537642</v>
      </c>
      <c r="CU241" s="431">
        <f t="shared" si="413"/>
        <v>2940.9066807097665</v>
      </c>
      <c r="CV241" s="431">
        <f t="shared" si="413"/>
        <v>2737.0398488345932</v>
      </c>
      <c r="CW241" s="431">
        <f t="shared" ca="1" si="413"/>
        <v>2189.4096522308632</v>
      </c>
      <c r="CX241" s="492">
        <f t="shared" si="413"/>
        <v>10142.293045128987</v>
      </c>
      <c r="CY241" s="431">
        <f t="shared" si="413"/>
        <v>2433.7251578776672</v>
      </c>
      <c r="CZ241" s="431">
        <f t="shared" si="413"/>
        <v>3136.263334169209</v>
      </c>
      <c r="DA241" s="431">
        <f t="shared" si="413"/>
        <v>2923.636357686104</v>
      </c>
      <c r="DB241" s="431">
        <f t="shared" ca="1" si="413"/>
        <v>2346.2916695212002</v>
      </c>
      <c r="DC241" s="492">
        <f t="shared" si="413"/>
        <v>10839.91651925418</v>
      </c>
      <c r="DD241" s="431">
        <f t="shared" si="413"/>
        <v>2592.2388873588557</v>
      </c>
      <c r="DE241" s="431">
        <f t="shared" si="413"/>
        <v>3331.6803847221945</v>
      </c>
      <c r="DF241" s="431">
        <f t="shared" si="413"/>
        <v>3110.4896624379476</v>
      </c>
      <c r="DG241" s="431">
        <f t="shared" ca="1" si="413"/>
        <v>2503.7528456232658</v>
      </c>
      <c r="DH241" s="492">
        <f t="shared" si="413"/>
        <v>11538.161780142262</v>
      </c>
      <c r="DI241" s="431">
        <f t="shared" si="413"/>
        <v>2748.3736502396214</v>
      </c>
      <c r="DJ241" s="431">
        <f t="shared" si="413"/>
        <v>3525.8905358334796</v>
      </c>
      <c r="DK241" s="431">
        <f t="shared" si="413"/>
        <v>3295.7913338884546</v>
      </c>
      <c r="DL241" s="431">
        <f t="shared" ca="1" si="413"/>
        <v>2658.8247897924189</v>
      </c>
      <c r="DM241" s="492">
        <f t="shared" si="413"/>
        <v>12228.880309753975</v>
      </c>
      <c r="DN241" s="207"/>
    </row>
    <row r="242" spans="1:118" ht="15" x14ac:dyDescent="0.2">
      <c r="B242" s="18" t="s">
        <v>123</v>
      </c>
      <c r="C242" s="375"/>
      <c r="D242" s="375"/>
      <c r="E242" s="375"/>
      <c r="F242" s="375"/>
      <c r="G242" s="355"/>
      <c r="H242" s="375"/>
      <c r="I242" s="375"/>
      <c r="J242" s="375"/>
      <c r="K242" s="375"/>
      <c r="L242" s="355">
        <f>L241/AVERAGE(H236:K236)</f>
        <v>0.25480491809878297</v>
      </c>
      <c r="M242" s="375">
        <f>(I241+J241+K241+M241)/AVERAGE(I236,J236,K236,M236)</f>
        <v>0.25006805641732122</v>
      </c>
      <c r="N242" s="375">
        <f>(J241+K241+M241+N241)/AVERAGE(J236,K236,M236,N236)</f>
        <v>0.25039547845007526</v>
      </c>
      <c r="O242" s="375">
        <f>(K241+M241+N241+O241)/AVERAGE(K236,M236,N236,O236)</f>
        <v>0.25227382139324739</v>
      </c>
      <c r="P242" s="375">
        <f>SUM(M241:P241)/AVERAGE(M236:P236)</f>
        <v>0.25258394895406161</v>
      </c>
      <c r="Q242" s="355">
        <f>Q241/AVERAGE(M236:P236)</f>
        <v>0.25258392359711263</v>
      </c>
      <c r="R242" s="375">
        <f>(N241+O241+P241+R241)/AVERAGE(N236,O236,P236,R236)</f>
        <v>0.24688728843047186</v>
      </c>
      <c r="S242" s="375">
        <f>(O241+P241+R241+S241)/AVERAGE(O236,P236,R236,S236)</f>
        <v>0.24593001756149535</v>
      </c>
      <c r="T242" s="375">
        <f>(P241+R241+S241+T241)/AVERAGE(P236,R236,S236,T236)</f>
        <v>0.25488681841593536</v>
      </c>
      <c r="U242" s="375">
        <f>SUM(R241:U241)/AVERAGE(R236:U236)</f>
        <v>0.25537353089320963</v>
      </c>
      <c r="V242" s="355">
        <f>V241/AVERAGE(R236:U236)</f>
        <v>0.25528545050922419</v>
      </c>
      <c r="W242" s="375">
        <f>(S241+T241+U241+W241)/AVERAGE(S236,T236,U236,W236)</f>
        <v>0.26334457682518803</v>
      </c>
      <c r="X242" s="375">
        <f>(T241+U241+W241+X241)/AVERAGE(T236,U236,W236,X236)</f>
        <v>0.27037271764199572</v>
      </c>
      <c r="Y242" s="375">
        <f>(U241+W241+X241+Y241)/AVERAGE(U236,W236,X236,Y236)</f>
        <v>0.26187933899324006</v>
      </c>
      <c r="Z242" s="375">
        <f>SUM(W241:Z241)/AVERAGE(W236:Z236)</f>
        <v>0.26229641852848823</v>
      </c>
      <c r="AA242" s="355">
        <f>AA241/AVERAGE(W236:Z236)</f>
        <v>0.26229721306424753</v>
      </c>
      <c r="AB242" s="375">
        <f>(X241+Y241+Z241+AB241)/AVERAGE(X236,Y236,Z236,AB236)</f>
        <v>0.26100549277889518</v>
      </c>
      <c r="AC242" s="375">
        <f>(Y241+Z241+AB241+AC241)/AVERAGE(Y236,Z236,AB236,AC236)</f>
        <v>0.26579977828309226</v>
      </c>
      <c r="AD242" s="375">
        <f>(Z241+AB241+AC241+AD241)/AVERAGE(Z236,AB236,AC236,AD236)</f>
        <v>0.27108318578827278</v>
      </c>
      <c r="AE242" s="375">
        <f>SUM(AB241:AE241)/AVERAGE(AB236:AE236)</f>
        <v>0.27029159441498812</v>
      </c>
      <c r="AF242" s="355">
        <f>AF241/AVERAGE(AB236:AE236)</f>
        <v>0.27029021948546073</v>
      </c>
      <c r="AG242" s="375">
        <f>(AC241+AD241+AE241+AG241)/AVERAGE(AC236,AD236,AE236,AG236)</f>
        <v>0.27214064023593248</v>
      </c>
      <c r="AH242" s="375">
        <f>(AD241+AE241+AG241+AH241)/AVERAGE(AD236,AE236,AG236,AH236)</f>
        <v>0.27482320624864887</v>
      </c>
      <c r="AI242" s="375">
        <f>(AE241+AG241+AH241+AI241)/AVERAGE(AE236,AG236,AH236,AI236)</f>
        <v>0.27259044258254178</v>
      </c>
      <c r="AJ242" s="375">
        <f>SUM(AG241:AJ241)/AVERAGE(AG236:AJ236)</f>
        <v>0.27236402589039649</v>
      </c>
      <c r="AK242" s="355">
        <f>AK241/AVERAGE(AG236:AJ236)</f>
        <v>0.27232285638994275</v>
      </c>
      <c r="AL242" s="375">
        <f>(AH241+AI241+AJ241+AL241)/AVERAGE(AH236,AI236,AJ236,AL236)</f>
        <v>0.26934852978212098</v>
      </c>
      <c r="AM242" s="375">
        <f>(AI241+AJ241+AL241+AM241)/AVERAGE(AI236,AJ236,AL236,AM236)</f>
        <v>0.25779452262157976</v>
      </c>
      <c r="AN242" s="375">
        <f>(AJ241+AL241+AM241+AN241)/AVERAGE(AJ236,AL236,AM236,AN236)</f>
        <v>0.24708965131716448</v>
      </c>
      <c r="AO242" s="375">
        <f>SUM(AL241:AO241)/AVERAGE(AL236:AO236)</f>
        <v>0.23122856748658444</v>
      </c>
      <c r="AP242" s="355">
        <f>AP241/AVERAGE(AL236:AO236)</f>
        <v>0.23122409566780155</v>
      </c>
      <c r="AQ242" s="375">
        <f>(AM241+AN241+AO241+AQ241)/AVERAGE(AM236,AN236,AO236,AQ236)</f>
        <v>0.22311415552068456</v>
      </c>
      <c r="AR242" s="375">
        <f>(AN241+AO241+AQ241+AR241)/AVERAGE(AN236,AO236,AQ236,AR236)</f>
        <v>0.22774975126924749</v>
      </c>
      <c r="AS242" s="375">
        <f>(AO241+AQ241+AR241+AS241)/AVERAGE(AO236,AQ236,AR236,AS236)</f>
        <v>0.2300863025974596</v>
      </c>
      <c r="AT242" s="375">
        <f>SUM(AQ241:AT241)/AVERAGE(AQ236:AT236)</f>
        <v>0.23745906208969783</v>
      </c>
      <c r="AU242" s="355">
        <f>AU241/AVERAGE(AQ236:AT236)</f>
        <v>0.23745965115853515</v>
      </c>
      <c r="AV242" s="375">
        <f>(AR241+AS241+AT241+AV241)/AVERAGE(AR236,AS236,AT236,AV236)</f>
        <v>0.23965992796264574</v>
      </c>
      <c r="AW242" s="375">
        <f>(AS241+AT241+AV241+AW241)/AVERAGE(AS236,AT236,AV236,AW236)</f>
        <v>0.23498749711743305</v>
      </c>
      <c r="AX242" s="375">
        <f>(AT241+AV241+AW241+AX241)/AVERAGE(AT236,AV236,AW236,AX236)</f>
        <v>0.23587992878426112</v>
      </c>
      <c r="AY242" s="375">
        <f>SUM(AV241:AY241)/AVERAGE(AV236:AY236)</f>
        <v>0.232458843704446</v>
      </c>
      <c r="AZ242" s="355">
        <f>AZ241/AVERAGE(AV236:AY236)</f>
        <v>0.21104075862820409</v>
      </c>
      <c r="BA242" s="375">
        <f>(AW241+AX241+AY241+BA241)/AVERAGE(AW236,AX236,AY236,BA236)</f>
        <v>0.2479058835964642</v>
      </c>
      <c r="BB242" s="375">
        <f>(AX241+AY241+BA241+BB241)/AVERAGE(AX236,AY236,BA236,BB236)</f>
        <v>0.26166846398700855</v>
      </c>
      <c r="BC242" s="375">
        <f>(AY241+BA241+BB241+BC241)/AVERAGE(AY236,BA236,BB236,BC236)</f>
        <v>0.27520777706733524</v>
      </c>
      <c r="BD242" s="375">
        <f>SUM(BA241:BD241)/AVERAGE(BA236:BD236)</f>
        <v>0.24630908054815423</v>
      </c>
      <c r="BE242" s="355">
        <f>BE241/AVERAGE(BA236:BD236)</f>
        <v>0.24628856619462608</v>
      </c>
      <c r="BF242" s="375">
        <f>(BB241+BC241+BD241+BF241)/AVERAGE(BB236,BC236,BD236,BF236)</f>
        <v>0.2122130551902337</v>
      </c>
      <c r="BG242" s="375">
        <f>(BC241+BD241+BF241+BG241)/AVERAGE(BC236,BD236,BF236,BG236)</f>
        <v>0.1911410981105241</v>
      </c>
      <c r="BH242" s="375">
        <f>(BD241+BF241+BG241+BH241)/AVERAGE(BD236,BF236,BG236,BH236)</f>
        <v>0.17659083329689265</v>
      </c>
      <c r="BI242" s="375">
        <f>SUM(BF241:BI241)/AVERAGE(BF236:BI236)</f>
        <v>0.17617682425933351</v>
      </c>
      <c r="BJ242" s="581">
        <f>BJ241/AVERAGE(BF236:BI236)</f>
        <v>0.19071859564969112</v>
      </c>
      <c r="BK242" s="582">
        <f>(BG241+BH241+BI241+BK241)/AVERAGE(BG236,BH236,BI236,BK236)</f>
        <v>0.17846667718792505</v>
      </c>
      <c r="BL242" s="582">
        <f>(BH241+BI241+BK241+BL241)/AVERAGE(BH236,BI236,BK236,BL236)</f>
        <v>0.18472246076842141</v>
      </c>
      <c r="BM242" s="582">
        <f>(BI241+BK241+BL241+BM241)/AVERAGE(BI236,BK236,BL236,BM236)</f>
        <v>0.18682852321703319</v>
      </c>
      <c r="BN242" s="582">
        <f>SUM(BK241:BN241)/AVERAGE(BK236:BN236)</f>
        <v>0.1938289969590887</v>
      </c>
      <c r="BO242" s="581">
        <f>BO241/AVERAGE(BK236:BN236)</f>
        <v>0.19383130809638932</v>
      </c>
      <c r="BP242" s="582">
        <f>(BL241+BM241+BN241+BP241)/AVERAGE(BL236,BM236,BN236,BP236)</f>
        <v>0.19470302698317954</v>
      </c>
      <c r="BQ242" s="582">
        <f>(BM241+BN241+BP241+BQ241)/AVERAGE(BM236,BN236,BP236,BQ236)</f>
        <v>0.19610034538872317</v>
      </c>
      <c r="BR242" s="582">
        <f>(BN241+BP241+BQ241+BR241)/AVERAGE(BN236,BP236,BQ236,BR236)</f>
        <v>0.19758434005492057</v>
      </c>
      <c r="BS242" s="582">
        <f>SUM(BP241:BS241)/AVERAGE(BP236:BS236)</f>
        <v>0.19821914613212122</v>
      </c>
      <c r="BT242" s="581">
        <f>BT241/AVERAGE(BP236:BS236)</f>
        <v>0.19823113290900787</v>
      </c>
      <c r="BU242" s="582">
        <f>(BQ241+BR241+BS241+BU241)/AVERAGE(BQ236,BR236,BS236,BU236)</f>
        <v>0.19589954208007582</v>
      </c>
      <c r="BV242" s="582">
        <f>(BR241+BS241+BU241+BV241)/AVERAGE(BR236,BS236,BU236,BV236)</f>
        <v>0.19551310896947743</v>
      </c>
      <c r="BW242" s="582">
        <f>(BS241+BU241+BV241+BW241)/AVERAGE(BS236,BU236,BV236,BW236)</f>
        <v>0.1936761321508185</v>
      </c>
      <c r="BX242" s="582">
        <f>SUM(BU241:BX241)/AVERAGE(BU236:BX236)</f>
        <v>0.19228203632905894</v>
      </c>
      <c r="BY242" s="581">
        <f>BY241/AVERAGE(BU236:BX236)</f>
        <v>0.19229959662394225</v>
      </c>
      <c r="BZ242" s="582">
        <f>(BV241+BW241+BX241+BZ241)/AVERAGE(BV236,BW236,BX236,BZ236)</f>
        <v>0.19672623717419149</v>
      </c>
      <c r="CA242" s="582">
        <f>(BW241+BX241+BZ241+CA241)/AVERAGE(BW236,BX236,BZ236,CA236)</f>
        <v>0.19839160252310967</v>
      </c>
      <c r="CB242" s="582">
        <f>(BX241+BZ241+CA241+CB241)/AVERAGE(BX236,BZ236,CA236,CB236)</f>
        <v>0.19989909207981746</v>
      </c>
      <c r="CC242" s="582">
        <f>SUM(BZ241:CC241)/AVERAGE(BZ236:CC236)</f>
        <v>0.19843589263753059</v>
      </c>
      <c r="CD242" s="581">
        <f>CD241/AVERAGE(BZ236:CC236)</f>
        <v>0.19843527546168396</v>
      </c>
      <c r="CE242" s="582">
        <f>(CA241+CB241+CC241+CE241)/AVERAGE(CA236,CB236,CC236,CE236)</f>
        <v>0.19972707159688163</v>
      </c>
      <c r="CF242" s="582">
        <f>(CB241+CC241+CE241+CF241)/AVERAGE(CB236,CC236,CE236,CF236)</f>
        <v>0.2009654111756797</v>
      </c>
      <c r="CG242" s="582">
        <f>(CC241+CE241+CF241+CG241)/AVERAGE(CC236,CE236,CF236,CG236)</f>
        <v>0.20749245133097444</v>
      </c>
      <c r="CH242" s="582">
        <f>SUM(CE241:CH241)/AVERAGE(CE236:CH236)</f>
        <v>0.21474576028818854</v>
      </c>
      <c r="CI242" s="581">
        <f>CI241/AVERAGE(CE236:CH236)</f>
        <v>0.21474470933880926</v>
      </c>
      <c r="CJ242" s="582">
        <f>(CF241+CG241+CH241+CJ241)/AVERAGE(CF236,CG236,CH236,CJ236)</f>
        <v>0.22568121650169426</v>
      </c>
      <c r="CK242" s="582">
        <f>(CG241+CH241+CJ241+CK241)/AVERAGE(CG236,CH236,CJ236,CK236)</f>
        <v>0.24232812007634086</v>
      </c>
      <c r="CL242" s="582">
        <f>(CH241+CJ241+CK241+CL241)/AVERAGE(CH236,CJ236,CK236,CL236)</f>
        <v>0.26021280757292276</v>
      </c>
      <c r="CM242" s="582">
        <f>SUM(CJ241:CM241)/AVERAGE(CJ236:CM236)</f>
        <v>0.2681245429320277</v>
      </c>
      <c r="CN242" s="581">
        <f>CN241/AVERAGE(CJ236:CM236)</f>
        <v>0.26812453153722576</v>
      </c>
      <c r="CO242" s="582">
        <f>(CK241+CL241+CM241+CO241)/AVERAGE(CK236,CL236,CM236,CO236)</f>
        <v>0.26942638001371055</v>
      </c>
      <c r="CP242" s="582">
        <f ca="1">(CL241+CM241+CO241+CP241)/AVERAGE(CL236,CM236,CO236,CP236)</f>
        <v>0.27539835355926007</v>
      </c>
      <c r="CQ242" s="582">
        <f ca="1">(CM241+CO241+CP241+CQ241)/AVERAGE(CM236,CO236,CP236,CQ236)</f>
        <v>0.28397657886432881</v>
      </c>
      <c r="CR242" s="582">
        <f ca="1">SUM(CO241:CR241)/AVERAGE(CO236:CR236)</f>
        <v>0.29232892141279815</v>
      </c>
      <c r="CS242" s="581">
        <f ca="1">CS241/AVERAGE(CO236:CR236)</f>
        <v>0.29232906607442605</v>
      </c>
      <c r="CT242" s="582">
        <f ca="1">(CP241+CQ241+CR241+CT241)/AVERAGE(CP236,CQ236,CR236,CT236)</f>
        <v>0.29130852175505612</v>
      </c>
      <c r="CU242" s="582">
        <f ca="1">(CQ241+CR241+CT241+CU241)/AVERAGE(CQ236,CR236,CT236,CU236)</f>
        <v>0.29239292530067351</v>
      </c>
      <c r="CV242" s="582">
        <f ca="1">(CR241+CT241+CU241+CV241)/AVERAGE(CR236,CT236,CU236,CV236)</f>
        <v>0.29370323967219358</v>
      </c>
      <c r="CW242" s="582">
        <f ca="1">SUM(CT241:CW241)/AVERAGE(CT236:CW236)</f>
        <v>0.29425685594968315</v>
      </c>
      <c r="CX242" s="581">
        <f ca="1">CX241/AVERAGE(CT236:CW236)</f>
        <v>0.29425685594968315</v>
      </c>
      <c r="CY242" s="582">
        <f ca="1">(CU241+CV241+CW241+CY241)/AVERAGE(CU236,CV236,CW236,CY236)</f>
        <v>0.29461302839021547</v>
      </c>
      <c r="CZ242" s="582">
        <f ca="1">(CV241+CW241+CY241+CZ241)/AVERAGE(CV236,CW236,CY236,CZ236)</f>
        <v>0.2964370065451174</v>
      </c>
      <c r="DA242" s="582">
        <f ca="1">(CW241+CY241+CZ241+DA241)/AVERAGE(CW236,CY236,CZ236,DA236)</f>
        <v>0.29810791583922053</v>
      </c>
      <c r="DB242" s="582">
        <f ca="1">SUM(CY241:DB241)/AVERAGE(CY236:DB236)</f>
        <v>0.29867480787346179</v>
      </c>
      <c r="DC242" s="581">
        <f ca="1">DC241/AVERAGE(CY236:DB236)</f>
        <v>0.29867480787346179</v>
      </c>
      <c r="DD242" s="582">
        <f ca="1">(CZ241+DA241+DB241+DD241)/AVERAGE(CZ236,DA236,DB236,DD236)</f>
        <v>0.29890586868249885</v>
      </c>
      <c r="DE242" s="582">
        <f ca="1">(DA241+DB241+DD241+DE241)/AVERAGE(DA236,DB236,DD236,DE236)</f>
        <v>0.30047846325341415</v>
      </c>
      <c r="DF242" s="582">
        <f ca="1">(DB241+DD241+DE241+DF241)/AVERAGE(DB236,DD236,DE236,DF236)</f>
        <v>0.30192022311873307</v>
      </c>
      <c r="DG242" s="582">
        <f ca="1">SUM(DD241:DG241)/AVERAGE(DD236:DG236)</f>
        <v>0.30235409016433157</v>
      </c>
      <c r="DH242" s="581">
        <f ca="1">DH241/AVERAGE(DD236:DG236)</f>
        <v>0.30235409016433157</v>
      </c>
      <c r="DI242" s="582">
        <f ca="1">(DE241+DF241+DG241+DI241)/AVERAGE(DE236,DF236,DG236,DI236)</f>
        <v>0.3023488439511271</v>
      </c>
      <c r="DJ242" s="582">
        <f ca="1">(DF241+DG241+DI241+DJ241)/AVERAGE(DF236,DG236,DI236,DJ236)</f>
        <v>0.30363270342236892</v>
      </c>
      <c r="DK242" s="582">
        <f ca="1">(DG241+DI241+DJ241+DK241)/AVERAGE(DG236,DI236,DJ236,DK236)</f>
        <v>0.30479655288789193</v>
      </c>
      <c r="DL242" s="582">
        <f ca="1">SUM(DI241:DL241)/AVERAGE(DI236:DL236)</f>
        <v>0.30500675928225585</v>
      </c>
      <c r="DM242" s="581">
        <f ca="1">DM241/AVERAGE(DI236:DL236)</f>
        <v>0.30500675928225585</v>
      </c>
      <c r="DN242" s="207"/>
    </row>
    <row r="243" spans="1:118" ht="15" x14ac:dyDescent="0.2">
      <c r="A243" s="220"/>
      <c r="B243" s="220"/>
      <c r="C243" s="220"/>
      <c r="D243" s="220"/>
      <c r="E243" s="220"/>
      <c r="F243" s="220"/>
      <c r="G243" s="220"/>
      <c r="H243" s="220"/>
      <c r="I243" s="220"/>
      <c r="J243" s="220"/>
      <c r="K243" s="220"/>
      <c r="L243" s="220"/>
      <c r="M243" s="220"/>
      <c r="N243" s="220"/>
      <c r="O243" s="220"/>
      <c r="P243" s="220"/>
      <c r="Q243" s="220"/>
      <c r="R243" s="220"/>
      <c r="S243" s="220"/>
      <c r="T243" s="220"/>
      <c r="U243" s="220"/>
      <c r="V243" s="220"/>
      <c r="W243" s="220"/>
      <c r="X243" s="220"/>
      <c r="Y243" s="220"/>
      <c r="Z243" s="220"/>
      <c r="AA243" s="220"/>
      <c r="AB243" s="220"/>
      <c r="AC243" s="220"/>
      <c r="AD243" s="220"/>
      <c r="AE243" s="220"/>
      <c r="AF243" s="220"/>
      <c r="AG243" s="220"/>
      <c r="AH243" s="220"/>
      <c r="AI243" s="220"/>
      <c r="AJ243" s="220"/>
      <c r="AK243" s="220"/>
      <c r="AL243" s="220"/>
      <c r="AM243" s="220"/>
      <c r="AN243" s="220"/>
      <c r="AO243" s="220"/>
      <c r="AP243" s="220"/>
      <c r="AQ243" s="220"/>
      <c r="AR243" s="220"/>
      <c r="AS243" s="220"/>
      <c r="AT243" s="220"/>
      <c r="AU243" s="220"/>
      <c r="AV243" s="220"/>
      <c r="AW243" s="220"/>
      <c r="AX243" s="220"/>
      <c r="AY243" s="220"/>
      <c r="AZ243" s="220"/>
      <c r="BA243" s="220"/>
      <c r="BB243" s="220"/>
      <c r="BC243" s="220"/>
      <c r="BD243" s="220"/>
      <c r="BE243" s="220"/>
      <c r="BF243" s="220"/>
      <c r="BG243" s="220"/>
      <c r="BH243" s="220"/>
      <c r="BI243" s="220"/>
      <c r="BJ243" s="444"/>
      <c r="BK243" s="444"/>
      <c r="BL243" s="444"/>
      <c r="BM243" s="444"/>
      <c r="BN243" s="444"/>
      <c r="BO243" s="444"/>
      <c r="BP243" s="444"/>
      <c r="BQ243" s="444"/>
      <c r="BR243" s="444"/>
      <c r="BS243" s="444"/>
      <c r="BT243" s="444"/>
      <c r="BU243" s="444"/>
      <c r="BV243" s="444"/>
      <c r="BW243" s="444"/>
      <c r="BX243" s="444"/>
      <c r="BY243" s="444"/>
      <c r="BZ243" s="444"/>
      <c r="CA243" s="444"/>
      <c r="CB243" s="444"/>
      <c r="CC243" s="444"/>
      <c r="CD243" s="444"/>
      <c r="CE243" s="444"/>
      <c r="CF243" s="444"/>
      <c r="CG243" s="444"/>
      <c r="CH243" s="444"/>
      <c r="CI243" s="444"/>
      <c r="CJ243" s="444"/>
      <c r="CK243" s="444"/>
      <c r="CL243" s="444"/>
      <c r="CM243" s="444"/>
      <c r="CN243" s="444"/>
      <c r="CO243" s="444"/>
      <c r="CP243" s="444"/>
      <c r="CQ243" s="444"/>
      <c r="CR243" s="444"/>
      <c r="CS243" s="444"/>
      <c r="CT243" s="444"/>
      <c r="CU243" s="444"/>
      <c r="CV243" s="444"/>
      <c r="CW243" s="444"/>
      <c r="CX243" s="444"/>
      <c r="CY243" s="444"/>
      <c r="CZ243" s="444"/>
      <c r="DA243" s="444"/>
      <c r="DB243" s="444"/>
      <c r="DC243" s="444"/>
      <c r="DD243" s="444"/>
      <c r="DE243" s="444"/>
      <c r="DF243" s="444"/>
      <c r="DG243" s="444"/>
      <c r="DH243" s="444"/>
      <c r="DI243" s="444"/>
      <c r="DJ243" s="444"/>
      <c r="DK243" s="444"/>
      <c r="DL243" s="444"/>
      <c r="DM243" s="444"/>
      <c r="DN243" s="220"/>
    </row>
    <row r="244" spans="1:118" ht="15.75" hidden="1" outlineLevel="1" x14ac:dyDescent="0.25">
      <c r="A244" s="346" t="s">
        <v>126</v>
      </c>
      <c r="B244" s="201"/>
      <c r="C244" s="202"/>
      <c r="D244" s="202"/>
      <c r="E244" s="202"/>
      <c r="F244" s="202"/>
      <c r="G244" s="203" t="str">
        <f>G238</f>
        <v>FY2000</v>
      </c>
      <c r="H244" s="202">
        <f>H238</f>
        <v>36981</v>
      </c>
      <c r="I244" s="202">
        <f>I238</f>
        <v>37051</v>
      </c>
      <c r="J244" s="202">
        <f>J238</f>
        <v>37143</v>
      </c>
      <c r="K244" s="202">
        <f>K238</f>
        <v>37234</v>
      </c>
      <c r="L244" s="203" t="str">
        <f t="shared" ref="L244:AZ244" si="414">L238</f>
        <v>FY2001</v>
      </c>
      <c r="M244" s="202">
        <f t="shared" si="414"/>
        <v>37346</v>
      </c>
      <c r="N244" s="202">
        <f t="shared" si="414"/>
        <v>37416</v>
      </c>
      <c r="O244" s="202">
        <f t="shared" si="414"/>
        <v>37508</v>
      </c>
      <c r="P244" s="202">
        <f t="shared" si="414"/>
        <v>37599</v>
      </c>
      <c r="Q244" s="203" t="str">
        <f t="shared" si="414"/>
        <v>FY2002</v>
      </c>
      <c r="R244" s="202">
        <f t="shared" si="414"/>
        <v>37711</v>
      </c>
      <c r="S244" s="202">
        <f t="shared" si="414"/>
        <v>37781</v>
      </c>
      <c r="T244" s="202">
        <f t="shared" si="414"/>
        <v>37873</v>
      </c>
      <c r="U244" s="202">
        <f t="shared" si="414"/>
        <v>37964</v>
      </c>
      <c r="V244" s="203" t="str">
        <f t="shared" si="414"/>
        <v>FY2003</v>
      </c>
      <c r="W244" s="202">
        <f t="shared" si="414"/>
        <v>38077</v>
      </c>
      <c r="X244" s="202">
        <f t="shared" si="414"/>
        <v>38147</v>
      </c>
      <c r="Y244" s="202">
        <f t="shared" si="414"/>
        <v>38239</v>
      </c>
      <c r="Z244" s="202">
        <f t="shared" si="414"/>
        <v>38330</v>
      </c>
      <c r="AA244" s="203" t="str">
        <f t="shared" si="414"/>
        <v>FY2004</v>
      </c>
      <c r="AB244" s="202">
        <f t="shared" si="414"/>
        <v>38442</v>
      </c>
      <c r="AC244" s="202">
        <f t="shared" si="414"/>
        <v>38512</v>
      </c>
      <c r="AD244" s="202">
        <f t="shared" si="414"/>
        <v>38604</v>
      </c>
      <c r="AE244" s="202">
        <f t="shared" si="414"/>
        <v>38695</v>
      </c>
      <c r="AF244" s="203" t="str">
        <f t="shared" si="414"/>
        <v>FY2005</v>
      </c>
      <c r="AG244" s="202">
        <f t="shared" si="414"/>
        <v>38807</v>
      </c>
      <c r="AH244" s="202">
        <f t="shared" si="414"/>
        <v>38877</v>
      </c>
      <c r="AI244" s="202">
        <f t="shared" si="414"/>
        <v>38969</v>
      </c>
      <c r="AJ244" s="202">
        <f t="shared" si="414"/>
        <v>39060</v>
      </c>
      <c r="AK244" s="203" t="str">
        <f t="shared" si="414"/>
        <v>FY2006</v>
      </c>
      <c r="AL244" s="202">
        <f t="shared" si="414"/>
        <v>39172</v>
      </c>
      <c r="AM244" s="202">
        <f t="shared" si="414"/>
        <v>39242</v>
      </c>
      <c r="AN244" s="202">
        <f t="shared" si="414"/>
        <v>39334</v>
      </c>
      <c r="AO244" s="202">
        <f t="shared" si="414"/>
        <v>39425</v>
      </c>
      <c r="AP244" s="203" t="str">
        <f t="shared" si="414"/>
        <v>FY2007</v>
      </c>
      <c r="AQ244" s="202">
        <f t="shared" si="414"/>
        <v>39538</v>
      </c>
      <c r="AR244" s="202">
        <f t="shared" si="414"/>
        <v>39608</v>
      </c>
      <c r="AS244" s="202">
        <f t="shared" si="414"/>
        <v>39700</v>
      </c>
      <c r="AT244" s="202">
        <f t="shared" si="414"/>
        <v>39791</v>
      </c>
      <c r="AU244" s="203" t="str">
        <f t="shared" si="414"/>
        <v>FY2008</v>
      </c>
      <c r="AV244" s="202">
        <f t="shared" si="414"/>
        <v>39903</v>
      </c>
      <c r="AW244" s="202">
        <f t="shared" si="414"/>
        <v>39973</v>
      </c>
      <c r="AX244" s="202">
        <f t="shared" si="414"/>
        <v>40065</v>
      </c>
      <c r="AY244" s="202">
        <f t="shared" si="414"/>
        <v>40156</v>
      </c>
      <c r="AZ244" s="203" t="str">
        <f t="shared" si="414"/>
        <v>FY2009</v>
      </c>
      <c r="BA244" s="202">
        <f t="shared" ref="BA244:CF244" si="415">BA238</f>
        <v>40247</v>
      </c>
      <c r="BB244" s="202">
        <f t="shared" si="415"/>
        <v>40339</v>
      </c>
      <c r="BC244" s="202">
        <f t="shared" si="415"/>
        <v>40431</v>
      </c>
      <c r="BD244" s="202">
        <f t="shared" si="415"/>
        <v>40522</v>
      </c>
      <c r="BE244" s="203" t="str">
        <f t="shared" si="415"/>
        <v>FY2010</v>
      </c>
      <c r="BF244" s="202">
        <f t="shared" si="415"/>
        <v>40613</v>
      </c>
      <c r="BG244" s="202">
        <f t="shared" si="415"/>
        <v>40705</v>
      </c>
      <c r="BH244" s="202">
        <f t="shared" si="415"/>
        <v>40797</v>
      </c>
      <c r="BI244" s="202">
        <f t="shared" si="415"/>
        <v>40888</v>
      </c>
      <c r="BJ244" s="416" t="str">
        <f t="shared" si="415"/>
        <v>FY2011</v>
      </c>
      <c r="BK244" s="414">
        <f t="shared" si="415"/>
        <v>40980</v>
      </c>
      <c r="BL244" s="414">
        <f t="shared" si="415"/>
        <v>41072</v>
      </c>
      <c r="BM244" s="414">
        <f t="shared" si="415"/>
        <v>41164</v>
      </c>
      <c r="BN244" s="414">
        <f t="shared" si="415"/>
        <v>41274</v>
      </c>
      <c r="BO244" s="416" t="str">
        <f t="shared" si="415"/>
        <v>FY2012</v>
      </c>
      <c r="BP244" s="414">
        <f t="shared" si="415"/>
        <v>41346</v>
      </c>
      <c r="BQ244" s="414">
        <f t="shared" si="415"/>
        <v>41438</v>
      </c>
      <c r="BR244" s="414">
        <f t="shared" si="415"/>
        <v>41530</v>
      </c>
      <c r="BS244" s="414">
        <f t="shared" si="415"/>
        <v>41621</v>
      </c>
      <c r="BT244" s="416" t="str">
        <f t="shared" si="415"/>
        <v>FY2013</v>
      </c>
      <c r="BU244" s="414">
        <f t="shared" si="415"/>
        <v>41712</v>
      </c>
      <c r="BV244" s="414">
        <f t="shared" si="415"/>
        <v>41804</v>
      </c>
      <c r="BW244" s="414">
        <f t="shared" si="415"/>
        <v>41896</v>
      </c>
      <c r="BX244" s="414">
        <f t="shared" si="415"/>
        <v>41987</v>
      </c>
      <c r="BY244" s="416" t="str">
        <f t="shared" si="415"/>
        <v>FY2014</v>
      </c>
      <c r="BZ244" s="414">
        <f t="shared" si="415"/>
        <v>42078</v>
      </c>
      <c r="CA244" s="414">
        <f t="shared" si="415"/>
        <v>42170</v>
      </c>
      <c r="CB244" s="414">
        <f t="shared" si="415"/>
        <v>42262</v>
      </c>
      <c r="CC244" s="414">
        <f t="shared" si="415"/>
        <v>42353</v>
      </c>
      <c r="CD244" s="416" t="str">
        <f t="shared" si="415"/>
        <v>FY2015</v>
      </c>
      <c r="CE244" s="414">
        <f t="shared" si="415"/>
        <v>42445</v>
      </c>
      <c r="CF244" s="414">
        <f t="shared" si="415"/>
        <v>42537</v>
      </c>
      <c r="CG244" s="414">
        <f t="shared" ref="CG244:CX244" si="416">CG238</f>
        <v>42629</v>
      </c>
      <c r="CH244" s="414">
        <f t="shared" si="416"/>
        <v>42720</v>
      </c>
      <c r="CI244" s="416" t="str">
        <f t="shared" si="416"/>
        <v>FY2016</v>
      </c>
      <c r="CJ244" s="414">
        <f t="shared" si="416"/>
        <v>42811</v>
      </c>
      <c r="CK244" s="414">
        <f t="shared" si="416"/>
        <v>42903</v>
      </c>
      <c r="CL244" s="414">
        <f t="shared" si="416"/>
        <v>42995</v>
      </c>
      <c r="CM244" s="414">
        <f t="shared" si="416"/>
        <v>43086</v>
      </c>
      <c r="CN244" s="416" t="str">
        <f t="shared" si="416"/>
        <v>FY2017</v>
      </c>
      <c r="CO244" s="414">
        <f t="shared" si="416"/>
        <v>43177</v>
      </c>
      <c r="CP244" s="414" t="str">
        <f t="shared" si="416"/>
        <v>Jun-18 E</v>
      </c>
      <c r="CQ244" s="414" t="str">
        <f t="shared" si="416"/>
        <v>Sep-18 E</v>
      </c>
      <c r="CR244" s="414" t="str">
        <f t="shared" si="416"/>
        <v>Dec-18 E</v>
      </c>
      <c r="CS244" s="416" t="str">
        <f t="shared" si="416"/>
        <v>FY2018E</v>
      </c>
      <c r="CT244" s="414" t="str">
        <f t="shared" si="416"/>
        <v>Mar-19 E</v>
      </c>
      <c r="CU244" s="414" t="str">
        <f t="shared" si="416"/>
        <v>Jun-19 E</v>
      </c>
      <c r="CV244" s="414" t="str">
        <f t="shared" si="416"/>
        <v>Sep-19 E</v>
      </c>
      <c r="CW244" s="414" t="str">
        <f t="shared" si="416"/>
        <v>Dec-19 E</v>
      </c>
      <c r="CX244" s="416" t="str">
        <f t="shared" si="416"/>
        <v>FY2019E</v>
      </c>
      <c r="CY244" s="414" t="str">
        <f t="shared" ref="CY244:DH244" si="417">CY238</f>
        <v>Mar-20 E</v>
      </c>
      <c r="CZ244" s="414" t="str">
        <f t="shared" si="417"/>
        <v>Jun-20 E</v>
      </c>
      <c r="DA244" s="414" t="str">
        <f t="shared" si="417"/>
        <v>Sep-20 E</v>
      </c>
      <c r="DB244" s="414" t="str">
        <f t="shared" si="417"/>
        <v>Dec-20 E</v>
      </c>
      <c r="DC244" s="583" t="str">
        <f t="shared" si="417"/>
        <v>FY2020E</v>
      </c>
      <c r="DD244" s="414" t="str">
        <f t="shared" si="417"/>
        <v>Mar-21 E</v>
      </c>
      <c r="DE244" s="414" t="str">
        <f t="shared" si="417"/>
        <v>Jun-21 E</v>
      </c>
      <c r="DF244" s="414" t="str">
        <f t="shared" si="417"/>
        <v>Sep-21 E</v>
      </c>
      <c r="DG244" s="414" t="str">
        <f t="shared" si="417"/>
        <v>Dec-21 E</v>
      </c>
      <c r="DH244" s="583" t="str">
        <f t="shared" si="417"/>
        <v>FY2021E</v>
      </c>
      <c r="DI244" s="414" t="str">
        <f>DI238</f>
        <v>Mar-22 E</v>
      </c>
      <c r="DJ244" s="414" t="str">
        <f>DJ238</f>
        <v>Jun-22 E</v>
      </c>
      <c r="DK244" s="414" t="str">
        <f>DK238</f>
        <v>Sep-22 E</v>
      </c>
      <c r="DL244" s="414" t="str">
        <f>DL238</f>
        <v>Dec-22 E</v>
      </c>
      <c r="DM244" s="583" t="str">
        <f>DM238</f>
        <v>FY2022E</v>
      </c>
      <c r="DN244" s="207"/>
    </row>
    <row r="245" spans="1:118" ht="15" hidden="1" outlineLevel="1" x14ac:dyDescent="0.2">
      <c r="B245" s="360" t="s">
        <v>127</v>
      </c>
      <c r="C245" s="235"/>
      <c r="D245" s="235"/>
      <c r="E245" s="235"/>
      <c r="F245" s="235"/>
      <c r="G245" s="237"/>
      <c r="H245" s="235">
        <f t="shared" ref="H245:M245" si="418">H212</f>
        <v>75.985130111524171</v>
      </c>
      <c r="I245" s="235">
        <f t="shared" si="418"/>
        <v>69.116529449018358</v>
      </c>
      <c r="J245" s="235">
        <f t="shared" si="418"/>
        <v>61.480496453900706</v>
      </c>
      <c r="K245" s="235">
        <f t="shared" si="418"/>
        <v>67.415091036414566</v>
      </c>
      <c r="L245" s="237">
        <f t="shared" si="418"/>
        <v>67.782263401720726</v>
      </c>
      <c r="M245" s="235">
        <f t="shared" si="418"/>
        <v>82.085724533715918</v>
      </c>
      <c r="N245" s="235">
        <f t="shared" ref="N245:AZ245" si="419">N212</f>
        <v>65.584457706279196</v>
      </c>
      <c r="O245" s="235">
        <f t="shared" si="419"/>
        <v>56.379620739318291</v>
      </c>
      <c r="P245" s="235">
        <f t="shared" si="419"/>
        <v>69.416519694297477</v>
      </c>
      <c r="Q245" s="237">
        <f t="shared" si="419"/>
        <v>64.472202674173118</v>
      </c>
      <c r="R245" s="235">
        <f t="shared" si="419"/>
        <v>74.519922109047329</v>
      </c>
      <c r="S245" s="235">
        <f t="shared" si="419"/>
        <v>62.549365303244009</v>
      </c>
      <c r="T245" s="235">
        <f t="shared" si="419"/>
        <v>54.421702029520297</v>
      </c>
      <c r="U245" s="235">
        <f t="shared" si="419"/>
        <v>61.754054054054052</v>
      </c>
      <c r="V245" s="237">
        <f t="shared" si="419"/>
        <v>62.219093933964679</v>
      </c>
      <c r="W245" s="235">
        <f t="shared" si="419"/>
        <v>72.406588705077013</v>
      </c>
      <c r="X245" s="235">
        <f t="shared" si="419"/>
        <v>66.725723393820502</v>
      </c>
      <c r="Y245" s="235">
        <f t="shared" si="419"/>
        <v>62.87889863547759</v>
      </c>
      <c r="Z245" s="235">
        <f t="shared" si="419"/>
        <v>71.469939327082187</v>
      </c>
      <c r="AA245" s="237">
        <f t="shared" si="419"/>
        <v>66.431239388794566</v>
      </c>
      <c r="AB245" s="235">
        <f t="shared" si="419"/>
        <v>75.840896589658968</v>
      </c>
      <c r="AC245" s="235">
        <f t="shared" si="419"/>
        <v>61.556215722120662</v>
      </c>
      <c r="AD245" s="235">
        <f t="shared" si="419"/>
        <v>58.424496644295303</v>
      </c>
      <c r="AE245" s="235">
        <f t="shared" si="419"/>
        <v>64.937531234382817</v>
      </c>
      <c r="AF245" s="237">
        <f t="shared" si="419"/>
        <v>64.320067944673625</v>
      </c>
      <c r="AG245" s="235">
        <f t="shared" si="419"/>
        <v>81.892381228273464</v>
      </c>
      <c r="AH245" s="235">
        <f t="shared" si="419"/>
        <v>70.232227488151651</v>
      </c>
      <c r="AI245" s="235">
        <f t="shared" si="419"/>
        <v>64.136865342163361</v>
      </c>
      <c r="AJ245" s="235">
        <f t="shared" si="419"/>
        <v>72.725230694511893</v>
      </c>
      <c r="AK245" s="237">
        <f t="shared" si="419"/>
        <v>70.047794117647058</v>
      </c>
      <c r="AL245" s="235">
        <f t="shared" si="419"/>
        <v>81.362097150864088</v>
      </c>
      <c r="AM245" s="235">
        <f t="shared" si="419"/>
        <v>69.724358974358964</v>
      </c>
      <c r="AN245" s="235">
        <f t="shared" si="419"/>
        <v>64.866365845192647</v>
      </c>
      <c r="AO245" s="235">
        <f t="shared" si="419"/>
        <v>76.703900037864443</v>
      </c>
      <c r="AP245" s="237">
        <f t="shared" si="419"/>
        <v>69.565284325988642</v>
      </c>
      <c r="AQ245" s="235">
        <f t="shared" si="419"/>
        <v>85.094798018292678</v>
      </c>
      <c r="AR245" s="235">
        <f t="shared" si="419"/>
        <v>73.040401644528771</v>
      </c>
      <c r="AS245" s="235">
        <f t="shared" si="419"/>
        <v>70.129552980132459</v>
      </c>
      <c r="AT245" s="235">
        <f t="shared" si="419"/>
        <v>77.711740654205613</v>
      </c>
      <c r="AU245" s="237">
        <f t="shared" si="419"/>
        <v>75.13082468788464</v>
      </c>
      <c r="AV245" s="235">
        <f t="shared" si="419"/>
        <v>80.96235521235522</v>
      </c>
      <c r="AW245" s="235">
        <f t="shared" si="419"/>
        <v>77.780209406110544</v>
      </c>
      <c r="AX245" s="235">
        <f t="shared" si="419"/>
        <v>72.807174505794137</v>
      </c>
      <c r="AY245" s="235">
        <f t="shared" si="419"/>
        <v>81.026970954356841</v>
      </c>
      <c r="AZ245" s="237">
        <f t="shared" si="419"/>
        <v>76.785624098124103</v>
      </c>
      <c r="BA245" s="235">
        <f t="shared" ref="BA245:CF245" si="420">BA212</f>
        <v>83.565033451397085</v>
      </c>
      <c r="BB245" s="235">
        <f t="shared" si="420"/>
        <v>72.969120135363795</v>
      </c>
      <c r="BC245" s="235">
        <f t="shared" si="420"/>
        <v>70.642135023989027</v>
      </c>
      <c r="BD245" s="235">
        <f t="shared" si="420"/>
        <v>59.765818091942663</v>
      </c>
      <c r="BE245" s="237">
        <f t="shared" si="420"/>
        <v>70.029614767255211</v>
      </c>
      <c r="BF245" s="235">
        <f t="shared" si="420"/>
        <v>69.9598710819009</v>
      </c>
      <c r="BG245" s="235">
        <f t="shared" si="420"/>
        <v>59.45576690821256</v>
      </c>
      <c r="BH245" s="235">
        <f t="shared" si="420"/>
        <v>60.5786940142319</v>
      </c>
      <c r="BI245" s="235">
        <f t="shared" si="420"/>
        <v>64.343215507411628</v>
      </c>
      <c r="BJ245" s="491">
        <f t="shared" si="420"/>
        <v>61.283352684248364</v>
      </c>
      <c r="BK245" s="486">
        <f t="shared" si="420"/>
        <v>71.741091822750121</v>
      </c>
      <c r="BL245" s="486">
        <f t="shared" si="420"/>
        <v>63.041939522342062</v>
      </c>
      <c r="BM245" s="486">
        <f t="shared" si="420"/>
        <v>64.126146788990823</v>
      </c>
      <c r="BN245" s="486">
        <f t="shared" si="420"/>
        <v>65.344449319877143</v>
      </c>
      <c r="BO245" s="491">
        <f t="shared" si="420"/>
        <v>64.558188409604369</v>
      </c>
      <c r="BP245" s="486">
        <f t="shared" si="420"/>
        <v>77.462638267827728</v>
      </c>
      <c r="BQ245" s="486">
        <f t="shared" si="420"/>
        <v>67.142748939608168</v>
      </c>
      <c r="BR245" s="486">
        <f t="shared" si="420"/>
        <v>62.57304356803634</v>
      </c>
      <c r="BS245" s="486">
        <f t="shared" si="420"/>
        <v>69.091092883548981</v>
      </c>
      <c r="BT245" s="491">
        <f t="shared" si="420"/>
        <v>67.997169451853466</v>
      </c>
      <c r="BU245" s="486">
        <f t="shared" si="420"/>
        <v>74.009724571152461</v>
      </c>
      <c r="BV245" s="486">
        <f t="shared" si="420"/>
        <v>66.775662251655632</v>
      </c>
      <c r="BW245" s="486">
        <f t="shared" si="420"/>
        <v>64.320552807055279</v>
      </c>
      <c r="BX245" s="486">
        <f t="shared" si="420"/>
        <v>66.061419897244278</v>
      </c>
      <c r="BY245" s="491">
        <f t="shared" si="420"/>
        <v>67.474639705060895</v>
      </c>
      <c r="BZ245" s="486">
        <f t="shared" si="420"/>
        <v>71.537688748173409</v>
      </c>
      <c r="CA245" s="486">
        <f t="shared" si="420"/>
        <v>61.649203688181061</v>
      </c>
      <c r="CB245" s="486">
        <f t="shared" si="420"/>
        <v>59.218889384478146</v>
      </c>
      <c r="CC245" s="486">
        <f t="shared" si="420"/>
        <v>65.320054267390233</v>
      </c>
      <c r="CD245" s="491">
        <f t="shared" si="420"/>
        <v>64.361219568213144</v>
      </c>
      <c r="CE245" s="486">
        <f t="shared" si="420"/>
        <v>67.645129948991979</v>
      </c>
      <c r="CF245" s="486">
        <f t="shared" si="420"/>
        <v>60.22540083461454</v>
      </c>
      <c r="CG245" s="486">
        <f t="shared" ref="CG245:CX245" si="421">CG212</f>
        <v>60.737660295185094</v>
      </c>
      <c r="CH245" s="486">
        <f t="shared" si="421"/>
        <v>64.066601049868765</v>
      </c>
      <c r="CI245" s="491">
        <f t="shared" si="421"/>
        <v>63.209835670860166</v>
      </c>
      <c r="CJ245" s="486">
        <f t="shared" si="421"/>
        <v>74.555720758991782</v>
      </c>
      <c r="CK245" s="486">
        <f t="shared" si="421"/>
        <v>70.114982098595434</v>
      </c>
      <c r="CL245" s="486">
        <f t="shared" si="421"/>
        <v>70.554402608953453</v>
      </c>
      <c r="CM245" s="486">
        <f t="shared" si="421"/>
        <v>90.062732342007436</v>
      </c>
      <c r="CN245" s="491">
        <f t="shared" si="421"/>
        <v>75.141701323251411</v>
      </c>
      <c r="CO245" s="486">
        <f t="shared" si="421"/>
        <v>97.561430651619943</v>
      </c>
      <c r="CP245" s="486">
        <f t="shared" si="421"/>
        <v>59.894982098595428</v>
      </c>
      <c r="CQ245" s="486">
        <f t="shared" si="421"/>
        <v>60.334402608953461</v>
      </c>
      <c r="CR245" s="486">
        <f t="shared" si="421"/>
        <v>79.842732342007437</v>
      </c>
      <c r="CS245" s="491">
        <f t="shared" si="421"/>
        <v>76.920265297103526</v>
      </c>
      <c r="CT245" s="486">
        <f t="shared" si="421"/>
        <v>108.51143065161995</v>
      </c>
      <c r="CU245" s="486">
        <f t="shared" si="421"/>
        <v>70.844982098595437</v>
      </c>
      <c r="CV245" s="486">
        <f t="shared" si="421"/>
        <v>71.284402608953457</v>
      </c>
      <c r="CW245" s="486">
        <f t="shared" si="421"/>
        <v>90.792732342007426</v>
      </c>
      <c r="CX245" s="491">
        <f t="shared" si="421"/>
        <v>81.749466455314064</v>
      </c>
      <c r="CY245" s="486">
        <f t="shared" ref="CY245:DH245" si="422">CY212</f>
        <v>119.46143065161996</v>
      </c>
      <c r="CZ245" s="486">
        <f t="shared" si="422"/>
        <v>81.794982098595426</v>
      </c>
      <c r="DA245" s="486">
        <f t="shared" si="422"/>
        <v>82.234402608953445</v>
      </c>
      <c r="DB245" s="486">
        <f t="shared" si="422"/>
        <v>101.74273234200744</v>
      </c>
      <c r="DC245" s="584">
        <f t="shared" si="422"/>
        <v>92.380985104234313</v>
      </c>
      <c r="DD245" s="486">
        <f t="shared" si="422"/>
        <v>130.41143065161998</v>
      </c>
      <c r="DE245" s="486">
        <f t="shared" si="422"/>
        <v>92.744982098595429</v>
      </c>
      <c r="DF245" s="486">
        <f t="shared" si="422"/>
        <v>93.184402608953448</v>
      </c>
      <c r="DG245" s="486">
        <f t="shared" si="422"/>
        <v>112.69273234200745</v>
      </c>
      <c r="DH245" s="584">
        <f t="shared" si="422"/>
        <v>103.09411742459446</v>
      </c>
      <c r="DI245" s="486">
        <f>DI212</f>
        <v>141.36143065161997</v>
      </c>
      <c r="DJ245" s="486">
        <f>DJ212</f>
        <v>103.69498209859542</v>
      </c>
      <c r="DK245" s="486">
        <f>DK212</f>
        <v>104.13440260895345</v>
      </c>
      <c r="DL245" s="486">
        <f>DL212</f>
        <v>123.64273234200746</v>
      </c>
      <c r="DM245" s="584">
        <f>DM212</f>
        <v>113.80553889683223</v>
      </c>
      <c r="DN245" s="207"/>
    </row>
    <row r="246" spans="1:118" ht="15" hidden="1" outlineLevel="1" x14ac:dyDescent="0.2">
      <c r="B246" s="360" t="s">
        <v>128</v>
      </c>
      <c r="C246" s="235"/>
      <c r="D246" s="235"/>
      <c r="E246" s="235"/>
      <c r="F246" s="235"/>
      <c r="G246" s="237"/>
      <c r="H246" s="235">
        <f t="shared" ref="H246:M246" si="423">H210</f>
        <v>40.31226319777722</v>
      </c>
      <c r="I246" s="235">
        <f t="shared" si="423"/>
        <v>36.41763378465506</v>
      </c>
      <c r="J246" s="235">
        <f t="shared" si="423"/>
        <v>35.120074547390843</v>
      </c>
      <c r="K246" s="235">
        <f t="shared" si="423"/>
        <v>40.522062293534681</v>
      </c>
      <c r="L246" s="237">
        <f t="shared" si="423"/>
        <v>37.850156739811915</v>
      </c>
      <c r="M246" s="235">
        <f t="shared" si="423"/>
        <v>44.316315273351307</v>
      </c>
      <c r="N246" s="235">
        <f t="shared" ref="N246:AZ246" si="424">N210</f>
        <v>39.675391207153503</v>
      </c>
      <c r="O246" s="235">
        <f t="shared" si="424"/>
        <v>37.429302893649002</v>
      </c>
      <c r="P246" s="235">
        <f t="shared" si="424"/>
        <v>39.906412930135559</v>
      </c>
      <c r="Q246" s="237">
        <f t="shared" si="424"/>
        <v>39.093283582089555</v>
      </c>
      <c r="R246" s="235">
        <f t="shared" si="424"/>
        <v>42.815730337078655</v>
      </c>
      <c r="S246" s="235">
        <f t="shared" si="424"/>
        <v>37.814878739599926</v>
      </c>
      <c r="T246" s="235">
        <f t="shared" si="424"/>
        <v>34.631024096385545</v>
      </c>
      <c r="U246" s="235">
        <f t="shared" si="424"/>
        <v>37.310080172076653</v>
      </c>
      <c r="V246" s="237">
        <f t="shared" si="424"/>
        <v>37.656757922999475</v>
      </c>
      <c r="W246" s="235">
        <f t="shared" si="424"/>
        <v>36.641557279236274</v>
      </c>
      <c r="X246" s="235">
        <f t="shared" si="424"/>
        <v>33.019107203246534</v>
      </c>
      <c r="Y246" s="235">
        <f t="shared" si="424"/>
        <v>32.367986061472479</v>
      </c>
      <c r="Z246" s="235">
        <f t="shared" si="424"/>
        <v>38.067592236740971</v>
      </c>
      <c r="AA246" s="237">
        <f t="shared" si="424"/>
        <v>34.938736086836535</v>
      </c>
      <c r="AB246" s="235">
        <f t="shared" si="424"/>
        <v>37.071407990779868</v>
      </c>
      <c r="AC246" s="235">
        <f t="shared" si="424"/>
        <v>33.96929477020602</v>
      </c>
      <c r="AD246" s="235">
        <f t="shared" si="424"/>
        <v>33.510228590359453</v>
      </c>
      <c r="AE246" s="235">
        <f t="shared" si="424"/>
        <v>37.496171860925955</v>
      </c>
      <c r="AF246" s="237">
        <f t="shared" si="424"/>
        <v>35.176116689750685</v>
      </c>
      <c r="AG246" s="235">
        <f t="shared" si="424"/>
        <v>39.059749330271714</v>
      </c>
      <c r="AH246" s="235">
        <f t="shared" si="424"/>
        <v>36.536635268684371</v>
      </c>
      <c r="AI246" s="235">
        <f t="shared" si="424"/>
        <v>35.19077316392935</v>
      </c>
      <c r="AJ246" s="235">
        <f t="shared" si="424"/>
        <v>39.794967970330411</v>
      </c>
      <c r="AK246" s="237">
        <f t="shared" si="424"/>
        <v>36.93336931252076</v>
      </c>
      <c r="AL246" s="235">
        <f t="shared" si="424"/>
        <v>41.58057512698673</v>
      </c>
      <c r="AM246" s="235">
        <f t="shared" si="424"/>
        <v>39.117257209362471</v>
      </c>
      <c r="AN246" s="235">
        <f t="shared" si="424"/>
        <v>36.974642392717811</v>
      </c>
      <c r="AO246" s="235">
        <f t="shared" si="424"/>
        <v>41.28717091801937</v>
      </c>
      <c r="AP246" s="237">
        <f t="shared" si="424"/>
        <v>38.239179401878225</v>
      </c>
      <c r="AQ246" s="235">
        <f t="shared" si="424"/>
        <v>43.281609974251253</v>
      </c>
      <c r="AR246" s="235">
        <f t="shared" si="424"/>
        <v>41.085700862259564</v>
      </c>
      <c r="AS246" s="235">
        <f t="shared" si="424"/>
        <v>39.94429882044561</v>
      </c>
      <c r="AT246" s="235">
        <f t="shared" si="424"/>
        <v>39.568130788661243</v>
      </c>
      <c r="AU246" s="237">
        <f t="shared" si="424"/>
        <v>40.343789130979218</v>
      </c>
      <c r="AV246" s="235">
        <f t="shared" si="424"/>
        <v>39.954491560887156</v>
      </c>
      <c r="AW246" s="235">
        <f t="shared" si="424"/>
        <v>41.347828716584011</v>
      </c>
      <c r="AX246" s="235">
        <f t="shared" si="424"/>
        <v>39.306470661362503</v>
      </c>
      <c r="AY246" s="235">
        <f t="shared" si="424"/>
        <v>45.661451398135824</v>
      </c>
      <c r="AZ246" s="237">
        <f t="shared" si="424"/>
        <v>40.511584382058729</v>
      </c>
      <c r="BA246" s="235">
        <f t="shared" ref="BA246:CF246" si="425">BA210</f>
        <v>44.927740863787371</v>
      </c>
      <c r="BB246" s="235">
        <f t="shared" si="425"/>
        <v>42.090298593497813</v>
      </c>
      <c r="BC246" s="235">
        <f t="shared" si="425"/>
        <v>40.286019463565154</v>
      </c>
      <c r="BD246" s="235">
        <f t="shared" si="425"/>
        <v>38.506144027433798</v>
      </c>
      <c r="BE246" s="237">
        <f t="shared" si="425"/>
        <v>40.765936850496828</v>
      </c>
      <c r="BF246" s="235">
        <f t="shared" si="425"/>
        <v>39.225817923186341</v>
      </c>
      <c r="BG246" s="235">
        <f t="shared" si="425"/>
        <v>40.359611909812237</v>
      </c>
      <c r="BH246" s="235">
        <f t="shared" si="425"/>
        <v>38.242567181246422</v>
      </c>
      <c r="BI246" s="235">
        <f t="shared" si="425"/>
        <v>40.676814351726009</v>
      </c>
      <c r="BJ246" s="491">
        <f t="shared" si="425"/>
        <v>38.64355372255875</v>
      </c>
      <c r="BK246" s="486">
        <f t="shared" si="425"/>
        <v>39.435990663434779</v>
      </c>
      <c r="BL246" s="486">
        <f t="shared" si="425"/>
        <v>37.639578874961785</v>
      </c>
      <c r="BM246" s="486">
        <f t="shared" si="425"/>
        <v>37.574833927414126</v>
      </c>
      <c r="BN246" s="486">
        <f t="shared" si="425"/>
        <v>37.876907980811168</v>
      </c>
      <c r="BO246" s="491">
        <f t="shared" si="425"/>
        <v>37.954467854763493</v>
      </c>
      <c r="BP246" s="486">
        <f t="shared" si="425"/>
        <v>41.388599510825252</v>
      </c>
      <c r="BQ246" s="486">
        <f t="shared" si="425"/>
        <v>39.483448384060246</v>
      </c>
      <c r="BR246" s="486">
        <f t="shared" si="425"/>
        <v>38.533635988444075</v>
      </c>
      <c r="BS246" s="486">
        <f t="shared" si="425"/>
        <v>40.302841475573281</v>
      </c>
      <c r="BT246" s="491">
        <f t="shared" si="425"/>
        <v>39.305060189623951</v>
      </c>
      <c r="BU246" s="486">
        <f t="shared" si="425"/>
        <v>45.116331254724116</v>
      </c>
      <c r="BV246" s="486">
        <f t="shared" si="425"/>
        <v>42.693886497688503</v>
      </c>
      <c r="BW246" s="486">
        <f t="shared" si="425"/>
        <v>38.698042734329356</v>
      </c>
      <c r="BX246" s="486">
        <f t="shared" si="425"/>
        <v>37.383955600403631</v>
      </c>
      <c r="BY246" s="491">
        <f t="shared" si="425"/>
        <v>40.49332782752326</v>
      </c>
      <c r="BZ246" s="486">
        <f t="shared" si="425"/>
        <v>38.032911333271045</v>
      </c>
      <c r="CA246" s="486">
        <f t="shared" si="425"/>
        <v>37.374269487200593</v>
      </c>
      <c r="CB246" s="486">
        <f t="shared" si="425"/>
        <v>32.241666666666667</v>
      </c>
      <c r="CC246" s="486">
        <f t="shared" si="425"/>
        <v>35.943653173413296</v>
      </c>
      <c r="CD246" s="491">
        <f t="shared" si="425"/>
        <v>36.076914386424747</v>
      </c>
      <c r="CE246" s="486">
        <f t="shared" si="425"/>
        <v>36.63604898828541</v>
      </c>
      <c r="CF246" s="486">
        <f t="shared" si="425"/>
        <v>37.754251995834778</v>
      </c>
      <c r="CG246" s="486">
        <f t="shared" ref="CG246:CX246" si="426">CG210</f>
        <v>35.053877282138153</v>
      </c>
      <c r="CH246" s="486">
        <f t="shared" si="426"/>
        <v>37.531733333333335</v>
      </c>
      <c r="CI246" s="491">
        <f t="shared" si="426"/>
        <v>36.268026950829075</v>
      </c>
      <c r="CJ246" s="486">
        <f t="shared" si="426"/>
        <v>37.048420706295239</v>
      </c>
      <c r="CK246" s="486">
        <f t="shared" si="426"/>
        <v>37.846835703978563</v>
      </c>
      <c r="CL246" s="486">
        <f t="shared" si="426"/>
        <v>36.829698171403393</v>
      </c>
      <c r="CM246" s="486">
        <f t="shared" si="426"/>
        <v>44.79434404283802</v>
      </c>
      <c r="CN246" s="491">
        <f t="shared" si="426"/>
        <v>39.03667156751866</v>
      </c>
      <c r="CO246" s="486">
        <f t="shared" si="426"/>
        <v>46.726128016789083</v>
      </c>
      <c r="CP246" s="486">
        <f t="shared" si="426"/>
        <v>29.816835703978565</v>
      </c>
      <c r="CQ246" s="486">
        <f t="shared" si="426"/>
        <v>28.799698171403396</v>
      </c>
      <c r="CR246" s="486">
        <f t="shared" si="426"/>
        <v>36.764344042838019</v>
      </c>
      <c r="CS246" s="491">
        <f t="shared" si="426"/>
        <v>36.509345641150979</v>
      </c>
      <c r="CT246" s="486">
        <f t="shared" si="426"/>
        <v>54.02612801678908</v>
      </c>
      <c r="CU246" s="486">
        <f t="shared" si="426"/>
        <v>37.116835703978566</v>
      </c>
      <c r="CV246" s="486">
        <f t="shared" si="426"/>
        <v>36.099698171403396</v>
      </c>
      <c r="CW246" s="486">
        <f t="shared" si="426"/>
        <v>44.064344042838016</v>
      </c>
      <c r="CX246" s="491">
        <f t="shared" si="426"/>
        <v>40.444471505679353</v>
      </c>
      <c r="CY246" s="486">
        <f t="shared" ref="CY246:DH246" si="427">CY210</f>
        <v>61.326128016789077</v>
      </c>
      <c r="CZ246" s="486">
        <f t="shared" si="427"/>
        <v>44.41683570397857</v>
      </c>
      <c r="DA246" s="486">
        <f t="shared" si="427"/>
        <v>43.399698171403401</v>
      </c>
      <c r="DB246" s="486">
        <f t="shared" si="427"/>
        <v>51.36434404283802</v>
      </c>
      <c r="DC246" s="584">
        <f t="shared" si="427"/>
        <v>47.587631697705284</v>
      </c>
      <c r="DD246" s="486">
        <f t="shared" si="427"/>
        <v>68.626128016789067</v>
      </c>
      <c r="DE246" s="486">
        <f t="shared" si="427"/>
        <v>51.716835703978568</v>
      </c>
      <c r="DF246" s="486">
        <f t="shared" si="427"/>
        <v>50.699698171403398</v>
      </c>
      <c r="DG246" s="486">
        <f t="shared" si="427"/>
        <v>58.664344042838017</v>
      </c>
      <c r="DH246" s="584">
        <f t="shared" si="427"/>
        <v>54.771833777505634</v>
      </c>
      <c r="DI246" s="486">
        <f>DI210</f>
        <v>75.926128016789065</v>
      </c>
      <c r="DJ246" s="486">
        <f>DJ210</f>
        <v>59.016835703978558</v>
      </c>
      <c r="DK246" s="486">
        <f>DK210</f>
        <v>57.999698171403388</v>
      </c>
      <c r="DL246" s="486">
        <f>DL210</f>
        <v>65.964344042838007</v>
      </c>
      <c r="DM246" s="584">
        <f>DM210</f>
        <v>61.949272271937659</v>
      </c>
      <c r="DN246" s="207"/>
    </row>
    <row r="247" spans="1:118" ht="15" hidden="1" outlineLevel="1" x14ac:dyDescent="0.2">
      <c r="B247" s="360" t="s">
        <v>129</v>
      </c>
      <c r="C247" s="235"/>
      <c r="D247" s="235"/>
      <c r="E247" s="235"/>
      <c r="F247" s="235"/>
      <c r="G247" s="237"/>
      <c r="H247" s="235">
        <f t="shared" ref="H247:M247" si="428">H221</f>
        <v>269.8828996282528</v>
      </c>
      <c r="I247" s="235">
        <f t="shared" si="428"/>
        <v>234.10623812539583</v>
      </c>
      <c r="J247" s="235">
        <f t="shared" si="428"/>
        <v>219.06471631205673</v>
      </c>
      <c r="K247" s="235">
        <f t="shared" si="428"/>
        <v>235.09016106442579</v>
      </c>
      <c r="L247" s="237">
        <f t="shared" si="428"/>
        <v>237.63649900727992</v>
      </c>
      <c r="M247" s="235">
        <f t="shared" si="428"/>
        <v>261.77098278335723</v>
      </c>
      <c r="N247" s="235">
        <f t="shared" ref="N247:AZ247" si="429">N221</f>
        <v>212.37999481058642</v>
      </c>
      <c r="O247" s="235">
        <f t="shared" si="429"/>
        <v>188.8520163226116</v>
      </c>
      <c r="P247" s="235">
        <f t="shared" si="429"/>
        <v>198.05702527924748</v>
      </c>
      <c r="Q247" s="237">
        <f t="shared" si="429"/>
        <v>207.19465165376494</v>
      </c>
      <c r="R247" s="235">
        <f t="shared" si="429"/>
        <v>229.30047932893947</v>
      </c>
      <c r="S247" s="235">
        <f t="shared" si="429"/>
        <v>197.17207334273627</v>
      </c>
      <c r="T247" s="235">
        <f t="shared" si="429"/>
        <v>196.2632610701107</v>
      </c>
      <c r="U247" s="235">
        <f t="shared" si="429"/>
        <v>200.15810810810808</v>
      </c>
      <c r="V247" s="237">
        <f t="shared" si="429"/>
        <v>198.08280010238036</v>
      </c>
      <c r="W247" s="235">
        <f t="shared" si="429"/>
        <v>209.77609811751282</v>
      </c>
      <c r="X247" s="235">
        <f t="shared" si="429"/>
        <v>187.87027954879844</v>
      </c>
      <c r="Y247" s="235">
        <f t="shared" si="429"/>
        <v>178.80908869395711</v>
      </c>
      <c r="Z247" s="235">
        <f t="shared" si="429"/>
        <v>215.56742967457254</v>
      </c>
      <c r="AA247" s="237">
        <f t="shared" si="429"/>
        <v>196.30011753950632</v>
      </c>
      <c r="AB247" s="235">
        <f t="shared" si="429"/>
        <v>202.07508250825083</v>
      </c>
      <c r="AC247" s="235">
        <f t="shared" si="429"/>
        <v>178.82998171846435</v>
      </c>
      <c r="AD247" s="235">
        <f t="shared" si="429"/>
        <v>212.0592841163311</v>
      </c>
      <c r="AE247" s="235">
        <f t="shared" si="429"/>
        <v>204.89067966016992</v>
      </c>
      <c r="AF247" s="237">
        <f t="shared" si="429"/>
        <v>197.37102644989082</v>
      </c>
      <c r="AG247" s="235">
        <f t="shared" si="429"/>
        <v>261.90758980301274</v>
      </c>
      <c r="AH247" s="235">
        <f t="shared" si="429"/>
        <v>229.94135071090045</v>
      </c>
      <c r="AI247" s="235">
        <f t="shared" si="429"/>
        <v>226.41280353200881</v>
      </c>
      <c r="AJ247" s="235">
        <f t="shared" si="429"/>
        <v>224.02561923263721</v>
      </c>
      <c r="AK247" s="237">
        <f t="shared" si="429"/>
        <v>227.57928921568629</v>
      </c>
      <c r="AL247" s="235">
        <f t="shared" si="429"/>
        <v>247.32543204110226</v>
      </c>
      <c r="AM247" s="235">
        <f t="shared" si="429"/>
        <v>221.64056776556774</v>
      </c>
      <c r="AN247" s="235">
        <f t="shared" si="429"/>
        <v>225.82870531065603</v>
      </c>
      <c r="AO247" s="235">
        <f t="shared" si="429"/>
        <v>238.92228322605072</v>
      </c>
      <c r="AP247" s="237">
        <f t="shared" si="429"/>
        <v>221.49350524391417</v>
      </c>
      <c r="AQ247" s="235">
        <f t="shared" si="429"/>
        <v>271.42006478658539</v>
      </c>
      <c r="AR247" s="235">
        <f t="shared" si="429"/>
        <v>230.23165717900062</v>
      </c>
      <c r="AS247" s="235">
        <f t="shared" si="429"/>
        <v>231.41846026490066</v>
      </c>
      <c r="AT247" s="235">
        <f t="shared" si="429"/>
        <v>220.48529984423675</v>
      </c>
      <c r="AU247" s="237">
        <f t="shared" si="429"/>
        <v>234.66027782662212</v>
      </c>
      <c r="AV247" s="235">
        <f t="shared" si="429"/>
        <v>199.09411196911196</v>
      </c>
      <c r="AW247" s="235">
        <f t="shared" si="429"/>
        <v>199.10230003432886</v>
      </c>
      <c r="AX247" s="235">
        <f t="shared" si="429"/>
        <v>210.08648602590321</v>
      </c>
      <c r="AY247" s="235">
        <f t="shared" si="429"/>
        <v>229.14041870992077</v>
      </c>
      <c r="AZ247" s="237">
        <f t="shared" si="429"/>
        <v>208.20274170274169</v>
      </c>
      <c r="BA247" s="235">
        <f t="shared" ref="BA247:CF247" si="430">BA221</f>
        <v>214.13764266036992</v>
      </c>
      <c r="BB247" s="235">
        <f t="shared" si="430"/>
        <v>191.51692047377324</v>
      </c>
      <c r="BC247" s="235">
        <f t="shared" si="430"/>
        <v>247.20056545579166</v>
      </c>
      <c r="BD247" s="235">
        <f t="shared" si="430"/>
        <v>199.79825753830943</v>
      </c>
      <c r="BE247" s="237">
        <f t="shared" si="430"/>
        <v>208.48940609951848</v>
      </c>
      <c r="BF247" s="235">
        <f t="shared" si="430"/>
        <v>191.2421006066734</v>
      </c>
      <c r="BG247" s="235">
        <f t="shared" si="430"/>
        <v>165.05082528180355</v>
      </c>
      <c r="BH247" s="235">
        <f t="shared" si="430"/>
        <v>187.86652365006276</v>
      </c>
      <c r="BI247" s="235">
        <f t="shared" si="430"/>
        <v>187.47348916761686</v>
      </c>
      <c r="BJ247" s="491">
        <f t="shared" si="430"/>
        <v>181.54951069829158</v>
      </c>
      <c r="BK247" s="486">
        <f t="shared" si="430"/>
        <v>202.52997944266789</v>
      </c>
      <c r="BL247" s="486">
        <f t="shared" si="430"/>
        <v>171.79675462249614</v>
      </c>
      <c r="BM247" s="486">
        <f t="shared" si="430"/>
        <v>182.36977573904178</v>
      </c>
      <c r="BN247" s="486">
        <f t="shared" si="430"/>
        <v>189.70710838086879</v>
      </c>
      <c r="BO247" s="491">
        <f t="shared" si="430"/>
        <v>183.25750013135078</v>
      </c>
      <c r="BP247" s="486">
        <f t="shared" si="430"/>
        <v>212.45851965168274</v>
      </c>
      <c r="BQ247" s="486">
        <f t="shared" si="430"/>
        <v>193.79797010704908</v>
      </c>
      <c r="BR247" s="486">
        <f t="shared" si="430"/>
        <v>199.53283088994425</v>
      </c>
      <c r="BS247" s="486">
        <f t="shared" si="430"/>
        <v>201.91803373382623</v>
      </c>
      <c r="BT247" s="491">
        <f t="shared" si="430"/>
        <v>198.88536280006534</v>
      </c>
      <c r="BU247" s="486">
        <f t="shared" si="430"/>
        <v>219.5599782556173</v>
      </c>
      <c r="BV247" s="486">
        <f t="shared" si="430"/>
        <v>199.70379759933775</v>
      </c>
      <c r="BW247" s="486">
        <f t="shared" si="430"/>
        <v>206.74042804904281</v>
      </c>
      <c r="BX247" s="486">
        <f t="shared" si="430"/>
        <v>198.01377860812704</v>
      </c>
      <c r="BY247" s="491">
        <f t="shared" si="430"/>
        <v>203.62685733437607</v>
      </c>
      <c r="BZ247" s="486">
        <f t="shared" si="430"/>
        <v>200.25663662932291</v>
      </c>
      <c r="CA247" s="486">
        <f t="shared" si="430"/>
        <v>192.71112740989105</v>
      </c>
      <c r="CB247" s="486">
        <f t="shared" si="430"/>
        <v>222.32521186440678</v>
      </c>
      <c r="CC247" s="486">
        <f t="shared" si="430"/>
        <v>242.93568080907747</v>
      </c>
      <c r="CD247" s="491">
        <f t="shared" si="430"/>
        <v>209.99236334405143</v>
      </c>
      <c r="CE247" s="486">
        <f t="shared" si="430"/>
        <v>240.88049550643672</v>
      </c>
      <c r="CF247" s="486">
        <f t="shared" si="430"/>
        <v>205.12711399077529</v>
      </c>
      <c r="CG247" s="486">
        <f t="shared" ref="CG247:CX247" si="431">CG221</f>
        <v>246.24032180014518</v>
      </c>
      <c r="CH247" s="486">
        <f t="shared" si="431"/>
        <v>227.28674540682414</v>
      </c>
      <c r="CI247" s="491">
        <f t="shared" si="431"/>
        <v>230.86420273279961</v>
      </c>
      <c r="CJ247" s="486">
        <f t="shared" si="431"/>
        <v>264.91185216652508</v>
      </c>
      <c r="CK247" s="486">
        <f t="shared" si="431"/>
        <v>260.43066648306251</v>
      </c>
      <c r="CL247" s="486">
        <f t="shared" si="431"/>
        <v>276.26593536910758</v>
      </c>
      <c r="CM247" s="486">
        <f t="shared" si="431"/>
        <v>296.74907063197026</v>
      </c>
      <c r="CN247" s="491">
        <f t="shared" si="431"/>
        <v>270.82586011342153</v>
      </c>
      <c r="CO247" s="486">
        <f t="shared" si="431"/>
        <v>339.42209683290861</v>
      </c>
      <c r="CP247" s="486">
        <f t="shared" si="431"/>
        <v>267.73066648306252</v>
      </c>
      <c r="CQ247" s="486">
        <f t="shared" si="431"/>
        <v>283.56593536910759</v>
      </c>
      <c r="CR247" s="486">
        <f t="shared" si="431"/>
        <v>304.04907063197027</v>
      </c>
      <c r="CS247" s="491">
        <f t="shared" si="431"/>
        <v>296.87725678998419</v>
      </c>
      <c r="CT247" s="486">
        <f t="shared" si="431"/>
        <v>339.42209683290861</v>
      </c>
      <c r="CU247" s="486">
        <f t="shared" si="431"/>
        <v>267.73066648306252</v>
      </c>
      <c r="CV247" s="486">
        <f t="shared" si="431"/>
        <v>283.56593536910759</v>
      </c>
      <c r="CW247" s="486">
        <f t="shared" si="431"/>
        <v>304.04907063197027</v>
      </c>
      <c r="CX247" s="491">
        <f t="shared" si="431"/>
        <v>291.04999402474198</v>
      </c>
      <c r="CY247" s="486">
        <f t="shared" ref="CY247:DH247" si="432">CY221</f>
        <v>339.42209683290861</v>
      </c>
      <c r="CZ247" s="486">
        <f t="shared" si="432"/>
        <v>267.73066648306258</v>
      </c>
      <c r="DA247" s="486">
        <f t="shared" si="432"/>
        <v>283.56593536910759</v>
      </c>
      <c r="DB247" s="486">
        <f t="shared" si="432"/>
        <v>304.04907063197027</v>
      </c>
      <c r="DC247" s="584">
        <f t="shared" si="432"/>
        <v>290.94530896403046</v>
      </c>
      <c r="DD247" s="486">
        <f t="shared" si="432"/>
        <v>339.42209683290861</v>
      </c>
      <c r="DE247" s="486">
        <f t="shared" si="432"/>
        <v>267.73066648306252</v>
      </c>
      <c r="DF247" s="486">
        <f t="shared" si="432"/>
        <v>283.56593536910759</v>
      </c>
      <c r="DG247" s="486">
        <f t="shared" si="432"/>
        <v>304.04907063197032</v>
      </c>
      <c r="DH247" s="584">
        <f t="shared" si="432"/>
        <v>291.11166825452835</v>
      </c>
      <c r="DI247" s="486">
        <f>DI221</f>
        <v>339.42209683290861</v>
      </c>
      <c r="DJ247" s="486">
        <f>DJ221</f>
        <v>267.73066648306252</v>
      </c>
      <c r="DK247" s="486">
        <f>DK221</f>
        <v>283.56593536910759</v>
      </c>
      <c r="DL247" s="486">
        <f>DL221</f>
        <v>304.04907063197027</v>
      </c>
      <c r="DM247" s="584">
        <f>DM221</f>
        <v>291.24339134883371</v>
      </c>
      <c r="DN247" s="207"/>
    </row>
    <row r="248" spans="1:118" ht="15" hidden="1" outlineLevel="1" x14ac:dyDescent="0.2">
      <c r="B248" s="360" t="s">
        <v>126</v>
      </c>
      <c r="C248" s="235"/>
      <c r="D248" s="235"/>
      <c r="E248" s="235"/>
      <c r="F248" s="235"/>
      <c r="G248" s="376"/>
      <c r="H248" s="235">
        <f>H245+H246-H247</f>
        <v>-153.58550631895142</v>
      </c>
      <c r="I248" s="235">
        <f>I245+I246-I247</f>
        <v>-128.57207489172242</v>
      </c>
      <c r="J248" s="235">
        <f>J245+J246-J247</f>
        <v>-122.46414531076519</v>
      </c>
      <c r="K248" s="235">
        <f>K245+K246-K247</f>
        <v>-127.15300773447655</v>
      </c>
      <c r="L248" s="376">
        <f>L245+L246-L247</f>
        <v>-132.00407886574729</v>
      </c>
      <c r="M248" s="235">
        <f t="shared" ref="M248:AZ248" si="433">M245+M246-M247</f>
        <v>-135.36894297628999</v>
      </c>
      <c r="N248" s="235">
        <f t="shared" si="433"/>
        <v>-107.12014589715372</v>
      </c>
      <c r="O248" s="235">
        <f t="shared" si="433"/>
        <v>-95.043092689644311</v>
      </c>
      <c r="P248" s="235">
        <f t="shared" si="433"/>
        <v>-88.734092654814447</v>
      </c>
      <c r="Q248" s="376">
        <f t="shared" si="433"/>
        <v>-103.62916539750226</v>
      </c>
      <c r="R248" s="235">
        <f t="shared" si="433"/>
        <v>-111.9648268828135</v>
      </c>
      <c r="S248" s="235">
        <f t="shared" si="433"/>
        <v>-96.807829299892333</v>
      </c>
      <c r="T248" s="235">
        <f t="shared" si="433"/>
        <v>-107.21053494420485</v>
      </c>
      <c r="U248" s="235">
        <f t="shared" si="433"/>
        <v>-101.09397388197738</v>
      </c>
      <c r="V248" s="376">
        <f t="shared" si="433"/>
        <v>-98.206948245416214</v>
      </c>
      <c r="W248" s="235">
        <f t="shared" si="433"/>
        <v>-100.72795213319952</v>
      </c>
      <c r="X248" s="235">
        <f t="shared" si="433"/>
        <v>-88.1254489517314</v>
      </c>
      <c r="Y248" s="235">
        <f t="shared" si="433"/>
        <v>-83.562203997007032</v>
      </c>
      <c r="Z248" s="235">
        <f t="shared" si="433"/>
        <v>-106.02989811074937</v>
      </c>
      <c r="AA248" s="376">
        <f t="shared" si="433"/>
        <v>-94.930142063875223</v>
      </c>
      <c r="AB248" s="235">
        <f t="shared" si="433"/>
        <v>-89.162777927811987</v>
      </c>
      <c r="AC248" s="235">
        <f t="shared" si="433"/>
        <v>-83.304471226137679</v>
      </c>
      <c r="AD248" s="235">
        <f t="shared" si="433"/>
        <v>-120.12455888167634</v>
      </c>
      <c r="AE248" s="235">
        <f t="shared" si="433"/>
        <v>-102.45697656486115</v>
      </c>
      <c r="AF248" s="376">
        <f t="shared" si="433"/>
        <v>-97.87484181546651</v>
      </c>
      <c r="AG248" s="235">
        <f t="shared" si="433"/>
        <v>-140.95545924446756</v>
      </c>
      <c r="AH248" s="235">
        <f t="shared" si="433"/>
        <v>-123.17248795406442</v>
      </c>
      <c r="AI248" s="235">
        <f t="shared" si="433"/>
        <v>-127.0851650259161</v>
      </c>
      <c r="AJ248" s="235">
        <f t="shared" si="433"/>
        <v>-111.50542056779491</v>
      </c>
      <c r="AK248" s="376">
        <f t="shared" si="433"/>
        <v>-120.59812578551848</v>
      </c>
      <c r="AL248" s="235">
        <f t="shared" si="433"/>
        <v>-124.38275976325144</v>
      </c>
      <c r="AM248" s="235">
        <f t="shared" si="433"/>
        <v>-112.7989515818463</v>
      </c>
      <c r="AN248" s="235">
        <f t="shared" si="433"/>
        <v>-123.98769707274558</v>
      </c>
      <c r="AO248" s="235">
        <f t="shared" si="433"/>
        <v>-120.93121227016691</v>
      </c>
      <c r="AP248" s="376">
        <f t="shared" si="433"/>
        <v>-113.6890415160473</v>
      </c>
      <c r="AQ248" s="235">
        <f t="shared" si="433"/>
        <v>-143.04365679404145</v>
      </c>
      <c r="AR248" s="235">
        <f t="shared" si="433"/>
        <v>-116.10555467221229</v>
      </c>
      <c r="AS248" s="235">
        <f t="shared" si="433"/>
        <v>-121.34460846432259</v>
      </c>
      <c r="AT248" s="235">
        <f t="shared" si="433"/>
        <v>-103.20542840136989</v>
      </c>
      <c r="AU248" s="376">
        <f t="shared" si="433"/>
        <v>-119.18566400775826</v>
      </c>
      <c r="AV248" s="235">
        <f t="shared" si="433"/>
        <v>-78.17726519586958</v>
      </c>
      <c r="AW248" s="235">
        <f t="shared" si="433"/>
        <v>-79.974261911634301</v>
      </c>
      <c r="AX248" s="235">
        <f t="shared" si="433"/>
        <v>-97.972840858746565</v>
      </c>
      <c r="AY248" s="235">
        <f t="shared" si="433"/>
        <v>-102.4519963574281</v>
      </c>
      <c r="AZ248" s="376">
        <f t="shared" si="433"/>
        <v>-90.905533222558859</v>
      </c>
      <c r="BA248" s="235">
        <f t="shared" ref="BA248:CF248" si="434">BA245+BA246-BA247</f>
        <v>-85.644868345185472</v>
      </c>
      <c r="BB248" s="235">
        <f t="shared" si="434"/>
        <v>-76.457501744911639</v>
      </c>
      <c r="BC248" s="235">
        <f t="shared" si="434"/>
        <v>-136.27241096823747</v>
      </c>
      <c r="BD248" s="235">
        <f t="shared" si="434"/>
        <v>-101.52629541893296</v>
      </c>
      <c r="BE248" s="376">
        <f t="shared" si="434"/>
        <v>-97.693854481766436</v>
      </c>
      <c r="BF248" s="235">
        <f t="shared" si="434"/>
        <v>-82.056411601586163</v>
      </c>
      <c r="BG248" s="235">
        <f t="shared" si="434"/>
        <v>-65.235446463778757</v>
      </c>
      <c r="BH248" s="235">
        <f t="shared" si="434"/>
        <v>-89.045262454584446</v>
      </c>
      <c r="BI248" s="235">
        <f t="shared" si="434"/>
        <v>-82.453459308479225</v>
      </c>
      <c r="BJ248" s="585">
        <f t="shared" si="434"/>
        <v>-81.622604291484464</v>
      </c>
      <c r="BK248" s="486">
        <f t="shared" si="434"/>
        <v>-91.352896956482994</v>
      </c>
      <c r="BL248" s="486">
        <f t="shared" si="434"/>
        <v>-71.115236225192291</v>
      </c>
      <c r="BM248" s="486">
        <f t="shared" si="434"/>
        <v>-80.668795022636829</v>
      </c>
      <c r="BN248" s="486">
        <f t="shared" si="434"/>
        <v>-86.485751080180478</v>
      </c>
      <c r="BO248" s="585">
        <f t="shared" si="434"/>
        <v>-80.744843866982919</v>
      </c>
      <c r="BP248" s="486">
        <f t="shared" si="434"/>
        <v>-93.607281873029763</v>
      </c>
      <c r="BQ248" s="486">
        <f t="shared" si="434"/>
        <v>-87.171772783380675</v>
      </c>
      <c r="BR248" s="486">
        <f t="shared" si="434"/>
        <v>-98.426151333463835</v>
      </c>
      <c r="BS248" s="486">
        <f t="shared" si="434"/>
        <v>-92.524099374703979</v>
      </c>
      <c r="BT248" s="585">
        <f t="shared" si="434"/>
        <v>-91.583133158587913</v>
      </c>
      <c r="BU248" s="486">
        <f t="shared" si="434"/>
        <v>-100.43392242974072</v>
      </c>
      <c r="BV248" s="486">
        <f t="shared" si="434"/>
        <v>-90.234248849993605</v>
      </c>
      <c r="BW248" s="486">
        <f t="shared" si="434"/>
        <v>-103.72183250765818</v>
      </c>
      <c r="BX248" s="486">
        <f t="shared" si="434"/>
        <v>-94.568403110479125</v>
      </c>
      <c r="BY248" s="585">
        <f t="shared" si="434"/>
        <v>-95.658889801791915</v>
      </c>
      <c r="BZ248" s="486">
        <f t="shared" si="434"/>
        <v>-90.686036547878459</v>
      </c>
      <c r="CA248" s="486">
        <f t="shared" si="434"/>
        <v>-93.687654234509395</v>
      </c>
      <c r="CB248" s="486">
        <f t="shared" si="434"/>
        <v>-130.86465581326198</v>
      </c>
      <c r="CC248" s="486">
        <f t="shared" si="434"/>
        <v>-141.67197336827394</v>
      </c>
      <c r="CD248" s="585">
        <f t="shared" si="434"/>
        <v>-109.55422938941354</v>
      </c>
      <c r="CE248" s="486">
        <f t="shared" si="434"/>
        <v>-136.59931656915933</v>
      </c>
      <c r="CF248" s="486">
        <f t="shared" si="434"/>
        <v>-107.14746116032597</v>
      </c>
      <c r="CG248" s="486">
        <f t="shared" ref="CG248:CX248" si="435">CG245+CG246-CG247</f>
        <v>-150.44878422282193</v>
      </c>
      <c r="CH248" s="486">
        <f t="shared" si="435"/>
        <v>-125.68841102362204</v>
      </c>
      <c r="CI248" s="585">
        <f t="shared" si="435"/>
        <v>-131.38634011111037</v>
      </c>
      <c r="CJ248" s="486">
        <f t="shared" si="435"/>
        <v>-153.30771070123805</v>
      </c>
      <c r="CK248" s="486">
        <f t="shared" si="435"/>
        <v>-152.46884868048852</v>
      </c>
      <c r="CL248" s="486">
        <f t="shared" si="435"/>
        <v>-168.88183458875073</v>
      </c>
      <c r="CM248" s="486">
        <f t="shared" si="435"/>
        <v>-161.89199424712479</v>
      </c>
      <c r="CN248" s="585">
        <f t="shared" si="435"/>
        <v>-156.64748722265145</v>
      </c>
      <c r="CO248" s="486">
        <f t="shared" si="435"/>
        <v>-195.13453816449959</v>
      </c>
      <c r="CP248" s="486">
        <f t="shared" si="435"/>
        <v>-178.01884868048853</v>
      </c>
      <c r="CQ248" s="486">
        <f t="shared" si="435"/>
        <v>-194.43183458875075</v>
      </c>
      <c r="CR248" s="486">
        <f t="shared" si="435"/>
        <v>-187.4419942471248</v>
      </c>
      <c r="CS248" s="585">
        <f t="shared" si="435"/>
        <v>-183.44764585172967</v>
      </c>
      <c r="CT248" s="486">
        <f t="shared" si="435"/>
        <v>-176.88453816449959</v>
      </c>
      <c r="CU248" s="486">
        <f t="shared" si="435"/>
        <v>-159.76884868048853</v>
      </c>
      <c r="CV248" s="486">
        <f t="shared" si="435"/>
        <v>-176.18183458875075</v>
      </c>
      <c r="CW248" s="486">
        <f t="shared" si="435"/>
        <v>-169.19199424712482</v>
      </c>
      <c r="CX248" s="585">
        <f t="shared" si="435"/>
        <v>-168.85605606374855</v>
      </c>
      <c r="CY248" s="486">
        <f t="shared" ref="CY248:DH248" si="436">CY245+CY246-CY247</f>
        <v>-158.63453816449956</v>
      </c>
      <c r="CZ248" s="486">
        <f t="shared" si="436"/>
        <v>-141.51884868048859</v>
      </c>
      <c r="DA248" s="486">
        <f t="shared" si="436"/>
        <v>-157.93183458875075</v>
      </c>
      <c r="DB248" s="486">
        <f t="shared" si="436"/>
        <v>-150.9419942471248</v>
      </c>
      <c r="DC248" s="586">
        <f t="shared" si="436"/>
        <v>-150.97669216209087</v>
      </c>
      <c r="DD248" s="486">
        <f t="shared" si="436"/>
        <v>-140.38453816449956</v>
      </c>
      <c r="DE248" s="486">
        <f t="shared" si="436"/>
        <v>-123.26884868048853</v>
      </c>
      <c r="DF248" s="486">
        <f t="shared" si="436"/>
        <v>-139.68183458875075</v>
      </c>
      <c r="DG248" s="486">
        <f t="shared" si="436"/>
        <v>-132.69199424712485</v>
      </c>
      <c r="DH248" s="586">
        <f t="shared" si="436"/>
        <v>-133.24571705242826</v>
      </c>
      <c r="DI248" s="486">
        <f>DI245+DI246-DI247</f>
        <v>-122.13453816449959</v>
      </c>
      <c r="DJ248" s="486">
        <f>DJ245+DJ246-DJ247</f>
        <v>-105.01884868048853</v>
      </c>
      <c r="DK248" s="486">
        <f>DK245+DK246-DK247</f>
        <v>-121.43183458875075</v>
      </c>
      <c r="DL248" s="486">
        <f>DL245+DL246-DL247</f>
        <v>-114.4419942471248</v>
      </c>
      <c r="DM248" s="586">
        <f>DM245+DM246-DM247</f>
        <v>-115.48858018006382</v>
      </c>
      <c r="DN248" s="207"/>
    </row>
    <row r="249" spans="1:118" ht="15" collapsed="1" x14ac:dyDescent="0.2">
      <c r="A249" s="220"/>
      <c r="B249" s="220"/>
      <c r="C249" s="220"/>
      <c r="D249" s="220"/>
      <c r="E249" s="220"/>
      <c r="F249" s="220"/>
      <c r="G249" s="220"/>
      <c r="H249" s="220"/>
      <c r="I249" s="220"/>
      <c r="J249" s="220"/>
      <c r="K249" s="220"/>
      <c r="L249" s="220"/>
      <c r="M249" s="220"/>
      <c r="N249" s="220"/>
      <c r="O249" s="220"/>
      <c r="P249" s="220"/>
      <c r="Q249" s="220"/>
      <c r="R249" s="220"/>
      <c r="S249" s="220"/>
      <c r="T249" s="220"/>
      <c r="U249" s="220"/>
      <c r="V249" s="220"/>
      <c r="W249" s="220"/>
      <c r="X249" s="220"/>
      <c r="Y249" s="220"/>
      <c r="Z249" s="220"/>
      <c r="AA249" s="220"/>
      <c r="AB249" s="220"/>
      <c r="AC249" s="220"/>
      <c r="AD249" s="220"/>
      <c r="AE249" s="220"/>
      <c r="AF249" s="220"/>
      <c r="AG249" s="220"/>
      <c r="AH249" s="220"/>
      <c r="AI249" s="220"/>
      <c r="AJ249" s="220"/>
      <c r="AK249" s="220"/>
      <c r="AL249" s="220"/>
      <c r="AM249" s="220"/>
      <c r="AN249" s="220"/>
      <c r="AO249" s="220"/>
      <c r="AP249" s="220"/>
      <c r="AQ249" s="220"/>
      <c r="AR249" s="220"/>
      <c r="AS249" s="220"/>
      <c r="AT249" s="220"/>
      <c r="AU249" s="220"/>
      <c r="AV249" s="220"/>
      <c r="AW249" s="220"/>
      <c r="AX249" s="220"/>
      <c r="AY249" s="220"/>
      <c r="AZ249" s="220"/>
      <c r="BA249" s="220"/>
      <c r="BB249" s="220"/>
      <c r="BC249" s="220"/>
      <c r="BD249" s="220"/>
      <c r="BE249" s="220"/>
      <c r="BF249" s="220"/>
      <c r="BG249" s="220"/>
      <c r="BH249" s="220"/>
      <c r="BI249" s="220"/>
      <c r="BJ249" s="444"/>
      <c r="BK249" s="444"/>
      <c r="BL249" s="444"/>
      <c r="BM249" s="444"/>
      <c r="BN249" s="444"/>
      <c r="BO249" s="444"/>
      <c r="BP249" s="444"/>
      <c r="BQ249" s="444"/>
      <c r="BR249" s="444"/>
      <c r="BS249" s="444"/>
      <c r="BT249" s="444"/>
      <c r="BU249" s="444"/>
      <c r="BV249" s="444"/>
      <c r="BW249" s="444"/>
      <c r="BX249" s="444"/>
      <c r="BY249" s="444"/>
      <c r="BZ249" s="444"/>
      <c r="CA249" s="444"/>
      <c r="CB249" s="444"/>
      <c r="CC249" s="444"/>
      <c r="CD249" s="444"/>
      <c r="CE249" s="444"/>
      <c r="CF249" s="444"/>
      <c r="CG249" s="444"/>
      <c r="CH249" s="444"/>
      <c r="CI249" s="444"/>
      <c r="CJ249" s="444"/>
      <c r="CK249" s="444"/>
      <c r="CL249" s="444"/>
      <c r="CM249" s="444"/>
      <c r="CN249" s="444"/>
      <c r="CO249" s="444"/>
      <c r="CP249" s="444"/>
      <c r="CQ249" s="444"/>
      <c r="CR249" s="444"/>
      <c r="CS249" s="444"/>
      <c r="CT249" s="444"/>
      <c r="CU249" s="444"/>
      <c r="CV249" s="444"/>
      <c r="CW249" s="444"/>
      <c r="CX249" s="444"/>
      <c r="CY249" s="444"/>
      <c r="CZ249" s="444"/>
      <c r="DA249" s="444"/>
      <c r="DB249" s="444"/>
      <c r="DC249" s="444"/>
      <c r="DD249" s="444"/>
      <c r="DE249" s="444"/>
      <c r="DF249" s="444"/>
      <c r="DG249" s="444"/>
      <c r="DH249" s="444"/>
      <c r="DI249" s="444"/>
      <c r="DJ249" s="444"/>
      <c r="DK249" s="444"/>
      <c r="DL249" s="444"/>
      <c r="DM249" s="444"/>
      <c r="DN249" s="220"/>
    </row>
    <row r="250" spans="1:118" ht="15.75" x14ac:dyDescent="0.25">
      <c r="A250" s="346" t="s">
        <v>220</v>
      </c>
      <c r="B250" s="201"/>
      <c r="C250" s="202"/>
      <c r="D250" s="202"/>
      <c r="E250" s="202"/>
      <c r="F250" s="202"/>
      <c r="G250" s="203" t="str">
        <f>G244</f>
        <v>FY2000</v>
      </c>
      <c r="H250" s="202">
        <f>H244</f>
        <v>36981</v>
      </c>
      <c r="I250" s="202">
        <f>I244</f>
        <v>37051</v>
      </c>
      <c r="J250" s="202">
        <f>J244</f>
        <v>37143</v>
      </c>
      <c r="K250" s="202">
        <f>K244</f>
        <v>37234</v>
      </c>
      <c r="L250" s="203" t="str">
        <f t="shared" ref="L250:BW250" si="437">L244</f>
        <v>FY2001</v>
      </c>
      <c r="M250" s="202">
        <f t="shared" si="437"/>
        <v>37346</v>
      </c>
      <c r="N250" s="202">
        <f t="shared" si="437"/>
        <v>37416</v>
      </c>
      <c r="O250" s="202">
        <f t="shared" si="437"/>
        <v>37508</v>
      </c>
      <c r="P250" s="202">
        <f t="shared" si="437"/>
        <v>37599</v>
      </c>
      <c r="Q250" s="203" t="str">
        <f t="shared" si="437"/>
        <v>FY2002</v>
      </c>
      <c r="R250" s="202">
        <f t="shared" si="437"/>
        <v>37711</v>
      </c>
      <c r="S250" s="202">
        <f t="shared" si="437"/>
        <v>37781</v>
      </c>
      <c r="T250" s="202">
        <f t="shared" si="437"/>
        <v>37873</v>
      </c>
      <c r="U250" s="202">
        <f t="shared" si="437"/>
        <v>37964</v>
      </c>
      <c r="V250" s="203" t="str">
        <f t="shared" si="437"/>
        <v>FY2003</v>
      </c>
      <c r="W250" s="202">
        <f t="shared" si="437"/>
        <v>38077</v>
      </c>
      <c r="X250" s="202">
        <f t="shared" si="437"/>
        <v>38147</v>
      </c>
      <c r="Y250" s="202">
        <f t="shared" si="437"/>
        <v>38239</v>
      </c>
      <c r="Z250" s="202">
        <f t="shared" si="437"/>
        <v>38330</v>
      </c>
      <c r="AA250" s="203" t="str">
        <f t="shared" si="437"/>
        <v>FY2004</v>
      </c>
      <c r="AB250" s="202">
        <f t="shared" si="437"/>
        <v>38442</v>
      </c>
      <c r="AC250" s="202">
        <f t="shared" si="437"/>
        <v>38512</v>
      </c>
      <c r="AD250" s="202">
        <f t="shared" si="437"/>
        <v>38604</v>
      </c>
      <c r="AE250" s="202">
        <f t="shared" si="437"/>
        <v>38695</v>
      </c>
      <c r="AF250" s="203" t="str">
        <f t="shared" si="437"/>
        <v>FY2005</v>
      </c>
      <c r="AG250" s="202">
        <f t="shared" si="437"/>
        <v>38807</v>
      </c>
      <c r="AH250" s="202">
        <f t="shared" si="437"/>
        <v>38877</v>
      </c>
      <c r="AI250" s="202">
        <f t="shared" si="437"/>
        <v>38969</v>
      </c>
      <c r="AJ250" s="202">
        <f t="shared" si="437"/>
        <v>39060</v>
      </c>
      <c r="AK250" s="203" t="str">
        <f t="shared" si="437"/>
        <v>FY2006</v>
      </c>
      <c r="AL250" s="202">
        <f t="shared" si="437"/>
        <v>39172</v>
      </c>
      <c r="AM250" s="202">
        <f t="shared" si="437"/>
        <v>39242</v>
      </c>
      <c r="AN250" s="202">
        <f t="shared" si="437"/>
        <v>39334</v>
      </c>
      <c r="AO250" s="202">
        <f t="shared" si="437"/>
        <v>39425</v>
      </c>
      <c r="AP250" s="203" t="str">
        <f t="shared" si="437"/>
        <v>FY2007</v>
      </c>
      <c r="AQ250" s="202">
        <f t="shared" si="437"/>
        <v>39538</v>
      </c>
      <c r="AR250" s="202">
        <f t="shared" si="437"/>
        <v>39608</v>
      </c>
      <c r="AS250" s="202">
        <f t="shared" si="437"/>
        <v>39700</v>
      </c>
      <c r="AT250" s="202">
        <f t="shared" si="437"/>
        <v>39791</v>
      </c>
      <c r="AU250" s="203" t="str">
        <f t="shared" si="437"/>
        <v>FY2008</v>
      </c>
      <c r="AV250" s="202">
        <f t="shared" si="437"/>
        <v>39903</v>
      </c>
      <c r="AW250" s="202">
        <f t="shared" si="437"/>
        <v>39973</v>
      </c>
      <c r="AX250" s="202">
        <f t="shared" si="437"/>
        <v>40065</v>
      </c>
      <c r="AY250" s="202">
        <f t="shared" si="437"/>
        <v>40156</v>
      </c>
      <c r="AZ250" s="203" t="str">
        <f t="shared" si="437"/>
        <v>FY2009</v>
      </c>
      <c r="BA250" s="202">
        <f t="shared" si="437"/>
        <v>40247</v>
      </c>
      <c r="BB250" s="202">
        <f t="shared" si="437"/>
        <v>40339</v>
      </c>
      <c r="BC250" s="202">
        <f t="shared" si="437"/>
        <v>40431</v>
      </c>
      <c r="BD250" s="202">
        <f t="shared" si="437"/>
        <v>40522</v>
      </c>
      <c r="BE250" s="203" t="str">
        <f t="shared" si="437"/>
        <v>FY2010</v>
      </c>
      <c r="BF250" s="202">
        <f t="shared" si="437"/>
        <v>40613</v>
      </c>
      <c r="BG250" s="202">
        <f t="shared" si="437"/>
        <v>40705</v>
      </c>
      <c r="BH250" s="202">
        <f t="shared" si="437"/>
        <v>40797</v>
      </c>
      <c r="BI250" s="202">
        <f t="shared" si="437"/>
        <v>40888</v>
      </c>
      <c r="BJ250" s="416" t="str">
        <f t="shared" si="437"/>
        <v>FY2011</v>
      </c>
      <c r="BK250" s="414">
        <f t="shared" si="437"/>
        <v>40980</v>
      </c>
      <c r="BL250" s="414">
        <f t="shared" si="437"/>
        <v>41072</v>
      </c>
      <c r="BM250" s="414">
        <f t="shared" si="437"/>
        <v>41164</v>
      </c>
      <c r="BN250" s="414">
        <f t="shared" si="437"/>
        <v>41274</v>
      </c>
      <c r="BO250" s="416" t="str">
        <f t="shared" si="437"/>
        <v>FY2012</v>
      </c>
      <c r="BP250" s="414">
        <f t="shared" si="437"/>
        <v>41346</v>
      </c>
      <c r="BQ250" s="414">
        <f t="shared" si="437"/>
        <v>41438</v>
      </c>
      <c r="BR250" s="414">
        <f t="shared" si="437"/>
        <v>41530</v>
      </c>
      <c r="BS250" s="414">
        <f t="shared" si="437"/>
        <v>41621</v>
      </c>
      <c r="BT250" s="416" t="str">
        <f t="shared" si="437"/>
        <v>FY2013</v>
      </c>
      <c r="BU250" s="414">
        <f t="shared" si="437"/>
        <v>41712</v>
      </c>
      <c r="BV250" s="414">
        <f t="shared" si="437"/>
        <v>41804</v>
      </c>
      <c r="BW250" s="414">
        <f t="shared" si="437"/>
        <v>41896</v>
      </c>
      <c r="BX250" s="414">
        <f t="shared" ref="BX250:CX250" si="438">BX244</f>
        <v>41987</v>
      </c>
      <c r="BY250" s="416" t="str">
        <f t="shared" si="438"/>
        <v>FY2014</v>
      </c>
      <c r="BZ250" s="414">
        <f t="shared" si="438"/>
        <v>42078</v>
      </c>
      <c r="CA250" s="414">
        <f t="shared" si="438"/>
        <v>42170</v>
      </c>
      <c r="CB250" s="414">
        <f t="shared" si="438"/>
        <v>42262</v>
      </c>
      <c r="CC250" s="414">
        <f t="shared" si="438"/>
        <v>42353</v>
      </c>
      <c r="CD250" s="416" t="str">
        <f t="shared" si="438"/>
        <v>FY2015</v>
      </c>
      <c r="CE250" s="414">
        <f t="shared" si="438"/>
        <v>42445</v>
      </c>
      <c r="CF250" s="414">
        <f t="shared" si="438"/>
        <v>42537</v>
      </c>
      <c r="CG250" s="414">
        <f t="shared" si="438"/>
        <v>42629</v>
      </c>
      <c r="CH250" s="414">
        <f t="shared" si="438"/>
        <v>42720</v>
      </c>
      <c r="CI250" s="416" t="str">
        <f t="shared" si="438"/>
        <v>FY2016</v>
      </c>
      <c r="CJ250" s="414">
        <f t="shared" si="438"/>
        <v>42811</v>
      </c>
      <c r="CK250" s="414">
        <f t="shared" si="438"/>
        <v>42903</v>
      </c>
      <c r="CL250" s="414">
        <f t="shared" si="438"/>
        <v>42995</v>
      </c>
      <c r="CM250" s="414">
        <f t="shared" si="438"/>
        <v>43086</v>
      </c>
      <c r="CN250" s="416" t="str">
        <f t="shared" si="438"/>
        <v>FY2017</v>
      </c>
      <c r="CO250" s="414">
        <f t="shared" si="438"/>
        <v>43177</v>
      </c>
      <c r="CP250" s="414" t="str">
        <f t="shared" si="438"/>
        <v>Jun-18 E</v>
      </c>
      <c r="CQ250" s="414" t="str">
        <f t="shared" si="438"/>
        <v>Sep-18 E</v>
      </c>
      <c r="CR250" s="414" t="str">
        <f t="shared" si="438"/>
        <v>Dec-18 E</v>
      </c>
      <c r="CS250" s="416" t="str">
        <f t="shared" si="438"/>
        <v>FY2018E</v>
      </c>
      <c r="CT250" s="414" t="str">
        <f t="shared" si="438"/>
        <v>Mar-19 E</v>
      </c>
      <c r="CU250" s="414" t="str">
        <f t="shared" si="438"/>
        <v>Jun-19 E</v>
      </c>
      <c r="CV250" s="414" t="str">
        <f t="shared" si="438"/>
        <v>Sep-19 E</v>
      </c>
      <c r="CW250" s="414" t="str">
        <f t="shared" si="438"/>
        <v>Dec-19 E</v>
      </c>
      <c r="CX250" s="416" t="str">
        <f t="shared" si="438"/>
        <v>FY2019E</v>
      </c>
      <c r="CY250" s="414" t="str">
        <f t="shared" ref="CY250:DH250" si="439">CY244</f>
        <v>Mar-20 E</v>
      </c>
      <c r="CZ250" s="414" t="str">
        <f t="shared" si="439"/>
        <v>Jun-20 E</v>
      </c>
      <c r="DA250" s="414" t="str">
        <f t="shared" si="439"/>
        <v>Sep-20 E</v>
      </c>
      <c r="DB250" s="414" t="str">
        <f t="shared" si="439"/>
        <v>Dec-20 E</v>
      </c>
      <c r="DC250" s="416" t="str">
        <f t="shared" si="439"/>
        <v>FY2020E</v>
      </c>
      <c r="DD250" s="414" t="str">
        <f t="shared" si="439"/>
        <v>Mar-21 E</v>
      </c>
      <c r="DE250" s="414" t="str">
        <f t="shared" si="439"/>
        <v>Jun-21 E</v>
      </c>
      <c r="DF250" s="414" t="str">
        <f t="shared" si="439"/>
        <v>Sep-21 E</v>
      </c>
      <c r="DG250" s="414" t="str">
        <f t="shared" si="439"/>
        <v>Dec-21 E</v>
      </c>
      <c r="DH250" s="416" t="str">
        <f t="shared" si="439"/>
        <v>FY2021E</v>
      </c>
      <c r="DI250" s="414" t="str">
        <f>DI244</f>
        <v>Mar-22 E</v>
      </c>
      <c r="DJ250" s="414" t="str">
        <f>DJ244</f>
        <v>Jun-22 E</v>
      </c>
      <c r="DK250" s="414" t="str">
        <f>DK244</f>
        <v>Sep-22 E</v>
      </c>
      <c r="DL250" s="414" t="str">
        <f>DL244</f>
        <v>Dec-22 E</v>
      </c>
      <c r="DM250" s="416" t="str">
        <f>DM244</f>
        <v>FY2022E</v>
      </c>
      <c r="DN250" s="220"/>
    </row>
    <row r="251" spans="1:118" ht="15" x14ac:dyDescent="0.2">
      <c r="A251" s="377"/>
      <c r="B251" s="207" t="s">
        <v>31</v>
      </c>
      <c r="C251" s="220"/>
      <c r="D251" s="220"/>
      <c r="E251" s="220"/>
      <c r="F251" s="220"/>
      <c r="G251" s="378"/>
      <c r="H251" s="220"/>
      <c r="I251" s="220"/>
      <c r="J251" s="220"/>
      <c r="K251" s="220"/>
      <c r="L251" s="378">
        <f>SUM(L55,L66)</f>
        <v>5504</v>
      </c>
      <c r="M251" s="220"/>
      <c r="N251" s="220"/>
      <c r="O251" s="220"/>
      <c r="P251" s="220"/>
      <c r="Q251" s="378">
        <f>SUM(Q55,Q66)</f>
        <v>5842</v>
      </c>
      <c r="R251" s="220"/>
      <c r="S251" s="220"/>
      <c r="T251" s="220"/>
      <c r="U251" s="220"/>
      <c r="V251" s="378">
        <f>SUM(V55,V66)</f>
        <v>6032</v>
      </c>
      <c r="W251" s="220"/>
      <c r="X251" s="220"/>
      <c r="Y251" s="220"/>
      <c r="Z251" s="220"/>
      <c r="AA251" s="378">
        <f>SUM(AA55,AA66)</f>
        <v>6743</v>
      </c>
      <c r="AB251" s="220"/>
      <c r="AC251" s="220"/>
      <c r="AD251" s="220"/>
      <c r="AE251" s="220"/>
      <c r="AF251" s="378">
        <f>SUM(AF55,AF66)</f>
        <v>6885</v>
      </c>
      <c r="AG251" s="220"/>
      <c r="AH251" s="220"/>
      <c r="AI251" s="220"/>
      <c r="AJ251" s="220"/>
      <c r="AK251" s="378">
        <f>SUM(AK55,AK66)</f>
        <v>7305</v>
      </c>
      <c r="AL251" s="220"/>
      <c r="AM251" s="220"/>
      <c r="AN251" s="220"/>
      <c r="AO251" s="220"/>
      <c r="AP251" s="378">
        <f>SUM(AP55,AP66)</f>
        <v>8337</v>
      </c>
      <c r="AQ251" s="220"/>
      <c r="AR251" s="220"/>
      <c r="AS251" s="220"/>
      <c r="AT251" s="220"/>
      <c r="AU251" s="378">
        <f>SUM(AU55,AU66)</f>
        <v>9601</v>
      </c>
      <c r="AV251" s="220"/>
      <c r="AW251" s="220"/>
      <c r="AX251" s="220"/>
      <c r="AY251" s="220"/>
      <c r="AZ251" s="378">
        <f>SUM(AZ55,AZ66)</f>
        <v>9411</v>
      </c>
      <c r="BA251" s="220"/>
      <c r="BB251" s="220"/>
      <c r="BC251" s="220"/>
      <c r="BD251" s="220"/>
      <c r="BE251" s="378">
        <f>SUM(BE55,BE66)</f>
        <v>10670</v>
      </c>
      <c r="BF251" s="220"/>
      <c r="BG251" s="220"/>
      <c r="BH251" s="220"/>
      <c r="BI251" s="220"/>
      <c r="BJ251" s="587">
        <f>SUM(BJ55,BJ66)</f>
        <v>11793</v>
      </c>
      <c r="BK251" s="444"/>
      <c r="BL251" s="444"/>
      <c r="BM251" s="444"/>
      <c r="BN251" s="444"/>
      <c r="BO251" s="587">
        <f>SUM(BO55,BO66)</f>
        <v>12072</v>
      </c>
      <c r="BP251" s="444"/>
      <c r="BQ251" s="444"/>
      <c r="BR251" s="444"/>
      <c r="BS251" s="444"/>
      <c r="BT251" s="587">
        <f>SUM(BT55,BT66)</f>
        <v>12030</v>
      </c>
      <c r="BU251" s="444"/>
      <c r="BV251" s="444"/>
      <c r="BW251" s="444"/>
      <c r="BX251" s="444"/>
      <c r="BY251" s="587">
        <f>SUM(BY55,BY66)</f>
        <v>11716</v>
      </c>
      <c r="BZ251" s="444"/>
      <c r="CA251" s="444"/>
      <c r="CB251" s="444"/>
      <c r="CC251" s="444"/>
      <c r="CD251" s="587">
        <f>SUM(CD55,CD66)</f>
        <v>10949</v>
      </c>
      <c r="CE251" s="444"/>
      <c r="CF251" s="444"/>
      <c r="CG251" s="444"/>
      <c r="CH251" s="444"/>
      <c r="CI251" s="587">
        <f>SUM(CI55,CI66)</f>
        <v>10854</v>
      </c>
      <c r="CJ251" s="444"/>
      <c r="CK251" s="444"/>
      <c r="CL251" s="444"/>
      <c r="CM251" s="444"/>
      <c r="CN251" s="587">
        <f>SUM(CN55,CN66)</f>
        <v>10703</v>
      </c>
      <c r="CO251" s="444"/>
      <c r="CP251" s="444"/>
      <c r="CQ251" s="444"/>
      <c r="CR251" s="444"/>
      <c r="CS251" s="587">
        <f>SUM(CS55,CS66)</f>
        <v>11292.752416296036</v>
      </c>
      <c r="CT251" s="444"/>
      <c r="CU251" s="444"/>
      <c r="CV251" s="444"/>
      <c r="CW251" s="444"/>
      <c r="CX251" s="587">
        <f>SUM(CX55,CX66)</f>
        <v>12092.427067251881</v>
      </c>
      <c r="CY251" s="444"/>
      <c r="CZ251" s="444"/>
      <c r="DA251" s="444"/>
      <c r="DB251" s="444"/>
      <c r="DC251" s="587">
        <f>SUM(DC55,DC66)</f>
        <v>12954.359895612886</v>
      </c>
      <c r="DD251" s="444"/>
      <c r="DE251" s="444"/>
      <c r="DF251" s="444"/>
      <c r="DG251" s="444"/>
      <c r="DH251" s="587">
        <f>SUM(DH55,DH66)</f>
        <v>13815.811704201344</v>
      </c>
      <c r="DI251" s="444"/>
      <c r="DJ251" s="444"/>
      <c r="DK251" s="444"/>
      <c r="DL251" s="444"/>
      <c r="DM251" s="587">
        <f>SUM(DM55,DM66)</f>
        <v>14666.391827723268</v>
      </c>
      <c r="DN251" s="220"/>
    </row>
    <row r="252" spans="1:118" ht="15" x14ac:dyDescent="0.2">
      <c r="A252" s="377"/>
      <c r="B252" s="377" t="s">
        <v>125</v>
      </c>
      <c r="C252" s="220"/>
      <c r="D252" s="220"/>
      <c r="E252" s="220"/>
      <c r="F252" s="220"/>
      <c r="G252" s="238"/>
      <c r="H252" s="220"/>
      <c r="I252" s="220"/>
      <c r="J252" s="220"/>
      <c r="K252" s="220"/>
      <c r="L252" s="238">
        <f>L251*(1-L71)</f>
        <v>3862.2692473118277</v>
      </c>
      <c r="M252" s="220"/>
      <c r="N252" s="220"/>
      <c r="O252" s="220"/>
      <c r="P252" s="220"/>
      <c r="Q252" s="238">
        <f>Q251*(1-Q71)</f>
        <v>4265.3215718035417</v>
      </c>
      <c r="R252" s="220"/>
      <c r="S252" s="220"/>
      <c r="T252" s="220"/>
      <c r="U252" s="220"/>
      <c r="V252" s="238">
        <f>V251*(1-V71)</f>
        <v>4682.9563041412084</v>
      </c>
      <c r="W252" s="220"/>
      <c r="X252" s="220"/>
      <c r="Y252" s="220"/>
      <c r="Z252" s="220"/>
      <c r="AA252" s="238">
        <f>AA251*(1-AA71)</f>
        <v>5079.910125415282</v>
      </c>
      <c r="AB252" s="220"/>
      <c r="AC252" s="220"/>
      <c r="AD252" s="220"/>
      <c r="AE252" s="220"/>
      <c r="AF252" s="238">
        <f>AF251*(1-AF71)</f>
        <v>5249.5766428466186</v>
      </c>
      <c r="AG252" s="220"/>
      <c r="AH252" s="220"/>
      <c r="AI252" s="220"/>
      <c r="AJ252" s="220"/>
      <c r="AK252" s="238">
        <f>AK251*(1-AK71)</f>
        <v>5671.1234843205575</v>
      </c>
      <c r="AL252" s="220"/>
      <c r="AM252" s="220"/>
      <c r="AN252" s="220"/>
      <c r="AO252" s="220"/>
      <c r="AP252" s="238">
        <f>AP251*(1-AP71)</f>
        <v>6502.7152424655833</v>
      </c>
      <c r="AQ252" s="220"/>
      <c r="AR252" s="220"/>
      <c r="AS252" s="220"/>
      <c r="AT252" s="220"/>
      <c r="AU252" s="238">
        <f>AU251*(1-AU71)</f>
        <v>7491.0802501855187</v>
      </c>
      <c r="AV252" s="220"/>
      <c r="AW252" s="220"/>
      <c r="AX252" s="220"/>
      <c r="AY252" s="220"/>
      <c r="AZ252" s="238">
        <f>AZ251*(1-AZ71)</f>
        <v>7222.7003644939959</v>
      </c>
      <c r="BA252" s="220"/>
      <c r="BB252" s="220"/>
      <c r="BC252" s="220"/>
      <c r="BD252" s="220"/>
      <c r="BE252" s="238">
        <f>BE251*(1-BE71)</f>
        <v>8247.8828191338798</v>
      </c>
      <c r="BF252" s="220"/>
      <c r="BG252" s="220"/>
      <c r="BH252" s="220"/>
      <c r="BI252" s="220"/>
      <c r="BJ252" s="492">
        <f>BJ251*(1-BJ71)</f>
        <v>8974.2145697605556</v>
      </c>
      <c r="BK252" s="444"/>
      <c r="BL252" s="444"/>
      <c r="BM252" s="444"/>
      <c r="BN252" s="444"/>
      <c r="BO252" s="492">
        <f>BO251*(1-BO71)</f>
        <v>9174.7990505033977</v>
      </c>
      <c r="BP252" s="444"/>
      <c r="BQ252" s="444"/>
      <c r="BR252" s="444"/>
      <c r="BS252" s="444"/>
      <c r="BT252" s="492">
        <f>BT251*(1-BT71)</f>
        <v>9262.7753700220783</v>
      </c>
      <c r="BU252" s="444"/>
      <c r="BV252" s="444"/>
      <c r="BW252" s="444"/>
      <c r="BX252" s="444"/>
      <c r="BY252" s="492">
        <f>BY251*(1-BY71)</f>
        <v>9080.5723029839337</v>
      </c>
      <c r="BZ252" s="444"/>
      <c r="CA252" s="444"/>
      <c r="CB252" s="444"/>
      <c r="CC252" s="444"/>
      <c r="CD252" s="492">
        <f>CD251*(1-CD71)</f>
        <v>8485.7157431838168</v>
      </c>
      <c r="CE252" s="444"/>
      <c r="CF252" s="444"/>
      <c r="CG252" s="444"/>
      <c r="CH252" s="444"/>
      <c r="CI252" s="492">
        <f>CI251*(1-CI71)</f>
        <v>8411.8751040799325</v>
      </c>
      <c r="CJ252" s="444"/>
      <c r="CK252" s="444"/>
      <c r="CL252" s="444"/>
      <c r="CM252" s="444"/>
      <c r="CN252" s="492">
        <f>CN251*(1-CN71)</f>
        <v>8133.6509321333451</v>
      </c>
      <c r="CO252" s="444"/>
      <c r="CP252" s="444"/>
      <c r="CQ252" s="444"/>
      <c r="CR252" s="444"/>
      <c r="CS252" s="492">
        <f>CS251*(1-CS71)</f>
        <v>8921.2744088738691</v>
      </c>
      <c r="CT252" s="444"/>
      <c r="CU252" s="444"/>
      <c r="CV252" s="444"/>
      <c r="CW252" s="444"/>
      <c r="CX252" s="492">
        <f>CX251*(1-CX71)</f>
        <v>9553.0173831289867</v>
      </c>
      <c r="CY252" s="444"/>
      <c r="CZ252" s="444"/>
      <c r="DA252" s="444"/>
      <c r="DB252" s="444"/>
      <c r="DC252" s="492">
        <f>DC251*(1-DC71)</f>
        <v>10233.94431753418</v>
      </c>
      <c r="DD252" s="444"/>
      <c r="DE252" s="444"/>
      <c r="DF252" s="444"/>
      <c r="DG252" s="444"/>
      <c r="DH252" s="492">
        <f>DH251*(1-DH71)</f>
        <v>10914.491246319061</v>
      </c>
      <c r="DI252" s="444"/>
      <c r="DJ252" s="444"/>
      <c r="DK252" s="444"/>
      <c r="DL252" s="444"/>
      <c r="DM252" s="492">
        <f>DM251*(1-DM71)</f>
        <v>11586.449543901383</v>
      </c>
      <c r="DN252" s="220"/>
    </row>
    <row r="253" spans="1:118" ht="15" x14ac:dyDescent="0.2">
      <c r="A253" s="377"/>
      <c r="B253" s="377" t="s">
        <v>197</v>
      </c>
      <c r="C253" s="220"/>
      <c r="D253" s="220"/>
      <c r="E253" s="220"/>
      <c r="F253" s="220"/>
      <c r="G253" s="209"/>
      <c r="H253" s="220"/>
      <c r="I253" s="220"/>
      <c r="J253" s="220"/>
      <c r="K253" s="220"/>
      <c r="L253" s="209"/>
      <c r="M253" s="220"/>
      <c r="N253" s="220"/>
      <c r="O253" s="220"/>
      <c r="P253" s="220"/>
      <c r="Q253" s="209">
        <f>Q252/L252-1</f>
        <v>0.10435635080911099</v>
      </c>
      <c r="R253" s="220"/>
      <c r="S253" s="220"/>
      <c r="T253" s="220"/>
      <c r="U253" s="220"/>
      <c r="V253" s="209">
        <f>V252/Q252-1</f>
        <v>9.7914008429867305E-2</v>
      </c>
      <c r="W253" s="220"/>
      <c r="X253" s="220"/>
      <c r="Y253" s="220"/>
      <c r="Z253" s="220"/>
      <c r="AA253" s="209">
        <f>AA252/V252-1</f>
        <v>8.4765647059965366E-2</v>
      </c>
      <c r="AB253" s="220"/>
      <c r="AC253" s="220"/>
      <c r="AD253" s="220"/>
      <c r="AE253" s="220"/>
      <c r="AF253" s="209">
        <f>AF252/AA252-1</f>
        <v>3.3399511653263048E-2</v>
      </c>
      <c r="AG253" s="220"/>
      <c r="AH253" s="220"/>
      <c r="AI253" s="220"/>
      <c r="AJ253" s="220"/>
      <c r="AK253" s="209">
        <f>AK252/AF252-1</f>
        <v>8.0301111909350409E-2</v>
      </c>
      <c r="AL253" s="220"/>
      <c r="AM253" s="220"/>
      <c r="AN253" s="220"/>
      <c r="AO253" s="220"/>
      <c r="AP253" s="209">
        <f>AP252/AK252-1</f>
        <v>0.14663615779910266</v>
      </c>
      <c r="AQ253" s="220"/>
      <c r="AR253" s="220"/>
      <c r="AS253" s="220"/>
      <c r="AT253" s="220"/>
      <c r="AU253" s="209">
        <f>AU252/AP252-1</f>
        <v>0.15199266319790206</v>
      </c>
      <c r="AV253" s="220"/>
      <c r="AW253" s="220"/>
      <c r="AX253" s="220"/>
      <c r="AY253" s="220"/>
      <c r="AZ253" s="209">
        <f>AZ252/AU252-1</f>
        <v>-3.5826593325425482E-2</v>
      </c>
      <c r="BA253" s="220"/>
      <c r="BB253" s="220"/>
      <c r="BC253" s="220"/>
      <c r="BD253" s="220"/>
      <c r="BE253" s="209">
        <f>BE252/AZ252-1</f>
        <v>0.1419389429027913</v>
      </c>
      <c r="BF253" s="220"/>
      <c r="BG253" s="220"/>
      <c r="BH253" s="220"/>
      <c r="BI253" s="220"/>
      <c r="BJ253" s="424">
        <f>BJ252/BE252-1</f>
        <v>8.8062811578953681E-2</v>
      </c>
      <c r="BK253" s="444"/>
      <c r="BL253" s="444"/>
      <c r="BM253" s="444"/>
      <c r="BN253" s="444"/>
      <c r="BO253" s="424">
        <f>BO252/BJ252-1</f>
        <v>2.2351201788592068E-2</v>
      </c>
      <c r="BP253" s="444"/>
      <c r="BQ253" s="444"/>
      <c r="BR253" s="444"/>
      <c r="BS253" s="444"/>
      <c r="BT253" s="424">
        <f>BT252/BO252-1</f>
        <v>9.5889096899461901E-3</v>
      </c>
      <c r="BU253" s="444"/>
      <c r="BV253" s="444"/>
      <c r="BW253" s="444"/>
      <c r="BX253" s="444"/>
      <c r="BY253" s="424">
        <f>BY252/BT252-1</f>
        <v>-1.9670461579779253E-2</v>
      </c>
      <c r="BZ253" s="444"/>
      <c r="CA253" s="444"/>
      <c r="CB253" s="444"/>
      <c r="CC253" s="444"/>
      <c r="CD253" s="424">
        <f>CD252/BY252-1</f>
        <v>-6.5508708036457475E-2</v>
      </c>
      <c r="CE253" s="444"/>
      <c r="CF253" s="444"/>
      <c r="CG253" s="444"/>
      <c r="CH253" s="444"/>
      <c r="CI253" s="424">
        <f>CI252/CD252-1</f>
        <v>-8.7017573223798772E-3</v>
      </c>
      <c r="CJ253" s="444"/>
      <c r="CK253" s="444"/>
      <c r="CL253" s="444"/>
      <c r="CM253" s="444"/>
      <c r="CN253" s="424">
        <f>CN252/CI252-1</f>
        <v>-3.3075166773653519E-2</v>
      </c>
      <c r="CO253" s="444"/>
      <c r="CP253" s="444"/>
      <c r="CQ253" s="444"/>
      <c r="CR253" s="444"/>
      <c r="CS253" s="424">
        <f>CS252/CN252-1</f>
        <v>9.6835170738504006E-2</v>
      </c>
      <c r="CT253" s="444"/>
      <c r="CU253" s="444"/>
      <c r="CV253" s="444"/>
      <c r="CW253" s="444"/>
      <c r="CX253" s="424">
        <f>CX252/CS252-1</f>
        <v>7.0813086258924018E-2</v>
      </c>
      <c r="CY253" s="444"/>
      <c r="CZ253" s="444"/>
      <c r="DA253" s="444"/>
      <c r="DB253" s="444"/>
      <c r="DC253" s="424">
        <f>DC252/CX252-1</f>
        <v>7.1278728709081696E-2</v>
      </c>
      <c r="DD253" s="444"/>
      <c r="DE253" s="444"/>
      <c r="DF253" s="444"/>
      <c r="DG253" s="444"/>
      <c r="DH253" s="424">
        <f>DH252/DC252-1</f>
        <v>6.6498986868521071E-2</v>
      </c>
      <c r="DI253" s="444"/>
      <c r="DJ253" s="444"/>
      <c r="DK253" s="444"/>
      <c r="DL253" s="444"/>
      <c r="DM253" s="424">
        <f>DM252/DH252-1</f>
        <v>6.1565700353549691E-2</v>
      </c>
      <c r="DN253" s="220"/>
    </row>
    <row r="254" spans="1:118" ht="3" customHeight="1" x14ac:dyDescent="0.25">
      <c r="A254" s="379"/>
      <c r="B254" s="220"/>
      <c r="C254" s="220"/>
      <c r="D254" s="220"/>
      <c r="E254" s="220"/>
      <c r="F254" s="220"/>
      <c r="G254" s="234"/>
      <c r="H254" s="220"/>
      <c r="I254" s="220"/>
      <c r="J254" s="220"/>
      <c r="K254" s="220"/>
      <c r="L254" s="234"/>
      <c r="M254" s="220"/>
      <c r="N254" s="220"/>
      <c r="O254" s="220"/>
      <c r="P254" s="220"/>
      <c r="Q254" s="234"/>
      <c r="R254" s="220"/>
      <c r="S254" s="220"/>
      <c r="T254" s="220"/>
      <c r="U254" s="220"/>
      <c r="V254" s="234"/>
      <c r="W254" s="220"/>
      <c r="X254" s="220"/>
      <c r="Y254" s="220"/>
      <c r="Z254" s="220"/>
      <c r="AA254" s="234"/>
      <c r="AB254" s="220"/>
      <c r="AC254" s="220"/>
      <c r="AD254" s="220"/>
      <c r="AE254" s="220"/>
      <c r="AF254" s="234"/>
      <c r="AG254" s="220"/>
      <c r="AH254" s="220"/>
      <c r="AI254" s="220"/>
      <c r="AJ254" s="220"/>
      <c r="AK254" s="234"/>
      <c r="AL254" s="220"/>
      <c r="AM254" s="220"/>
      <c r="AN254" s="220"/>
      <c r="AO254" s="220"/>
      <c r="AP254" s="234"/>
      <c r="AQ254" s="220"/>
      <c r="AR254" s="220"/>
      <c r="AS254" s="220"/>
      <c r="AT254" s="220"/>
      <c r="AU254" s="234"/>
      <c r="AV254" s="220"/>
      <c r="AW254" s="220"/>
      <c r="AX254" s="220"/>
      <c r="AY254" s="220"/>
      <c r="AZ254" s="234"/>
      <c r="BA254" s="220"/>
      <c r="BB254" s="220"/>
      <c r="BC254" s="220"/>
      <c r="BD254" s="220"/>
      <c r="BE254" s="234"/>
      <c r="BF254" s="220"/>
      <c r="BG254" s="220"/>
      <c r="BH254" s="220"/>
      <c r="BI254" s="220"/>
      <c r="BJ254" s="485"/>
      <c r="BK254" s="444"/>
      <c r="BL254" s="444"/>
      <c r="BM254" s="444"/>
      <c r="BN254" s="444"/>
      <c r="BO254" s="485"/>
      <c r="BP254" s="444"/>
      <c r="BQ254" s="444"/>
      <c r="BR254" s="444"/>
      <c r="BS254" s="444"/>
      <c r="BT254" s="485"/>
      <c r="BU254" s="444"/>
      <c r="BV254" s="444"/>
      <c r="BW254" s="444"/>
      <c r="BX254" s="444"/>
      <c r="BY254" s="485"/>
      <c r="BZ254" s="444"/>
      <c r="CA254" s="444"/>
      <c r="CB254" s="444"/>
      <c r="CC254" s="444"/>
      <c r="CD254" s="485"/>
      <c r="CE254" s="444"/>
      <c r="CF254" s="444"/>
      <c r="CG254" s="444"/>
      <c r="CH254" s="444"/>
      <c r="CI254" s="485"/>
      <c r="CJ254" s="444"/>
      <c r="CK254" s="444"/>
      <c r="CL254" s="444"/>
      <c r="CM254" s="444"/>
      <c r="CN254" s="485"/>
      <c r="CO254" s="444"/>
      <c r="CP254" s="444"/>
      <c r="CQ254" s="444"/>
      <c r="CR254" s="444"/>
      <c r="CS254" s="485"/>
      <c r="CT254" s="444"/>
      <c r="CU254" s="444"/>
      <c r="CV254" s="444"/>
      <c r="CW254" s="444"/>
      <c r="CX254" s="485"/>
      <c r="CY254" s="444"/>
      <c r="CZ254" s="444"/>
      <c r="DA254" s="444"/>
      <c r="DB254" s="444"/>
      <c r="DC254" s="485"/>
      <c r="DD254" s="444"/>
      <c r="DE254" s="444"/>
      <c r="DF254" s="444"/>
      <c r="DG254" s="444"/>
      <c r="DH254" s="485"/>
      <c r="DI254" s="444"/>
      <c r="DJ254" s="444"/>
      <c r="DK254" s="444"/>
      <c r="DL254" s="444"/>
      <c r="DM254" s="485"/>
      <c r="DN254" s="220"/>
    </row>
    <row r="255" spans="1:118" ht="15" x14ac:dyDescent="0.2">
      <c r="A255" s="377"/>
      <c r="B255" s="377" t="s">
        <v>219</v>
      </c>
      <c r="C255" s="220"/>
      <c r="D255" s="220"/>
      <c r="E255" s="220"/>
      <c r="F255" s="220"/>
      <c r="G255" s="238"/>
      <c r="H255" s="220"/>
      <c r="I255" s="220"/>
      <c r="J255" s="220"/>
      <c r="K255" s="220"/>
      <c r="L255" s="238">
        <f>AVERAGE(H236:K236)</f>
        <v>15157.75</v>
      </c>
      <c r="M255" s="220"/>
      <c r="N255" s="220"/>
      <c r="O255" s="220"/>
      <c r="P255" s="220"/>
      <c r="Q255" s="238">
        <f>AVERAGE(M236:P236)</f>
        <v>16886.75</v>
      </c>
      <c r="R255" s="220"/>
      <c r="S255" s="220"/>
      <c r="T255" s="220"/>
      <c r="U255" s="220"/>
      <c r="V255" s="238">
        <f>AVERAGE(R236:U236)</f>
        <v>18344</v>
      </c>
      <c r="W255" s="220"/>
      <c r="X255" s="220"/>
      <c r="Y255" s="220"/>
      <c r="Z255" s="220"/>
      <c r="AA255" s="238">
        <f>AVERAGE(W236:Z236)</f>
        <v>19367</v>
      </c>
      <c r="AB255" s="220"/>
      <c r="AC255" s="220"/>
      <c r="AD255" s="220"/>
      <c r="AE255" s="220"/>
      <c r="AF255" s="238">
        <f>AVERAGE(AB236:AE236)</f>
        <v>19422</v>
      </c>
      <c r="AG255" s="220"/>
      <c r="AH255" s="220"/>
      <c r="AI255" s="220"/>
      <c r="AJ255" s="220"/>
      <c r="AK255" s="238">
        <f>AVERAGE(AG236:AJ236)</f>
        <v>20825</v>
      </c>
      <c r="AL255" s="220"/>
      <c r="AM255" s="220"/>
      <c r="AN255" s="220"/>
      <c r="AO255" s="220"/>
      <c r="AP255" s="238">
        <f>AVERAGE(AL236:AO236)</f>
        <v>28123</v>
      </c>
      <c r="AQ255" s="220"/>
      <c r="AR255" s="220"/>
      <c r="AS255" s="220"/>
      <c r="AT255" s="220"/>
      <c r="AU255" s="238">
        <f>AVERAGE(AQ236:AT236)</f>
        <v>31546.75</v>
      </c>
      <c r="AV255" s="220"/>
      <c r="AW255" s="220"/>
      <c r="AX255" s="220"/>
      <c r="AY255" s="220"/>
      <c r="AZ255" s="238">
        <f>AVERAGE(AV236:AY236)</f>
        <v>31071.25</v>
      </c>
      <c r="BA255" s="220"/>
      <c r="BB255" s="220"/>
      <c r="BC255" s="220"/>
      <c r="BD255" s="220"/>
      <c r="BE255" s="238">
        <f>AVERAGE(BA236:BD236)</f>
        <v>30064.5</v>
      </c>
      <c r="BF255" s="220"/>
      <c r="BG255" s="220"/>
      <c r="BH255" s="220"/>
      <c r="BI255" s="220"/>
      <c r="BJ255" s="492">
        <f>AVERAGE(BF236:BI236)</f>
        <v>47729</v>
      </c>
      <c r="BK255" s="444"/>
      <c r="BL255" s="444"/>
      <c r="BM255" s="444"/>
      <c r="BN255" s="444"/>
      <c r="BO255" s="492">
        <f>AVERAGE(BK236:BN236)</f>
        <v>48718</v>
      </c>
      <c r="BP255" s="444"/>
      <c r="BQ255" s="444"/>
      <c r="BR255" s="444"/>
      <c r="BS255" s="444"/>
      <c r="BT255" s="492">
        <f>AVERAGE(BP236:BS236)</f>
        <v>47999</v>
      </c>
      <c r="BU255" s="444"/>
      <c r="BV255" s="444"/>
      <c r="BW255" s="444"/>
      <c r="BX255" s="444"/>
      <c r="BY255" s="492">
        <f>AVERAGE(BU236:BX236)</f>
        <v>47779.5</v>
      </c>
      <c r="BZ255" s="444"/>
      <c r="CA255" s="444"/>
      <c r="CB255" s="444"/>
      <c r="CC255" s="444"/>
      <c r="CD255" s="492">
        <f>AVERAGE(BZ236:CC236)</f>
        <v>45149.75</v>
      </c>
      <c r="CE255" s="444"/>
      <c r="CF255" s="444"/>
      <c r="CG255" s="444"/>
      <c r="CH255" s="444"/>
      <c r="CI255" s="492">
        <f>AVERAGE(CE236:CH236)</f>
        <v>40324.5</v>
      </c>
      <c r="CJ255" s="444"/>
      <c r="CK255" s="444"/>
      <c r="CL255" s="444"/>
      <c r="CM255" s="444"/>
      <c r="CN255" s="492">
        <f>AVERAGE(CJ236:CM236)</f>
        <v>32540.25</v>
      </c>
      <c r="CO255" s="444"/>
      <c r="CP255" s="444"/>
      <c r="CQ255" s="444"/>
      <c r="CR255" s="444"/>
      <c r="CS255" s="492">
        <f ca="1">AVERAGE(CO236:CR236)</f>
        <v>32484.086979076539</v>
      </c>
      <c r="CT255" s="444"/>
      <c r="CU255" s="444"/>
      <c r="CV255" s="444"/>
      <c r="CW255" s="444"/>
      <c r="CX255" s="492">
        <f ca="1">AVERAGE(CT236:CW236)</f>
        <v>34467.482541386504</v>
      </c>
      <c r="CY255" s="444"/>
      <c r="CZ255" s="444"/>
      <c r="DA255" s="444"/>
      <c r="DB255" s="444"/>
      <c r="DC255" s="492">
        <f ca="1">AVERAGE(CY236:DB236)</f>
        <v>36293.374042603151</v>
      </c>
      <c r="DD255" s="444"/>
      <c r="DE255" s="444"/>
      <c r="DF255" s="444"/>
      <c r="DG255" s="444"/>
      <c r="DH255" s="492">
        <f ca="1">AVERAGE(DD236:DG236)</f>
        <v>38161.090441578577</v>
      </c>
      <c r="DI255" s="444"/>
      <c r="DJ255" s="444"/>
      <c r="DK255" s="444"/>
      <c r="DL255" s="444"/>
      <c r="DM255" s="492">
        <f ca="1">AVERAGE(DI236:DL236)</f>
        <v>40093.800998151863</v>
      </c>
      <c r="DN255" s="220"/>
    </row>
    <row r="256" spans="1:118" ht="15" x14ac:dyDescent="0.2">
      <c r="A256" s="377"/>
      <c r="B256" s="377" t="s">
        <v>215</v>
      </c>
      <c r="C256" s="220"/>
      <c r="D256" s="220"/>
      <c r="E256" s="220"/>
      <c r="F256" s="220"/>
      <c r="G256" s="238"/>
      <c r="H256" s="220"/>
      <c r="I256" s="220"/>
      <c r="J256" s="220"/>
      <c r="K256" s="220"/>
      <c r="L256" s="238">
        <f>L255*L257</f>
        <v>1288.4087500000001</v>
      </c>
      <c r="M256" s="220"/>
      <c r="N256" s="220"/>
      <c r="O256" s="220"/>
      <c r="P256" s="220"/>
      <c r="Q256" s="238">
        <f>Q255*Q257</f>
        <v>1435.3737500000002</v>
      </c>
      <c r="R256" s="220"/>
      <c r="S256" s="220"/>
      <c r="T256" s="220"/>
      <c r="U256" s="220"/>
      <c r="V256" s="238">
        <f>V255*V257</f>
        <v>1559.24</v>
      </c>
      <c r="W256" s="220"/>
      <c r="X256" s="220"/>
      <c r="Y256" s="220"/>
      <c r="Z256" s="220"/>
      <c r="AA256" s="238">
        <f>AA255*AA257</f>
        <v>1646.1950000000002</v>
      </c>
      <c r="AB256" s="220"/>
      <c r="AC256" s="220"/>
      <c r="AD256" s="220"/>
      <c r="AE256" s="220"/>
      <c r="AF256" s="238">
        <f>AF255*AF257</f>
        <v>1650.8700000000001</v>
      </c>
      <c r="AG256" s="220"/>
      <c r="AH256" s="220"/>
      <c r="AI256" s="220"/>
      <c r="AJ256" s="220"/>
      <c r="AK256" s="238">
        <f>AK255*AK257</f>
        <v>1770.1250000000002</v>
      </c>
      <c r="AL256" s="220"/>
      <c r="AM256" s="220"/>
      <c r="AN256" s="220"/>
      <c r="AO256" s="220"/>
      <c r="AP256" s="238">
        <f>AP255*AP257</f>
        <v>2390.4550000000004</v>
      </c>
      <c r="AQ256" s="220"/>
      <c r="AR256" s="220"/>
      <c r="AS256" s="220"/>
      <c r="AT256" s="220"/>
      <c r="AU256" s="238">
        <f>AU255*AU257</f>
        <v>2681.4737500000001</v>
      </c>
      <c r="AV256" s="220"/>
      <c r="AW256" s="220"/>
      <c r="AX256" s="220"/>
      <c r="AY256" s="220"/>
      <c r="AZ256" s="238">
        <f>AZ255*AZ257</f>
        <v>2641.0562500000001</v>
      </c>
      <c r="BA256" s="220"/>
      <c r="BB256" s="220"/>
      <c r="BC256" s="220"/>
      <c r="BD256" s="220"/>
      <c r="BE256" s="238">
        <f>BE255*BE257</f>
        <v>2555.4825000000001</v>
      </c>
      <c r="BF256" s="220"/>
      <c r="BG256" s="220"/>
      <c r="BH256" s="220"/>
      <c r="BI256" s="220"/>
      <c r="BJ256" s="492">
        <f>BJ255*BJ257</f>
        <v>4056.9650000000001</v>
      </c>
      <c r="BK256" s="444"/>
      <c r="BL256" s="444"/>
      <c r="BM256" s="444"/>
      <c r="BN256" s="444"/>
      <c r="BO256" s="492">
        <f>BO255*BO257</f>
        <v>4141.0300000000007</v>
      </c>
      <c r="BP256" s="444"/>
      <c r="BQ256" s="444"/>
      <c r="BR256" s="444"/>
      <c r="BS256" s="444"/>
      <c r="BT256" s="492">
        <f>BT255*BT257</f>
        <v>4079.9150000000004</v>
      </c>
      <c r="BU256" s="444"/>
      <c r="BV256" s="444"/>
      <c r="BW256" s="444"/>
      <c r="BX256" s="444"/>
      <c r="BY256" s="492">
        <f>BY255*BY257</f>
        <v>4061.2575000000002</v>
      </c>
      <c r="BZ256" s="444"/>
      <c r="CA256" s="444"/>
      <c r="CB256" s="444"/>
      <c r="CC256" s="444"/>
      <c r="CD256" s="492">
        <f>CD255*CD257</f>
        <v>3837.7287500000002</v>
      </c>
      <c r="CE256" s="444"/>
      <c r="CF256" s="444"/>
      <c r="CG256" s="444"/>
      <c r="CH256" s="444"/>
      <c r="CI256" s="492">
        <f>CI255*CI257</f>
        <v>3427.5825000000004</v>
      </c>
      <c r="CJ256" s="444"/>
      <c r="CK256" s="444"/>
      <c r="CL256" s="444"/>
      <c r="CM256" s="444"/>
      <c r="CN256" s="492">
        <f>CN255*CN257</f>
        <v>2765.9212500000003</v>
      </c>
      <c r="CO256" s="444"/>
      <c r="CP256" s="444"/>
      <c r="CQ256" s="444"/>
      <c r="CR256" s="444"/>
      <c r="CS256" s="492">
        <f ca="1">CS255*CS257</f>
        <v>2761.1473932215058</v>
      </c>
      <c r="CT256" s="444"/>
      <c r="CU256" s="444"/>
      <c r="CV256" s="444"/>
      <c r="CW256" s="444"/>
      <c r="CX256" s="492">
        <f ca="1">CX255*CX257</f>
        <v>2929.7360160178532</v>
      </c>
      <c r="CY256" s="444"/>
      <c r="CZ256" s="444"/>
      <c r="DA256" s="444"/>
      <c r="DB256" s="444"/>
      <c r="DC256" s="492">
        <f ca="1">DC255*DC257</f>
        <v>3084.936793621268</v>
      </c>
      <c r="DD256" s="444"/>
      <c r="DE256" s="444"/>
      <c r="DF256" s="444"/>
      <c r="DG256" s="444"/>
      <c r="DH256" s="492">
        <f ca="1">DH255*DH257</f>
        <v>3243.6926875341792</v>
      </c>
      <c r="DI256" s="444"/>
      <c r="DJ256" s="444"/>
      <c r="DK256" s="444"/>
      <c r="DL256" s="444"/>
      <c r="DM256" s="492">
        <f ca="1">DM255*DM257</f>
        <v>3407.9730848429085</v>
      </c>
      <c r="DN256" s="220"/>
    </row>
    <row r="257" spans="1:118" ht="15.75" x14ac:dyDescent="0.25">
      <c r="A257" s="377"/>
      <c r="B257" s="377" t="s">
        <v>216</v>
      </c>
      <c r="C257" s="220"/>
      <c r="D257" s="220"/>
      <c r="E257" s="220"/>
      <c r="F257" s="220"/>
      <c r="G257" s="380"/>
      <c r="H257" s="220"/>
      <c r="I257" s="220"/>
      <c r="J257" s="220"/>
      <c r="K257" s="220"/>
      <c r="L257" s="380">
        <v>8.5000000000000006E-2</v>
      </c>
      <c r="M257" s="220"/>
      <c r="N257" s="220"/>
      <c r="O257" s="220"/>
      <c r="P257" s="220"/>
      <c r="Q257" s="380">
        <v>8.5000000000000006E-2</v>
      </c>
      <c r="R257" s="220"/>
      <c r="S257" s="220"/>
      <c r="T257" s="220"/>
      <c r="U257" s="220"/>
      <c r="V257" s="380">
        <v>8.5000000000000006E-2</v>
      </c>
      <c r="W257" s="220"/>
      <c r="X257" s="220"/>
      <c r="Y257" s="220"/>
      <c r="Z257" s="220"/>
      <c r="AA257" s="380">
        <v>8.5000000000000006E-2</v>
      </c>
      <c r="AB257" s="220"/>
      <c r="AC257" s="220"/>
      <c r="AD257" s="220"/>
      <c r="AE257" s="220"/>
      <c r="AF257" s="380">
        <v>8.5000000000000006E-2</v>
      </c>
      <c r="AG257" s="220"/>
      <c r="AH257" s="220"/>
      <c r="AI257" s="220"/>
      <c r="AJ257" s="220"/>
      <c r="AK257" s="380">
        <v>8.5000000000000006E-2</v>
      </c>
      <c r="AL257" s="220"/>
      <c r="AM257" s="220"/>
      <c r="AN257" s="220"/>
      <c r="AO257" s="220"/>
      <c r="AP257" s="380">
        <v>8.5000000000000006E-2</v>
      </c>
      <c r="AQ257" s="220"/>
      <c r="AR257" s="220"/>
      <c r="AS257" s="220"/>
      <c r="AT257" s="220"/>
      <c r="AU257" s="380">
        <v>8.5000000000000006E-2</v>
      </c>
      <c r="AV257" s="220"/>
      <c r="AW257" s="220"/>
      <c r="AX257" s="220"/>
      <c r="AY257" s="220"/>
      <c r="AZ257" s="380">
        <v>8.5000000000000006E-2</v>
      </c>
      <c r="BA257" s="220"/>
      <c r="BB257" s="220"/>
      <c r="BC257" s="220"/>
      <c r="BD257" s="220"/>
      <c r="BE257" s="380">
        <v>8.5000000000000006E-2</v>
      </c>
      <c r="BF257" s="220"/>
      <c r="BG257" s="220"/>
      <c r="BH257" s="220"/>
      <c r="BI257" s="220"/>
      <c r="BJ257" s="588">
        <v>8.5000000000000006E-2</v>
      </c>
      <c r="BK257" s="444"/>
      <c r="BL257" s="444"/>
      <c r="BM257" s="444"/>
      <c r="BN257" s="444"/>
      <c r="BO257" s="588">
        <v>8.5000000000000006E-2</v>
      </c>
      <c r="BP257" s="444"/>
      <c r="BQ257" s="444"/>
      <c r="BR257" s="444"/>
      <c r="BS257" s="444"/>
      <c r="BT257" s="588">
        <v>8.5000000000000006E-2</v>
      </c>
      <c r="BU257" s="444"/>
      <c r="BV257" s="444"/>
      <c r="BW257" s="444"/>
      <c r="BX257" s="444"/>
      <c r="BY257" s="588">
        <v>8.5000000000000006E-2</v>
      </c>
      <c r="BZ257" s="444"/>
      <c r="CA257" s="444"/>
      <c r="CB257" s="444"/>
      <c r="CC257" s="444"/>
      <c r="CD257" s="588">
        <v>8.5000000000000006E-2</v>
      </c>
      <c r="CE257" s="444"/>
      <c r="CF257" s="444"/>
      <c r="CG257" s="444"/>
      <c r="CH257" s="444"/>
      <c r="CI257" s="588">
        <v>8.5000000000000006E-2</v>
      </c>
      <c r="CJ257" s="444"/>
      <c r="CK257" s="444"/>
      <c r="CL257" s="444"/>
      <c r="CM257" s="444"/>
      <c r="CN257" s="588">
        <v>8.5000000000000006E-2</v>
      </c>
      <c r="CO257" s="444"/>
      <c r="CP257" s="444"/>
      <c r="CQ257" s="444"/>
      <c r="CR257" s="444"/>
      <c r="CS257" s="588">
        <v>8.5000000000000006E-2</v>
      </c>
      <c r="CT257" s="444"/>
      <c r="CU257" s="444"/>
      <c r="CV257" s="444"/>
      <c r="CW257" s="444"/>
      <c r="CX257" s="588">
        <v>8.5000000000000006E-2</v>
      </c>
      <c r="CY257" s="444"/>
      <c r="CZ257" s="444"/>
      <c r="DA257" s="444"/>
      <c r="DB257" s="444"/>
      <c r="DC257" s="588">
        <v>8.5000000000000006E-2</v>
      </c>
      <c r="DD257" s="444"/>
      <c r="DE257" s="444"/>
      <c r="DF257" s="444"/>
      <c r="DG257" s="444"/>
      <c r="DH257" s="588">
        <v>8.5000000000000006E-2</v>
      </c>
      <c r="DI257" s="444"/>
      <c r="DJ257" s="444"/>
      <c r="DK257" s="444"/>
      <c r="DL257" s="444"/>
      <c r="DM257" s="588">
        <v>8.5000000000000006E-2</v>
      </c>
      <c r="DN257" s="220"/>
    </row>
    <row r="258" spans="1:118" ht="3.75" customHeight="1" x14ac:dyDescent="0.25">
      <c r="A258" s="379"/>
      <c r="B258" s="379" t="s">
        <v>217</v>
      </c>
      <c r="C258" s="220"/>
      <c r="D258" s="220"/>
      <c r="E258" s="220"/>
      <c r="F258" s="220"/>
      <c r="G258" s="234"/>
      <c r="H258" s="220"/>
      <c r="I258" s="220"/>
      <c r="J258" s="220"/>
      <c r="K258" s="220"/>
      <c r="L258" s="234"/>
      <c r="M258" s="220"/>
      <c r="N258" s="220"/>
      <c r="O258" s="220"/>
      <c r="P258" s="220"/>
      <c r="Q258" s="234"/>
      <c r="R258" s="220"/>
      <c r="S258" s="220"/>
      <c r="T258" s="220"/>
      <c r="U258" s="220"/>
      <c r="V258" s="234"/>
      <c r="W258" s="220"/>
      <c r="X258" s="220"/>
      <c r="Y258" s="220"/>
      <c r="Z258" s="220"/>
      <c r="AA258" s="234"/>
      <c r="AB258" s="220"/>
      <c r="AC258" s="220"/>
      <c r="AD258" s="220"/>
      <c r="AE258" s="220"/>
      <c r="AF258" s="234"/>
      <c r="AG258" s="220"/>
      <c r="AH258" s="220"/>
      <c r="AI258" s="220"/>
      <c r="AJ258" s="220"/>
      <c r="AK258" s="234"/>
      <c r="AL258" s="220"/>
      <c r="AM258" s="220"/>
      <c r="AN258" s="220"/>
      <c r="AO258" s="220"/>
      <c r="AP258" s="234"/>
      <c r="AQ258" s="220"/>
      <c r="AR258" s="220"/>
      <c r="AS258" s="220"/>
      <c r="AT258" s="220"/>
      <c r="AU258" s="234"/>
      <c r="AV258" s="220"/>
      <c r="AW258" s="220"/>
      <c r="AX258" s="220"/>
      <c r="AY258" s="220"/>
      <c r="AZ258" s="234"/>
      <c r="BA258" s="220"/>
      <c r="BB258" s="220"/>
      <c r="BC258" s="220"/>
      <c r="BD258" s="220"/>
      <c r="BE258" s="234"/>
      <c r="BF258" s="220"/>
      <c r="BG258" s="220"/>
      <c r="BH258" s="220"/>
      <c r="BI258" s="220"/>
      <c r="BJ258" s="485"/>
      <c r="BK258" s="444"/>
      <c r="BL258" s="444"/>
      <c r="BM258" s="444"/>
      <c r="BN258" s="444"/>
      <c r="BO258" s="485"/>
      <c r="BP258" s="444"/>
      <c r="BQ258" s="444"/>
      <c r="BR258" s="444"/>
      <c r="BS258" s="444"/>
      <c r="BT258" s="485"/>
      <c r="BU258" s="444"/>
      <c r="BV258" s="444"/>
      <c r="BW258" s="444"/>
      <c r="BX258" s="444"/>
      <c r="BY258" s="485"/>
      <c r="BZ258" s="444"/>
      <c r="CA258" s="444"/>
      <c r="CB258" s="444"/>
      <c r="CC258" s="444"/>
      <c r="CD258" s="485"/>
      <c r="CE258" s="444"/>
      <c r="CF258" s="444"/>
      <c r="CG258" s="444"/>
      <c r="CH258" s="444"/>
      <c r="CI258" s="485"/>
      <c r="CJ258" s="444"/>
      <c r="CK258" s="444"/>
      <c r="CL258" s="444"/>
      <c r="CM258" s="444"/>
      <c r="CN258" s="485"/>
      <c r="CO258" s="444"/>
      <c r="CP258" s="444"/>
      <c r="CQ258" s="444"/>
      <c r="CR258" s="444"/>
      <c r="CS258" s="485"/>
      <c r="CT258" s="444"/>
      <c r="CU258" s="444"/>
      <c r="CV258" s="444"/>
      <c r="CW258" s="444"/>
      <c r="CX258" s="485"/>
      <c r="CY258" s="444"/>
      <c r="CZ258" s="444"/>
      <c r="DA258" s="444"/>
      <c r="DB258" s="444"/>
      <c r="DC258" s="485"/>
      <c r="DD258" s="444"/>
      <c r="DE258" s="444"/>
      <c r="DF258" s="444"/>
      <c r="DG258" s="444"/>
      <c r="DH258" s="485"/>
      <c r="DI258" s="444"/>
      <c r="DJ258" s="444"/>
      <c r="DK258" s="444"/>
      <c r="DL258" s="444"/>
      <c r="DM258" s="485"/>
      <c r="DN258" s="220"/>
    </row>
    <row r="259" spans="1:118" ht="15.75" x14ac:dyDescent="0.25">
      <c r="A259" s="379"/>
      <c r="B259" s="377" t="s">
        <v>218</v>
      </c>
      <c r="C259" s="220"/>
      <c r="D259" s="220"/>
      <c r="E259" s="220"/>
      <c r="F259" s="220"/>
      <c r="G259" s="238"/>
      <c r="H259" s="220"/>
      <c r="I259" s="220"/>
      <c r="J259" s="220"/>
      <c r="K259" s="220"/>
      <c r="L259" s="238">
        <f>L252-L256</f>
        <v>2573.8604973118277</v>
      </c>
      <c r="M259" s="220"/>
      <c r="N259" s="220"/>
      <c r="O259" s="220"/>
      <c r="P259" s="220"/>
      <c r="Q259" s="238">
        <f>Q252-Q256</f>
        <v>2829.9478218035415</v>
      </c>
      <c r="R259" s="220"/>
      <c r="S259" s="220"/>
      <c r="T259" s="220"/>
      <c r="U259" s="220"/>
      <c r="V259" s="238">
        <f>V252-V256</f>
        <v>3123.7163041412086</v>
      </c>
      <c r="W259" s="220"/>
      <c r="X259" s="220"/>
      <c r="Y259" s="220"/>
      <c r="Z259" s="220"/>
      <c r="AA259" s="238">
        <f>AA252-AA256</f>
        <v>3433.7151254152818</v>
      </c>
      <c r="AB259" s="220"/>
      <c r="AC259" s="220"/>
      <c r="AD259" s="220"/>
      <c r="AE259" s="220"/>
      <c r="AF259" s="238">
        <f>AF252-AF256</f>
        <v>3598.7066428466187</v>
      </c>
      <c r="AG259" s="220"/>
      <c r="AH259" s="220"/>
      <c r="AI259" s="220"/>
      <c r="AJ259" s="220"/>
      <c r="AK259" s="238">
        <f>AK252-AK256</f>
        <v>3900.9984843205575</v>
      </c>
      <c r="AL259" s="220"/>
      <c r="AM259" s="220"/>
      <c r="AN259" s="220"/>
      <c r="AO259" s="220"/>
      <c r="AP259" s="238">
        <f>AP252-AP256</f>
        <v>4112.2602424655834</v>
      </c>
      <c r="AQ259" s="220"/>
      <c r="AR259" s="220"/>
      <c r="AS259" s="220"/>
      <c r="AT259" s="220"/>
      <c r="AU259" s="238">
        <f>AU252-AU256</f>
        <v>4809.6065001855186</v>
      </c>
      <c r="AV259" s="220"/>
      <c r="AW259" s="220"/>
      <c r="AX259" s="220"/>
      <c r="AY259" s="220"/>
      <c r="AZ259" s="238">
        <f>AZ252-AZ256</f>
        <v>4581.6441144939963</v>
      </c>
      <c r="BA259" s="220"/>
      <c r="BB259" s="220"/>
      <c r="BC259" s="220"/>
      <c r="BD259" s="220"/>
      <c r="BE259" s="238">
        <f>BE252-BE256</f>
        <v>5692.4003191338797</v>
      </c>
      <c r="BF259" s="220"/>
      <c r="BG259" s="220"/>
      <c r="BH259" s="220"/>
      <c r="BI259" s="220"/>
      <c r="BJ259" s="492">
        <f>BJ252-BJ256</f>
        <v>4917.2495697605555</v>
      </c>
      <c r="BK259" s="444"/>
      <c r="BL259" s="444"/>
      <c r="BM259" s="444"/>
      <c r="BN259" s="444"/>
      <c r="BO259" s="492">
        <f>BO252-BO256</f>
        <v>5033.769050503397</v>
      </c>
      <c r="BP259" s="444"/>
      <c r="BQ259" s="444"/>
      <c r="BR259" s="444"/>
      <c r="BS259" s="444"/>
      <c r="BT259" s="492">
        <f>BT252-BT256</f>
        <v>5182.8603700220774</v>
      </c>
      <c r="BU259" s="444"/>
      <c r="BV259" s="444"/>
      <c r="BW259" s="444"/>
      <c r="BX259" s="444"/>
      <c r="BY259" s="492">
        <f>BY252-BY256</f>
        <v>5019.314802983934</v>
      </c>
      <c r="BZ259" s="444"/>
      <c r="CA259" s="444"/>
      <c r="CB259" s="444"/>
      <c r="CC259" s="444"/>
      <c r="CD259" s="492">
        <f>CD252-CD256</f>
        <v>4647.9869931838166</v>
      </c>
      <c r="CE259" s="444"/>
      <c r="CF259" s="444"/>
      <c r="CG259" s="444"/>
      <c r="CH259" s="444"/>
      <c r="CI259" s="492">
        <f>CI252-CI256</f>
        <v>4984.2926040799321</v>
      </c>
      <c r="CJ259" s="444"/>
      <c r="CK259" s="444"/>
      <c r="CL259" s="444"/>
      <c r="CM259" s="444"/>
      <c r="CN259" s="492">
        <f>CN252-CN256</f>
        <v>5367.7296821333448</v>
      </c>
      <c r="CO259" s="444"/>
      <c r="CP259" s="444"/>
      <c r="CQ259" s="444"/>
      <c r="CR259" s="444"/>
      <c r="CS259" s="492">
        <f ca="1">CS252-CS256</f>
        <v>6160.1270156523633</v>
      </c>
      <c r="CT259" s="444"/>
      <c r="CU259" s="444"/>
      <c r="CV259" s="444"/>
      <c r="CW259" s="444"/>
      <c r="CX259" s="492">
        <f ca="1">CX252-CX256</f>
        <v>6623.2813671111335</v>
      </c>
      <c r="CY259" s="444"/>
      <c r="CZ259" s="444"/>
      <c r="DA259" s="444"/>
      <c r="DB259" s="444"/>
      <c r="DC259" s="492">
        <f ca="1">DC252-DC256</f>
        <v>7149.0075239129128</v>
      </c>
      <c r="DD259" s="444"/>
      <c r="DE259" s="444"/>
      <c r="DF259" s="444"/>
      <c r="DG259" s="444"/>
      <c r="DH259" s="492">
        <f ca="1">DH252-DH256</f>
        <v>7670.7985587848816</v>
      </c>
      <c r="DI259" s="444"/>
      <c r="DJ259" s="444"/>
      <c r="DK259" s="444"/>
      <c r="DL259" s="444"/>
      <c r="DM259" s="492">
        <f ca="1">DM252-DM256</f>
        <v>8178.4764590584746</v>
      </c>
      <c r="DN259" s="220"/>
    </row>
    <row r="260" spans="1:118" ht="15.75" x14ac:dyDescent="0.25">
      <c r="A260" s="381"/>
      <c r="B260" s="382" t="s">
        <v>197</v>
      </c>
      <c r="C260" s="258"/>
      <c r="D260" s="258"/>
      <c r="E260" s="258"/>
      <c r="F260" s="258"/>
      <c r="G260" s="355"/>
      <c r="H260" s="258"/>
      <c r="I260" s="258"/>
      <c r="J260" s="258"/>
      <c r="K260" s="258"/>
      <c r="L260" s="355"/>
      <c r="M260" s="258"/>
      <c r="N260" s="258"/>
      <c r="O260" s="258"/>
      <c r="P260" s="258"/>
      <c r="Q260" s="355">
        <f>Q259/L259-1</f>
        <v>9.9495417393123953E-2</v>
      </c>
      <c r="R260" s="258"/>
      <c r="S260" s="258"/>
      <c r="T260" s="258"/>
      <c r="U260" s="258"/>
      <c r="V260" s="355">
        <f>V259/Q259-1</f>
        <v>0.10380703137856684</v>
      </c>
      <c r="W260" s="258"/>
      <c r="X260" s="258"/>
      <c r="Y260" s="258"/>
      <c r="Z260" s="258"/>
      <c r="AA260" s="355">
        <f>AA259/V259-1</f>
        <v>9.9240389040162746E-2</v>
      </c>
      <c r="AB260" s="258"/>
      <c r="AC260" s="258"/>
      <c r="AD260" s="258"/>
      <c r="AE260" s="258"/>
      <c r="AF260" s="355">
        <f>AF259/AA259-1</f>
        <v>4.8050438491568981E-2</v>
      </c>
      <c r="AG260" s="258"/>
      <c r="AH260" s="258"/>
      <c r="AI260" s="258"/>
      <c r="AJ260" s="258"/>
      <c r="AK260" s="355">
        <f>AK259/AF259-1</f>
        <v>8.4000134346828181E-2</v>
      </c>
      <c r="AL260" s="258"/>
      <c r="AM260" s="258"/>
      <c r="AN260" s="258"/>
      <c r="AO260" s="258"/>
      <c r="AP260" s="355">
        <f>AP259/AK259-1</f>
        <v>5.4155816515735422E-2</v>
      </c>
      <c r="AQ260" s="258"/>
      <c r="AR260" s="258"/>
      <c r="AS260" s="258"/>
      <c r="AT260" s="258"/>
      <c r="AU260" s="355">
        <f>AU259/AP259-1</f>
        <v>0.16957736539111345</v>
      </c>
      <c r="AV260" s="258"/>
      <c r="AW260" s="258"/>
      <c r="AX260" s="258"/>
      <c r="AY260" s="258"/>
      <c r="AZ260" s="355">
        <f>AZ259/AU259-1</f>
        <v>-4.7397304890271053E-2</v>
      </c>
      <c r="BA260" s="258"/>
      <c r="BB260" s="258"/>
      <c r="BC260" s="258"/>
      <c r="BD260" s="258"/>
      <c r="BE260" s="355">
        <f>BE259/AZ259-1</f>
        <v>0.2424361597894551</v>
      </c>
      <c r="BF260" s="258"/>
      <c r="BG260" s="258"/>
      <c r="BH260" s="258"/>
      <c r="BI260" s="258"/>
      <c r="BJ260" s="581">
        <f>BJ259/BE259-1</f>
        <v>-0.1361729158028131</v>
      </c>
      <c r="BK260" s="589"/>
      <c r="BL260" s="590"/>
      <c r="BM260" s="590"/>
      <c r="BN260" s="590"/>
      <c r="BO260" s="581">
        <f>BO259/BJ259-1</f>
        <v>2.3696068114865909E-2</v>
      </c>
      <c r="BP260" s="590"/>
      <c r="BQ260" s="590"/>
      <c r="BR260" s="590"/>
      <c r="BS260" s="590"/>
      <c r="BT260" s="581">
        <f>BT259/BO259-1</f>
        <v>2.9618228016196069E-2</v>
      </c>
      <c r="BU260" s="590"/>
      <c r="BV260" s="590"/>
      <c r="BW260" s="590"/>
      <c r="BX260" s="590"/>
      <c r="BY260" s="581">
        <f>BY259/BT259-1</f>
        <v>-3.1555078732990571E-2</v>
      </c>
      <c r="BZ260" s="590"/>
      <c r="CA260" s="590"/>
      <c r="CB260" s="590"/>
      <c r="CC260" s="590"/>
      <c r="CD260" s="581">
        <f>CD259/BY259-1</f>
        <v>-7.3979780981134446E-2</v>
      </c>
      <c r="CE260" s="590"/>
      <c r="CF260" s="590"/>
      <c r="CG260" s="590"/>
      <c r="CH260" s="590"/>
      <c r="CI260" s="581">
        <f>CI259/CD259-1</f>
        <v>7.2355110156138824E-2</v>
      </c>
      <c r="CJ260" s="590"/>
      <c r="CK260" s="590"/>
      <c r="CL260" s="590"/>
      <c r="CM260" s="590"/>
      <c r="CN260" s="581">
        <f>CN259/CI259-1</f>
        <v>7.692908673530674E-2</v>
      </c>
      <c r="CO260" s="590"/>
      <c r="CP260" s="590"/>
      <c r="CQ260" s="590"/>
      <c r="CR260" s="590"/>
      <c r="CS260" s="581">
        <f ca="1">CS259/CN259-1</f>
        <v>0.14762243638246875</v>
      </c>
      <c r="CT260" s="590"/>
      <c r="CU260" s="590"/>
      <c r="CV260" s="590"/>
      <c r="CW260" s="590"/>
      <c r="CX260" s="581">
        <f ca="1">CX259/CS259-1</f>
        <v>7.5185844428521387E-2</v>
      </c>
      <c r="CY260" s="590"/>
      <c r="CZ260" s="590"/>
      <c r="DA260" s="590"/>
      <c r="DB260" s="590"/>
      <c r="DC260" s="581">
        <f ca="1">DC259/CX259-1</f>
        <v>7.9375482885620574E-2</v>
      </c>
      <c r="DD260" s="590"/>
      <c r="DE260" s="590"/>
      <c r="DF260" s="590"/>
      <c r="DG260" s="590"/>
      <c r="DH260" s="581">
        <f ca="1">DH259/DC259-1</f>
        <v>7.2987898407802065E-2</v>
      </c>
      <c r="DI260" s="590"/>
      <c r="DJ260" s="590"/>
      <c r="DK260" s="590"/>
      <c r="DL260" s="590"/>
      <c r="DM260" s="581">
        <f ca="1">DM259/DH259-1</f>
        <v>6.6183187628122697E-2</v>
      </c>
      <c r="DN260" s="258"/>
    </row>
    <row r="261" spans="1:118" ht="15" x14ac:dyDescent="0.25">
      <c r="A261" s="381"/>
      <c r="B261" s="382"/>
      <c r="C261" s="258"/>
      <c r="D261" s="258"/>
      <c r="E261" s="258"/>
      <c r="F261" s="258"/>
      <c r="G261" s="281"/>
      <c r="H261" s="258"/>
      <c r="I261" s="258"/>
      <c r="J261" s="258"/>
      <c r="K261" s="258"/>
      <c r="L261" s="281"/>
      <c r="M261" s="258"/>
      <c r="N261" s="258"/>
      <c r="O261" s="258"/>
      <c r="P261" s="258"/>
      <c r="Q261" s="281"/>
      <c r="R261" s="258"/>
      <c r="S261" s="258"/>
      <c r="T261" s="258"/>
      <c r="U261" s="258"/>
      <c r="V261" s="281"/>
      <c r="W261" s="258"/>
      <c r="X261" s="258"/>
      <c r="Y261" s="258"/>
      <c r="Z261" s="258"/>
      <c r="AA261" s="281"/>
      <c r="AB261" s="258"/>
      <c r="AC261" s="258"/>
      <c r="AD261" s="258"/>
      <c r="AE261" s="258"/>
      <c r="AF261" s="281"/>
      <c r="AG261" s="258"/>
      <c r="AH261" s="258"/>
      <c r="AI261" s="258"/>
      <c r="AJ261" s="258"/>
      <c r="AK261" s="281"/>
      <c r="AL261" s="258"/>
      <c r="AM261" s="258"/>
      <c r="AN261" s="258"/>
      <c r="AO261" s="258"/>
      <c r="AP261" s="281"/>
      <c r="AQ261" s="258"/>
      <c r="AR261" s="258"/>
      <c r="AS261" s="258"/>
      <c r="AT261" s="258"/>
      <c r="AU261" s="281"/>
      <c r="AV261" s="258"/>
      <c r="AW261" s="258"/>
      <c r="AX261" s="258"/>
      <c r="AY261" s="258"/>
      <c r="AZ261" s="281"/>
      <c r="BA261" s="258"/>
      <c r="BB261" s="258"/>
      <c r="BC261" s="258"/>
      <c r="BD261" s="258"/>
      <c r="BE261" s="281"/>
      <c r="BF261" s="258"/>
      <c r="BG261" s="258"/>
      <c r="BH261" s="258"/>
      <c r="BI261" s="258"/>
      <c r="BJ261" s="281"/>
      <c r="BK261" s="383"/>
      <c r="BL261" s="258"/>
      <c r="BM261" s="258"/>
      <c r="BN261" s="258"/>
      <c r="BO261" s="281"/>
      <c r="BP261" s="258"/>
      <c r="BQ261" s="258"/>
      <c r="BR261" s="258"/>
      <c r="BS261" s="258"/>
      <c r="BT261" s="281"/>
      <c r="BU261" s="258"/>
      <c r="BV261" s="258"/>
      <c r="BW261" s="258"/>
      <c r="BX261" s="258"/>
      <c r="BY261" s="281"/>
      <c r="BZ261" s="258"/>
      <c r="CA261" s="258"/>
      <c r="CB261" s="258"/>
      <c r="CC261" s="258"/>
      <c r="CD261" s="281"/>
      <c r="CE261" s="258"/>
      <c r="CF261" s="258"/>
      <c r="CG261" s="258"/>
      <c r="CH261" s="258"/>
      <c r="CI261" s="281"/>
      <c r="CJ261" s="258"/>
      <c r="CK261" s="258"/>
      <c r="CL261" s="258"/>
      <c r="CM261" s="258"/>
      <c r="CN261" s="281"/>
      <c r="CO261" s="258"/>
      <c r="CP261" s="258"/>
      <c r="CQ261" s="258"/>
      <c r="CR261" s="258"/>
      <c r="CS261" s="281"/>
      <c r="CT261" s="258"/>
      <c r="CU261" s="258"/>
      <c r="CV261" s="258"/>
      <c r="CW261" s="258"/>
      <c r="CX261" s="281"/>
      <c r="CY261" s="258"/>
      <c r="CZ261" s="258"/>
      <c r="DA261" s="258"/>
      <c r="DB261" s="258"/>
      <c r="DC261" s="281"/>
      <c r="DD261" s="258"/>
      <c r="DE261" s="258"/>
      <c r="DF261" s="258"/>
      <c r="DG261" s="258"/>
      <c r="DH261" s="281"/>
      <c r="DI261" s="258"/>
      <c r="DJ261" s="258"/>
      <c r="DK261" s="258"/>
      <c r="DL261" s="258"/>
      <c r="DM261" s="281"/>
      <c r="DN261" s="258"/>
    </row>
    <row r="262" spans="1:118" ht="15" hidden="1" outlineLevel="1" x14ac:dyDescent="0.25">
      <c r="A262" s="346" t="s">
        <v>301</v>
      </c>
      <c r="B262" s="201"/>
      <c r="C262" s="202"/>
      <c r="D262" s="202"/>
      <c r="E262" s="202"/>
      <c r="F262" s="202"/>
      <c r="G262" s="203" t="str">
        <f>G250</f>
        <v>FY2000</v>
      </c>
      <c r="H262" s="202">
        <f t="shared" ref="H262:BS262" si="440">H250</f>
        <v>36981</v>
      </c>
      <c r="I262" s="202">
        <f t="shared" si="440"/>
        <v>37051</v>
      </c>
      <c r="J262" s="202">
        <f t="shared" si="440"/>
        <v>37143</v>
      </c>
      <c r="K262" s="202">
        <f t="shared" si="440"/>
        <v>37234</v>
      </c>
      <c r="L262" s="203" t="str">
        <f t="shared" si="440"/>
        <v>FY2001</v>
      </c>
      <c r="M262" s="202">
        <f t="shared" si="440"/>
        <v>37346</v>
      </c>
      <c r="N262" s="202">
        <f t="shared" si="440"/>
        <v>37416</v>
      </c>
      <c r="O262" s="202">
        <f t="shared" si="440"/>
        <v>37508</v>
      </c>
      <c r="P262" s="202">
        <f t="shared" si="440"/>
        <v>37599</v>
      </c>
      <c r="Q262" s="203" t="str">
        <f t="shared" si="440"/>
        <v>FY2002</v>
      </c>
      <c r="R262" s="202">
        <f t="shared" si="440"/>
        <v>37711</v>
      </c>
      <c r="S262" s="202">
        <f t="shared" si="440"/>
        <v>37781</v>
      </c>
      <c r="T262" s="202">
        <f t="shared" si="440"/>
        <v>37873</v>
      </c>
      <c r="U262" s="202">
        <f t="shared" si="440"/>
        <v>37964</v>
      </c>
      <c r="V262" s="203" t="str">
        <f t="shared" si="440"/>
        <v>FY2003</v>
      </c>
      <c r="W262" s="202">
        <f t="shared" si="440"/>
        <v>38077</v>
      </c>
      <c r="X262" s="202">
        <f t="shared" si="440"/>
        <v>38147</v>
      </c>
      <c r="Y262" s="202">
        <f t="shared" si="440"/>
        <v>38239</v>
      </c>
      <c r="Z262" s="202">
        <f t="shared" si="440"/>
        <v>38330</v>
      </c>
      <c r="AA262" s="203" t="str">
        <f t="shared" si="440"/>
        <v>FY2004</v>
      </c>
      <c r="AB262" s="202">
        <f t="shared" si="440"/>
        <v>38442</v>
      </c>
      <c r="AC262" s="202">
        <f t="shared" si="440"/>
        <v>38512</v>
      </c>
      <c r="AD262" s="202">
        <f t="shared" si="440"/>
        <v>38604</v>
      </c>
      <c r="AE262" s="202">
        <f t="shared" si="440"/>
        <v>38695</v>
      </c>
      <c r="AF262" s="203" t="str">
        <f t="shared" si="440"/>
        <v>FY2005</v>
      </c>
      <c r="AG262" s="202">
        <f t="shared" si="440"/>
        <v>38807</v>
      </c>
      <c r="AH262" s="202">
        <f t="shared" si="440"/>
        <v>38877</v>
      </c>
      <c r="AI262" s="202">
        <f t="shared" si="440"/>
        <v>38969</v>
      </c>
      <c r="AJ262" s="202">
        <f t="shared" si="440"/>
        <v>39060</v>
      </c>
      <c r="AK262" s="203" t="str">
        <f t="shared" si="440"/>
        <v>FY2006</v>
      </c>
      <c r="AL262" s="202">
        <f t="shared" si="440"/>
        <v>39172</v>
      </c>
      <c r="AM262" s="202">
        <f t="shared" si="440"/>
        <v>39242</v>
      </c>
      <c r="AN262" s="202">
        <f t="shared" si="440"/>
        <v>39334</v>
      </c>
      <c r="AO262" s="202">
        <f t="shared" si="440"/>
        <v>39425</v>
      </c>
      <c r="AP262" s="203" t="str">
        <f t="shared" si="440"/>
        <v>FY2007</v>
      </c>
      <c r="AQ262" s="202">
        <f t="shared" si="440"/>
        <v>39538</v>
      </c>
      <c r="AR262" s="202">
        <f t="shared" si="440"/>
        <v>39608</v>
      </c>
      <c r="AS262" s="202">
        <f t="shared" si="440"/>
        <v>39700</v>
      </c>
      <c r="AT262" s="202">
        <f t="shared" si="440"/>
        <v>39791</v>
      </c>
      <c r="AU262" s="203" t="str">
        <f t="shared" si="440"/>
        <v>FY2008</v>
      </c>
      <c r="AV262" s="202">
        <f t="shared" si="440"/>
        <v>39903</v>
      </c>
      <c r="AW262" s="202">
        <f t="shared" si="440"/>
        <v>39973</v>
      </c>
      <c r="AX262" s="202">
        <f t="shared" si="440"/>
        <v>40065</v>
      </c>
      <c r="AY262" s="202">
        <f t="shared" si="440"/>
        <v>40156</v>
      </c>
      <c r="AZ262" s="203" t="str">
        <f t="shared" si="440"/>
        <v>FY2009</v>
      </c>
      <c r="BA262" s="202">
        <f t="shared" si="440"/>
        <v>40247</v>
      </c>
      <c r="BB262" s="202">
        <f t="shared" si="440"/>
        <v>40339</v>
      </c>
      <c r="BC262" s="202">
        <f t="shared" si="440"/>
        <v>40431</v>
      </c>
      <c r="BD262" s="202">
        <f t="shared" si="440"/>
        <v>40522</v>
      </c>
      <c r="BE262" s="203" t="str">
        <f t="shared" si="440"/>
        <v>FY2010</v>
      </c>
      <c r="BF262" s="202">
        <f t="shared" si="440"/>
        <v>40613</v>
      </c>
      <c r="BG262" s="202">
        <f t="shared" si="440"/>
        <v>40705</v>
      </c>
      <c r="BH262" s="202">
        <f t="shared" si="440"/>
        <v>40797</v>
      </c>
      <c r="BI262" s="202">
        <f t="shared" si="440"/>
        <v>40888</v>
      </c>
      <c r="BJ262" s="203" t="str">
        <f t="shared" si="440"/>
        <v>FY2011</v>
      </c>
      <c r="BK262" s="202">
        <f t="shared" si="440"/>
        <v>40980</v>
      </c>
      <c r="BL262" s="202">
        <f t="shared" si="440"/>
        <v>41072</v>
      </c>
      <c r="BM262" s="202">
        <f t="shared" si="440"/>
        <v>41164</v>
      </c>
      <c r="BN262" s="202">
        <f t="shared" si="440"/>
        <v>41274</v>
      </c>
      <c r="BO262" s="203" t="str">
        <f t="shared" si="440"/>
        <v>FY2012</v>
      </c>
      <c r="BP262" s="202">
        <f t="shared" si="440"/>
        <v>41346</v>
      </c>
      <c r="BQ262" s="202">
        <f t="shared" si="440"/>
        <v>41438</v>
      </c>
      <c r="BR262" s="202">
        <f t="shared" si="440"/>
        <v>41530</v>
      </c>
      <c r="BS262" s="202">
        <f t="shared" si="440"/>
        <v>41621</v>
      </c>
      <c r="BT262" s="203" t="str">
        <f>BT250</f>
        <v>FY2013</v>
      </c>
      <c r="BU262" s="258"/>
      <c r="BV262" s="258"/>
      <c r="BW262" s="258"/>
      <c r="BX262" s="258"/>
      <c r="BY262" s="281"/>
      <c r="BZ262" s="258"/>
      <c r="CA262" s="258"/>
      <c r="CB262" s="258"/>
      <c r="CC262" s="258"/>
      <c r="CD262" s="281"/>
      <c r="CE262" s="258"/>
      <c r="CF262" s="258"/>
      <c r="CG262" s="258"/>
      <c r="CH262" s="258"/>
      <c r="CI262" s="281"/>
      <c r="CJ262" s="258"/>
      <c r="CK262" s="258"/>
      <c r="CL262" s="258"/>
      <c r="CM262" s="258"/>
      <c r="CN262" s="281"/>
      <c r="CO262" s="258"/>
      <c r="CP262" s="258"/>
      <c r="CQ262" s="258"/>
      <c r="CR262" s="258"/>
      <c r="CS262" s="281"/>
      <c r="CT262" s="258"/>
      <c r="CU262" s="258"/>
      <c r="CV262" s="258"/>
      <c r="CW262" s="258"/>
      <c r="CX262" s="281"/>
      <c r="CY262" s="258"/>
      <c r="CZ262" s="258"/>
      <c r="DA262" s="258"/>
      <c r="DB262" s="258"/>
      <c r="DC262" s="281"/>
      <c r="DD262" s="258"/>
      <c r="DE262" s="258"/>
      <c r="DF262" s="258"/>
      <c r="DG262" s="258"/>
      <c r="DH262" s="281"/>
      <c r="DI262" s="258"/>
      <c r="DJ262" s="258"/>
      <c r="DK262" s="258"/>
      <c r="DL262" s="258"/>
      <c r="DM262" s="281"/>
      <c r="DN262" s="258"/>
    </row>
    <row r="263" spans="1:118" ht="15" hidden="1" outlineLevel="1" x14ac:dyDescent="0.25">
      <c r="A263" s="381"/>
      <c r="B263" s="220" t="s">
        <v>251</v>
      </c>
      <c r="C263" s="258"/>
      <c r="D263" s="258"/>
      <c r="E263" s="258"/>
      <c r="F263" s="258"/>
      <c r="G263" s="281"/>
      <c r="H263" s="258"/>
      <c r="I263" s="258"/>
      <c r="J263" s="258"/>
      <c r="K263" s="258"/>
      <c r="L263" s="281"/>
      <c r="M263" s="258"/>
      <c r="N263" s="258"/>
      <c r="O263" s="258"/>
      <c r="P263" s="258"/>
      <c r="Q263" s="281"/>
      <c r="R263" s="258"/>
      <c r="S263" s="258"/>
      <c r="T263" s="258"/>
      <c r="U263" s="258"/>
      <c r="V263" s="281"/>
      <c r="W263" s="258"/>
      <c r="X263" s="258"/>
      <c r="Y263" s="258"/>
      <c r="Z263" s="258"/>
      <c r="AA263" s="281"/>
      <c r="AB263" s="258"/>
      <c r="AC263" s="258"/>
      <c r="AD263" s="258"/>
      <c r="AE263" s="258"/>
      <c r="AF263" s="281"/>
      <c r="AG263" s="258"/>
      <c r="AH263" s="258"/>
      <c r="AI263" s="258"/>
      <c r="AJ263" s="258"/>
      <c r="AK263" s="281"/>
      <c r="AL263" s="384">
        <v>43</v>
      </c>
      <c r="AM263" s="384">
        <v>281</v>
      </c>
      <c r="AN263" s="384">
        <v>213</v>
      </c>
      <c r="AO263" s="384">
        <v>142</v>
      </c>
      <c r="AP263" s="385">
        <v>679</v>
      </c>
      <c r="AQ263" s="384">
        <v>38</v>
      </c>
      <c r="AR263" s="384">
        <v>276</v>
      </c>
      <c r="AS263" s="384">
        <v>226</v>
      </c>
      <c r="AT263" s="384">
        <v>107</v>
      </c>
      <c r="AU263" s="385">
        <v>647</v>
      </c>
      <c r="AV263" s="384">
        <f>425-AW263</f>
        <v>97</v>
      </c>
      <c r="AW263" s="384">
        <v>328</v>
      </c>
      <c r="AX263" s="384">
        <v>254</v>
      </c>
      <c r="AY263" s="384">
        <v>109</v>
      </c>
      <c r="AZ263" s="385">
        <f>SUM(AV263:AY263)</f>
        <v>788</v>
      </c>
      <c r="BA263" s="384">
        <f>543-BB263</f>
        <v>138</v>
      </c>
      <c r="BB263" s="384">
        <v>405</v>
      </c>
      <c r="BC263" s="386">
        <v>265.10000000000002</v>
      </c>
      <c r="BD263" s="387">
        <v>118.4</v>
      </c>
      <c r="BE263" s="385">
        <f>SUM(BA263:BD263)</f>
        <v>926.5</v>
      </c>
      <c r="BF263" s="387">
        <v>148</v>
      </c>
      <c r="BG263" s="387">
        <v>422</v>
      </c>
      <c r="BH263" s="387">
        <v>289</v>
      </c>
      <c r="BI263" s="387">
        <v>126</v>
      </c>
      <c r="BJ263" s="388">
        <f>SUM(BF263:BI263)</f>
        <v>985</v>
      </c>
      <c r="BK263" s="389">
        <f>BF263*(1+BK264)</f>
        <v>156.13999999999999</v>
      </c>
      <c r="BL263" s="389">
        <f>BG263*(1+BL264)</f>
        <v>445.21</v>
      </c>
      <c r="BM263" s="389">
        <f>BH263*(1+BM264)</f>
        <v>304.89499999999998</v>
      </c>
      <c r="BN263" s="389">
        <f>BI263*(1+BN264)</f>
        <v>132.92999999999998</v>
      </c>
      <c r="BO263" s="388">
        <f>SUM(BK263:BN263)</f>
        <v>1039.175</v>
      </c>
      <c r="BP263" s="389">
        <f>BK263*(1+BP264)</f>
        <v>164.72769999999997</v>
      </c>
      <c r="BQ263" s="389">
        <f>BL263*(1+BQ264)</f>
        <v>469.69654999999995</v>
      </c>
      <c r="BR263" s="389">
        <f>BM263*(1+BR264)</f>
        <v>321.66422499999999</v>
      </c>
      <c r="BS263" s="389">
        <f>BN263*(1+BS264)</f>
        <v>140.24114999999998</v>
      </c>
      <c r="BT263" s="388">
        <f>SUM(BP263:BS263)</f>
        <v>1096.3296249999999</v>
      </c>
      <c r="BU263" s="258"/>
      <c r="BV263" s="258"/>
      <c r="BW263" s="258"/>
      <c r="BX263" s="258"/>
      <c r="BY263" s="281"/>
      <c r="BZ263" s="258"/>
      <c r="CA263" s="258"/>
      <c r="CB263" s="258"/>
      <c r="CC263" s="258"/>
      <c r="CD263" s="281"/>
      <c r="CE263" s="258"/>
      <c r="CF263" s="258"/>
      <c r="CG263" s="258"/>
      <c r="CH263" s="258"/>
      <c r="CI263" s="281"/>
      <c r="CJ263" s="258"/>
      <c r="CK263" s="258"/>
      <c r="CL263" s="258"/>
      <c r="CM263" s="258"/>
      <c r="CN263" s="281"/>
      <c r="CO263" s="258"/>
      <c r="CP263" s="258"/>
      <c r="CQ263" s="258"/>
      <c r="CR263" s="258"/>
      <c r="CS263" s="281"/>
      <c r="CT263" s="258"/>
      <c r="CU263" s="258"/>
      <c r="CV263" s="258"/>
      <c r="CW263" s="258"/>
      <c r="CX263" s="281"/>
      <c r="CY263" s="258"/>
      <c r="CZ263" s="258"/>
      <c r="DA263" s="258"/>
      <c r="DB263" s="258"/>
      <c r="DC263" s="281"/>
      <c r="DD263" s="258"/>
      <c r="DE263" s="258"/>
      <c r="DF263" s="258"/>
      <c r="DG263" s="258"/>
      <c r="DH263" s="281"/>
      <c r="DI263" s="258"/>
      <c r="DJ263" s="258"/>
      <c r="DK263" s="258"/>
      <c r="DL263" s="258"/>
      <c r="DM263" s="281"/>
      <c r="DN263" s="258"/>
    </row>
    <row r="264" spans="1:118" ht="15" hidden="1" outlineLevel="1" x14ac:dyDescent="0.25">
      <c r="A264" s="381"/>
      <c r="B264" s="220" t="s">
        <v>197</v>
      </c>
      <c r="C264" s="258"/>
      <c r="D264" s="258"/>
      <c r="E264" s="258"/>
      <c r="F264" s="258"/>
      <c r="G264" s="281"/>
      <c r="H264" s="258"/>
      <c r="I264" s="258"/>
      <c r="J264" s="258"/>
      <c r="K264" s="258"/>
      <c r="L264" s="281"/>
      <c r="M264" s="258"/>
      <c r="N264" s="258"/>
      <c r="O264" s="258"/>
      <c r="P264" s="258"/>
      <c r="Q264" s="281"/>
      <c r="R264" s="258"/>
      <c r="S264" s="258"/>
      <c r="T264" s="258"/>
      <c r="U264" s="258"/>
      <c r="V264" s="281"/>
      <c r="W264" s="258"/>
      <c r="X264" s="258"/>
      <c r="Y264" s="258"/>
      <c r="Z264" s="258"/>
      <c r="AA264" s="281"/>
      <c r="AB264" s="258"/>
      <c r="AC264" s="258"/>
      <c r="AD264" s="258"/>
      <c r="AE264" s="258"/>
      <c r="AF264" s="281"/>
      <c r="AG264" s="258"/>
      <c r="AH264" s="258"/>
      <c r="AI264" s="258"/>
      <c r="AJ264" s="258"/>
      <c r="AK264" s="281"/>
      <c r="AL264" s="390"/>
      <c r="AM264" s="390"/>
      <c r="AN264" s="390"/>
      <c r="AO264" s="390"/>
      <c r="AP264" s="391"/>
      <c r="AQ264" s="390">
        <f t="shared" ref="AQ264:BJ264" si="441">AQ263/AL263-1</f>
        <v>-0.11627906976744184</v>
      </c>
      <c r="AR264" s="390">
        <f t="shared" si="441"/>
        <v>-1.7793594306049876E-2</v>
      </c>
      <c r="AS264" s="390">
        <f t="shared" si="441"/>
        <v>6.1032863849765251E-2</v>
      </c>
      <c r="AT264" s="390">
        <f t="shared" si="441"/>
        <v>-0.24647887323943662</v>
      </c>
      <c r="AU264" s="391">
        <f t="shared" si="441"/>
        <v>-4.7128129602356461E-2</v>
      </c>
      <c r="AV264" s="390">
        <f t="shared" si="441"/>
        <v>1.5526315789473686</v>
      </c>
      <c r="AW264" s="390">
        <f t="shared" si="441"/>
        <v>0.18840579710144922</v>
      </c>
      <c r="AX264" s="390">
        <f t="shared" si="441"/>
        <v>0.12389380530973448</v>
      </c>
      <c r="AY264" s="390">
        <f t="shared" si="441"/>
        <v>1.8691588785046731E-2</v>
      </c>
      <c r="AZ264" s="391">
        <f t="shared" si="441"/>
        <v>0.21792890262751152</v>
      </c>
      <c r="BA264" s="390">
        <f t="shared" si="441"/>
        <v>0.42268041237113407</v>
      </c>
      <c r="BB264" s="390">
        <f t="shared" si="441"/>
        <v>0.23475609756097571</v>
      </c>
      <c r="BC264" s="390">
        <f t="shared" si="441"/>
        <v>4.3700787401574903E-2</v>
      </c>
      <c r="BD264" s="281">
        <f t="shared" si="441"/>
        <v>8.6238532110091803E-2</v>
      </c>
      <c r="BE264" s="391">
        <f t="shared" si="441"/>
        <v>0.17576142131979688</v>
      </c>
      <c r="BF264" s="281">
        <f t="shared" si="441"/>
        <v>7.2463768115942129E-2</v>
      </c>
      <c r="BG264" s="281">
        <f t="shared" si="441"/>
        <v>4.1975308641975406E-2</v>
      </c>
      <c r="BH264" s="281">
        <f t="shared" si="441"/>
        <v>9.0154658619388872E-2</v>
      </c>
      <c r="BI264" s="281">
        <f t="shared" si="441"/>
        <v>6.4189189189189033E-2</v>
      </c>
      <c r="BJ264" s="209">
        <f t="shared" si="441"/>
        <v>6.3140852671343728E-2</v>
      </c>
      <c r="BK264" s="392">
        <v>5.5E-2</v>
      </c>
      <c r="BL264" s="392">
        <v>5.5E-2</v>
      </c>
      <c r="BM264" s="392">
        <v>5.5E-2</v>
      </c>
      <c r="BN264" s="392">
        <v>5.5E-2</v>
      </c>
      <c r="BO264" s="209">
        <f>BO263/BJ263-1</f>
        <v>5.4999999999999938E-2</v>
      </c>
      <c r="BP264" s="392">
        <v>5.5E-2</v>
      </c>
      <c r="BQ264" s="392">
        <v>5.5E-2</v>
      </c>
      <c r="BR264" s="392">
        <v>5.5E-2</v>
      </c>
      <c r="BS264" s="392">
        <v>5.5E-2</v>
      </c>
      <c r="BT264" s="209">
        <f>BT263/BO263-1</f>
        <v>5.4999999999999938E-2</v>
      </c>
      <c r="BU264" s="258"/>
      <c r="BV264" s="258"/>
      <c r="BW264" s="258"/>
      <c r="BX264" s="258"/>
      <c r="BY264" s="281"/>
      <c r="BZ264" s="258"/>
      <c r="CA264" s="258"/>
      <c r="CB264" s="258"/>
      <c r="CC264" s="258"/>
      <c r="CD264" s="281"/>
      <c r="CE264" s="258"/>
      <c r="CF264" s="258"/>
      <c r="CG264" s="258"/>
      <c r="CH264" s="258"/>
      <c r="CI264" s="281"/>
      <c r="CJ264" s="258"/>
      <c r="CK264" s="258"/>
      <c r="CL264" s="258"/>
      <c r="CM264" s="258"/>
      <c r="CN264" s="281"/>
      <c r="CO264" s="258"/>
      <c r="CP264" s="258"/>
      <c r="CQ264" s="258"/>
      <c r="CR264" s="258"/>
      <c r="CS264" s="281"/>
      <c r="CT264" s="258"/>
      <c r="CU264" s="258"/>
      <c r="CV264" s="258"/>
      <c r="CW264" s="258"/>
      <c r="CX264" s="281"/>
      <c r="CY264" s="258"/>
      <c r="CZ264" s="258"/>
      <c r="DA264" s="258"/>
      <c r="DB264" s="258"/>
      <c r="DC264" s="281"/>
      <c r="DD264" s="258"/>
      <c r="DE264" s="258"/>
      <c r="DF264" s="258"/>
      <c r="DG264" s="258"/>
      <c r="DH264" s="281"/>
      <c r="DI264" s="258"/>
      <c r="DJ264" s="258"/>
      <c r="DK264" s="258"/>
      <c r="DL264" s="258"/>
      <c r="DM264" s="281"/>
      <c r="DN264" s="258"/>
    </row>
    <row r="265" spans="1:118" ht="15" hidden="1" outlineLevel="1" x14ac:dyDescent="0.25">
      <c r="A265" s="393"/>
      <c r="B265" s="296" t="s">
        <v>250</v>
      </c>
      <c r="C265" s="291"/>
      <c r="D265" s="291"/>
      <c r="E265" s="291"/>
      <c r="F265" s="291"/>
      <c r="G265" s="394"/>
      <c r="H265" s="291"/>
      <c r="I265" s="291"/>
      <c r="J265" s="291"/>
      <c r="K265" s="291"/>
      <c r="L265" s="394"/>
      <c r="M265" s="291"/>
      <c r="N265" s="291"/>
      <c r="O265" s="291"/>
      <c r="P265" s="291"/>
      <c r="Q265" s="394"/>
      <c r="R265" s="291"/>
      <c r="S265" s="291"/>
      <c r="T265" s="291"/>
      <c r="U265" s="291"/>
      <c r="V265" s="394"/>
      <c r="W265" s="291"/>
      <c r="X265" s="291"/>
      <c r="Y265" s="291"/>
      <c r="Z265" s="291"/>
      <c r="AA265" s="394"/>
      <c r="AB265" s="291"/>
      <c r="AC265" s="291"/>
      <c r="AD265" s="291"/>
      <c r="AE265" s="291"/>
      <c r="AF265" s="394"/>
      <c r="AG265" s="291"/>
      <c r="AH265" s="291"/>
      <c r="AI265" s="291"/>
      <c r="AJ265" s="291"/>
      <c r="AK265" s="394"/>
      <c r="AL265" s="395"/>
      <c r="AM265" s="395"/>
      <c r="AN265" s="395"/>
      <c r="AO265" s="395"/>
      <c r="AP265" s="355"/>
      <c r="AQ265" s="395"/>
      <c r="AR265" s="395"/>
      <c r="AS265" s="395"/>
      <c r="AT265" s="395"/>
      <c r="AU265" s="355"/>
      <c r="AV265" s="395"/>
      <c r="AW265" s="395"/>
      <c r="AX265" s="395"/>
      <c r="AY265" s="395"/>
      <c r="AZ265" s="355"/>
      <c r="BA265" s="395"/>
      <c r="BB265" s="395"/>
      <c r="BC265" s="395"/>
      <c r="BD265" s="395">
        <v>0.34</v>
      </c>
      <c r="BE265" s="355"/>
      <c r="BF265" s="395">
        <v>0.34</v>
      </c>
      <c r="BG265" s="395">
        <v>0.34</v>
      </c>
      <c r="BH265" s="395">
        <v>0.34</v>
      </c>
      <c r="BI265" s="395">
        <v>0.34</v>
      </c>
      <c r="BJ265" s="355">
        <f>-BJ266/BJ263</f>
        <v>0.33999999999999997</v>
      </c>
      <c r="BK265" s="396">
        <v>0.34</v>
      </c>
      <c r="BL265" s="396">
        <v>0.34</v>
      </c>
      <c r="BM265" s="396">
        <v>0.34</v>
      </c>
      <c r="BN265" s="396">
        <v>0.34</v>
      </c>
      <c r="BO265" s="355">
        <f>-BO266/BO263</f>
        <v>0.33999999999999997</v>
      </c>
      <c r="BP265" s="396">
        <v>0.34</v>
      </c>
      <c r="BQ265" s="396">
        <v>0.34</v>
      </c>
      <c r="BR265" s="396">
        <v>0.34</v>
      </c>
      <c r="BS265" s="396">
        <v>0.34</v>
      </c>
      <c r="BT265" s="355">
        <f>-BT266/BT263</f>
        <v>0.34</v>
      </c>
      <c r="BU265" s="258"/>
      <c r="BV265" s="258"/>
      <c r="BW265" s="258"/>
      <c r="BX265" s="258"/>
      <c r="BY265" s="281"/>
      <c r="BZ265" s="258"/>
      <c r="CA265" s="258"/>
      <c r="CB265" s="258"/>
      <c r="CC265" s="258"/>
      <c r="CD265" s="281"/>
      <c r="CE265" s="258"/>
      <c r="CF265" s="258"/>
      <c r="CG265" s="258"/>
      <c r="CH265" s="258"/>
      <c r="CI265" s="281"/>
      <c r="CJ265" s="258"/>
      <c r="CK265" s="258"/>
      <c r="CL265" s="258"/>
      <c r="CM265" s="258"/>
      <c r="CN265" s="281"/>
      <c r="CO265" s="258"/>
      <c r="CP265" s="258"/>
      <c r="CQ265" s="258"/>
      <c r="CR265" s="258"/>
      <c r="CS265" s="281"/>
      <c r="CT265" s="258"/>
      <c r="CU265" s="258"/>
      <c r="CV265" s="258"/>
      <c r="CW265" s="258"/>
      <c r="CX265" s="281"/>
      <c r="CY265" s="258"/>
      <c r="CZ265" s="258"/>
      <c r="DA265" s="258"/>
      <c r="DB265" s="258"/>
      <c r="DC265" s="281"/>
      <c r="DD265" s="258"/>
      <c r="DE265" s="258"/>
      <c r="DF265" s="258"/>
      <c r="DG265" s="258"/>
      <c r="DH265" s="281"/>
      <c r="DI265" s="258"/>
      <c r="DJ265" s="258"/>
      <c r="DK265" s="258"/>
      <c r="DL265" s="258"/>
      <c r="DM265" s="281"/>
      <c r="DN265" s="258"/>
    </row>
    <row r="266" spans="1:118" ht="15" hidden="1" outlineLevel="1" x14ac:dyDescent="0.25">
      <c r="A266" s="397"/>
      <c r="B266" s="398" t="s">
        <v>302</v>
      </c>
      <c r="C266" s="398"/>
      <c r="D266" s="398"/>
      <c r="E266" s="398"/>
      <c r="F266" s="398"/>
      <c r="G266" s="398"/>
      <c r="H266" s="398"/>
      <c r="I266" s="398"/>
      <c r="J266" s="398"/>
      <c r="K266" s="398"/>
      <c r="L266" s="398"/>
      <c r="M266" s="398"/>
      <c r="N266" s="398"/>
      <c r="O266" s="398"/>
      <c r="P266" s="398"/>
      <c r="Q266" s="398"/>
      <c r="R266" s="398"/>
      <c r="S266" s="398"/>
      <c r="T266" s="398"/>
      <c r="U266" s="398"/>
      <c r="V266" s="398"/>
      <c r="W266" s="398"/>
      <c r="X266" s="398"/>
      <c r="Y266" s="398"/>
      <c r="Z266" s="398"/>
      <c r="AA266" s="398"/>
      <c r="AB266" s="398"/>
      <c r="AC266" s="398"/>
      <c r="AD266" s="398"/>
      <c r="AE266" s="398"/>
      <c r="AF266" s="398"/>
      <c r="AG266" s="398"/>
      <c r="AH266" s="398"/>
      <c r="AI266" s="398"/>
      <c r="AJ266" s="398"/>
      <c r="AK266" s="398"/>
      <c r="AL266" s="398"/>
      <c r="AM266" s="398"/>
      <c r="AN266" s="398"/>
      <c r="AO266" s="398"/>
      <c r="AP266" s="398"/>
      <c r="AQ266" s="398"/>
      <c r="AR266" s="398"/>
      <c r="AS266" s="398"/>
      <c r="AT266" s="398"/>
      <c r="AU266" s="398"/>
      <c r="AV266" s="398"/>
      <c r="AW266" s="398"/>
      <c r="AX266" s="398"/>
      <c r="AY266" s="398"/>
      <c r="AZ266" s="398"/>
      <c r="BA266" s="398"/>
      <c r="BB266" s="398"/>
      <c r="BC266" s="398"/>
      <c r="BD266" s="399">
        <f>-BD263*BD265</f>
        <v>-40.256000000000007</v>
      </c>
      <c r="BE266" s="400"/>
      <c r="BF266" s="399">
        <f>-BF263*BF265</f>
        <v>-50.32</v>
      </c>
      <c r="BG266" s="399">
        <f>-BG263*BG265</f>
        <v>-143.48000000000002</v>
      </c>
      <c r="BH266" s="399">
        <f>-BH263*BH265</f>
        <v>-98.26</v>
      </c>
      <c r="BI266" s="399">
        <f>-BI263*BI265</f>
        <v>-42.84</v>
      </c>
      <c r="BJ266" s="401">
        <f>SUM(BF266:BI266)</f>
        <v>-334.9</v>
      </c>
      <c r="BK266" s="402">
        <f>-BK263*BK265</f>
        <v>-53.087600000000002</v>
      </c>
      <c r="BL266" s="402">
        <f>-BL263*BL265</f>
        <v>-151.37139999999999</v>
      </c>
      <c r="BM266" s="402">
        <f>-BM263*BM265</f>
        <v>-103.6643</v>
      </c>
      <c r="BN266" s="402">
        <f>-BN263*BN265</f>
        <v>-45.196199999999997</v>
      </c>
      <c r="BO266" s="401">
        <f>SUM(BK266:BN266)</f>
        <v>-353.31949999999995</v>
      </c>
      <c r="BP266" s="402">
        <f>-BP263*BP265</f>
        <v>-56.007417999999994</v>
      </c>
      <c r="BQ266" s="402">
        <f>-BQ263*BQ265</f>
        <v>-159.69682699999998</v>
      </c>
      <c r="BR266" s="402">
        <f>-BR263*BR265</f>
        <v>-109.3658365</v>
      </c>
      <c r="BS266" s="402">
        <f>-BS263*BS265</f>
        <v>-47.681990999999996</v>
      </c>
      <c r="BT266" s="401">
        <f>SUM(BP266:BS266)</f>
        <v>-372.7520725</v>
      </c>
      <c r="BU266" s="207"/>
      <c r="BV266" s="207"/>
      <c r="BW266" s="207"/>
      <c r="BX266" s="207"/>
      <c r="BY266" s="207"/>
      <c r="BZ266" s="207"/>
      <c r="CA266" s="207"/>
      <c r="CB266" s="207"/>
      <c r="CC266" s="207"/>
      <c r="CD266" s="207"/>
      <c r="CE266" s="207"/>
      <c r="CF266" s="207"/>
      <c r="CG266" s="207"/>
      <c r="CH266" s="207"/>
      <c r="CI266" s="207"/>
      <c r="CJ266" s="207"/>
      <c r="CK266" s="207"/>
      <c r="CL266" s="207"/>
      <c r="CM266" s="207"/>
      <c r="CN266" s="207"/>
      <c r="CO266" s="207"/>
      <c r="CP266" s="207"/>
      <c r="CQ266" s="207"/>
      <c r="CR266" s="207"/>
      <c r="CS266" s="207"/>
      <c r="CT266" s="207"/>
      <c r="CU266" s="207"/>
      <c r="CV266" s="207"/>
      <c r="CW266" s="207"/>
      <c r="CX266" s="207"/>
      <c r="CY266" s="207"/>
      <c r="CZ266" s="207"/>
      <c r="DA266" s="207"/>
      <c r="DB266" s="207"/>
      <c r="DC266" s="207"/>
      <c r="DD266" s="207"/>
      <c r="DE266" s="207"/>
      <c r="DF266" s="207"/>
      <c r="DG266" s="207"/>
      <c r="DH266" s="207"/>
      <c r="DI266" s="207"/>
      <c r="DJ266" s="207"/>
      <c r="DK266" s="207"/>
      <c r="DL266" s="207"/>
      <c r="DM266" s="207"/>
      <c r="DN266" s="207"/>
    </row>
    <row r="267" spans="1:118" ht="15" collapsed="1" x14ac:dyDescent="0.25">
      <c r="A267" s="207"/>
      <c r="B267" s="207"/>
      <c r="C267" s="207"/>
      <c r="D267" s="207"/>
      <c r="E267" s="207"/>
      <c r="F267" s="207"/>
      <c r="G267" s="207"/>
      <c r="H267" s="207"/>
      <c r="I267" s="207"/>
      <c r="J267" s="207"/>
      <c r="K267" s="207"/>
      <c r="L267" s="207"/>
      <c r="M267" s="207"/>
      <c r="N267" s="207"/>
      <c r="O267" s="207"/>
      <c r="P267" s="207"/>
      <c r="Q267" s="207"/>
      <c r="R267" s="207"/>
      <c r="S267" s="207"/>
      <c r="T267" s="207"/>
      <c r="U267" s="207"/>
      <c r="V267" s="207"/>
      <c r="W267" s="207"/>
      <c r="X267" s="207"/>
      <c r="Y267" s="207"/>
      <c r="Z267" s="207"/>
      <c r="AA267" s="207"/>
      <c r="AB267" s="207"/>
      <c r="AC267" s="207"/>
      <c r="AD267" s="207"/>
      <c r="AE267" s="207"/>
      <c r="AF267" s="207"/>
      <c r="AG267" s="207"/>
      <c r="AH267" s="207"/>
      <c r="AI267" s="207"/>
      <c r="AJ267" s="207"/>
      <c r="AK267" s="207"/>
      <c r="AL267" s="207"/>
      <c r="AM267" s="207"/>
      <c r="AN267" s="207"/>
      <c r="AO267" s="207"/>
      <c r="AP267" s="207"/>
      <c r="AQ267" s="207"/>
      <c r="AR267" s="207"/>
      <c r="AS267" s="207"/>
      <c r="AT267" s="207"/>
      <c r="AU267" s="207"/>
      <c r="AV267" s="207"/>
      <c r="AW267" s="207"/>
      <c r="AX267" s="207"/>
      <c r="AY267" s="207"/>
      <c r="AZ267" s="207"/>
      <c r="BA267" s="207"/>
      <c r="BB267" s="207"/>
      <c r="BC267" s="207"/>
      <c r="BD267" s="403"/>
      <c r="BE267" s="404"/>
      <c r="BF267" s="403"/>
      <c r="BG267" s="403"/>
      <c r="BH267" s="403"/>
      <c r="BI267" s="403"/>
      <c r="BJ267" s="403"/>
      <c r="BK267" s="403"/>
      <c r="BL267" s="403"/>
      <c r="BM267" s="403"/>
      <c r="BN267" s="403"/>
      <c r="BO267" s="403"/>
      <c r="BP267" s="403"/>
      <c r="BQ267" s="403"/>
      <c r="BR267" s="403"/>
      <c r="BS267" s="403"/>
      <c r="BT267" s="403"/>
      <c r="BU267" s="207"/>
      <c r="BV267" s="207"/>
      <c r="BW267" s="207"/>
      <c r="BX267" s="207"/>
      <c r="BY267" s="207"/>
      <c r="BZ267" s="207"/>
      <c r="CA267" s="207"/>
      <c r="CB267" s="207"/>
      <c r="CC267" s="207"/>
      <c r="CD267" s="207"/>
      <c r="CE267" s="207"/>
      <c r="CF267" s="207"/>
      <c r="CG267" s="207"/>
      <c r="CH267" s="207"/>
      <c r="CI267" s="207"/>
      <c r="CJ267" s="207"/>
      <c r="CK267" s="207"/>
      <c r="CL267" s="207"/>
      <c r="CM267" s="207"/>
      <c r="CN267" s="207"/>
      <c r="CO267" s="207"/>
      <c r="CP267" s="207"/>
      <c r="CQ267" s="207"/>
      <c r="CR267" s="207"/>
      <c r="CS267" s="207"/>
      <c r="CT267" s="207"/>
      <c r="CU267" s="207"/>
      <c r="CV267" s="207"/>
      <c r="CW267" s="207"/>
      <c r="CX267" s="207"/>
      <c r="CY267" s="207"/>
      <c r="CZ267" s="207"/>
      <c r="DA267" s="207"/>
      <c r="DB267" s="207"/>
      <c r="DC267" s="207"/>
      <c r="DD267" s="207"/>
      <c r="DE267" s="207"/>
      <c r="DF267" s="207"/>
      <c r="DG267" s="207"/>
      <c r="DH267" s="207"/>
      <c r="DI267" s="207"/>
      <c r="DJ267" s="207"/>
      <c r="DK267" s="207"/>
      <c r="DL267" s="207"/>
      <c r="DM267" s="207"/>
      <c r="DN267" s="207"/>
    </row>
    <row r="268" spans="1:118" hidden="1" outlineLevel="1" x14ac:dyDescent="0.2">
      <c r="A268" s="229" t="s">
        <v>140</v>
      </c>
      <c r="B268" s="229"/>
      <c r="C268" s="233"/>
      <c r="D268" s="233"/>
      <c r="E268" s="233"/>
      <c r="F268" s="233"/>
      <c r="G268" s="233"/>
      <c r="H268" s="233"/>
      <c r="I268" s="233"/>
      <c r="J268" s="233"/>
      <c r="K268" s="233"/>
      <c r="L268" s="233"/>
      <c r="M268" s="233"/>
      <c r="N268" s="233"/>
      <c r="O268" s="233"/>
      <c r="P268" s="233"/>
      <c r="Q268" s="233"/>
      <c r="R268" s="233"/>
      <c r="S268" s="233"/>
      <c r="T268" s="233"/>
      <c r="U268" s="233"/>
      <c r="V268" s="233"/>
      <c r="W268" s="233"/>
      <c r="X268" s="233"/>
      <c r="Y268" s="233"/>
      <c r="Z268" s="233"/>
      <c r="AA268" s="233"/>
      <c r="AB268" s="233" t="s">
        <v>141</v>
      </c>
      <c r="AC268" s="233" t="s">
        <v>141</v>
      </c>
      <c r="AD268" s="233" t="s">
        <v>141</v>
      </c>
      <c r="AE268" s="233" t="s">
        <v>141</v>
      </c>
      <c r="AF268" s="233" t="s">
        <v>141</v>
      </c>
      <c r="AG268" s="233" t="s">
        <v>141</v>
      </c>
      <c r="AH268" s="233" t="s">
        <v>141</v>
      </c>
      <c r="AI268" s="233" t="s">
        <v>141</v>
      </c>
      <c r="AJ268" s="233" t="s">
        <v>141</v>
      </c>
      <c r="AK268" s="233" t="s">
        <v>141</v>
      </c>
      <c r="AL268" s="233" t="s">
        <v>141</v>
      </c>
      <c r="AM268" s="233" t="s">
        <v>141</v>
      </c>
      <c r="AN268" s="233" t="s">
        <v>141</v>
      </c>
      <c r="AO268" s="233" t="s">
        <v>141</v>
      </c>
      <c r="AP268" s="233" t="s">
        <v>141</v>
      </c>
      <c r="AQ268" s="233" t="s">
        <v>141</v>
      </c>
      <c r="AR268" s="233" t="s">
        <v>141</v>
      </c>
      <c r="AS268" s="233" t="s">
        <v>141</v>
      </c>
      <c r="AT268" s="233" t="s">
        <v>141</v>
      </c>
      <c r="AU268" s="233" t="s">
        <v>141</v>
      </c>
      <c r="AV268" s="233" t="s">
        <v>141</v>
      </c>
      <c r="AW268" s="233" t="s">
        <v>141</v>
      </c>
      <c r="AX268" s="233" t="s">
        <v>141</v>
      </c>
      <c r="AY268" s="233" t="s">
        <v>141</v>
      </c>
      <c r="AZ268" s="233" t="s">
        <v>141</v>
      </c>
      <c r="BA268" s="233" t="s">
        <v>141</v>
      </c>
      <c r="BB268" s="233" t="s">
        <v>141</v>
      </c>
      <c r="BC268" s="233" t="s">
        <v>141</v>
      </c>
      <c r="BD268" s="233" t="s">
        <v>141</v>
      </c>
      <c r="BE268" s="233" t="s">
        <v>141</v>
      </c>
      <c r="BF268" s="233" t="s">
        <v>141</v>
      </c>
      <c r="BG268" s="233" t="s">
        <v>141</v>
      </c>
      <c r="BH268" s="233" t="s">
        <v>141</v>
      </c>
      <c r="BI268" s="233" t="s">
        <v>141</v>
      </c>
      <c r="BJ268" s="233" t="s">
        <v>141</v>
      </c>
      <c r="BK268" s="233" t="s">
        <v>141</v>
      </c>
      <c r="BL268" s="233" t="s">
        <v>141</v>
      </c>
      <c r="BM268" s="233" t="s">
        <v>141</v>
      </c>
      <c r="BN268" s="233" t="s">
        <v>141</v>
      </c>
      <c r="BO268" s="233" t="s">
        <v>141</v>
      </c>
      <c r="BP268" s="233" t="s">
        <v>141</v>
      </c>
      <c r="BQ268" s="233" t="s">
        <v>141</v>
      </c>
      <c r="BR268" s="233" t="s">
        <v>141</v>
      </c>
      <c r="BS268" s="233" t="s">
        <v>141</v>
      </c>
      <c r="BT268" s="233" t="s">
        <v>141</v>
      </c>
      <c r="BU268" s="233" t="s">
        <v>141</v>
      </c>
      <c r="BV268" s="233" t="s">
        <v>141</v>
      </c>
      <c r="BW268" s="233" t="s">
        <v>141</v>
      </c>
      <c r="BX268" s="233" t="s">
        <v>141</v>
      </c>
      <c r="BY268" s="233" t="s">
        <v>141</v>
      </c>
      <c r="BZ268" s="233" t="s">
        <v>141</v>
      </c>
      <c r="CA268" s="233" t="s">
        <v>141</v>
      </c>
      <c r="CB268" s="233" t="s">
        <v>141</v>
      </c>
      <c r="CC268" s="233" t="s">
        <v>141</v>
      </c>
      <c r="CD268" s="233" t="s">
        <v>141</v>
      </c>
      <c r="CE268" s="233" t="s">
        <v>141</v>
      </c>
      <c r="CF268" s="233" t="s">
        <v>141</v>
      </c>
      <c r="CG268" s="233" t="s">
        <v>141</v>
      </c>
      <c r="CH268" s="233" t="s">
        <v>141</v>
      </c>
      <c r="CI268" s="233" t="s">
        <v>141</v>
      </c>
      <c r="CJ268" s="233" t="s">
        <v>141</v>
      </c>
      <c r="CK268" s="233" t="s">
        <v>141</v>
      </c>
      <c r="CL268" s="233" t="s">
        <v>141</v>
      </c>
      <c r="CM268" s="233" t="s">
        <v>141</v>
      </c>
      <c r="CN268" s="233" t="s">
        <v>141</v>
      </c>
      <c r="CO268" s="233" t="s">
        <v>141</v>
      </c>
      <c r="CP268" s="233" t="s">
        <v>141</v>
      </c>
      <c r="CQ268" s="233" t="s">
        <v>141</v>
      </c>
      <c r="CR268" s="233" t="s">
        <v>141</v>
      </c>
      <c r="CS268" s="233" t="s">
        <v>141</v>
      </c>
      <c r="CT268" s="233" t="s">
        <v>141</v>
      </c>
      <c r="CU268" s="233" t="s">
        <v>141</v>
      </c>
      <c r="CV268" s="233" t="s">
        <v>141</v>
      </c>
      <c r="CW268" s="233" t="s">
        <v>141</v>
      </c>
      <c r="CX268" s="233" t="s">
        <v>141</v>
      </c>
      <c r="CY268" s="233" t="s">
        <v>141</v>
      </c>
      <c r="CZ268" s="233" t="s">
        <v>141</v>
      </c>
      <c r="DA268" s="233" t="s">
        <v>141</v>
      </c>
      <c r="DB268" s="233" t="s">
        <v>141</v>
      </c>
      <c r="DC268" s="233" t="s">
        <v>141</v>
      </c>
      <c r="DD268" s="233" t="s">
        <v>141</v>
      </c>
      <c r="DE268" s="233" t="s">
        <v>141</v>
      </c>
      <c r="DF268" s="233" t="s">
        <v>141</v>
      </c>
      <c r="DG268" s="233" t="s">
        <v>141</v>
      </c>
      <c r="DH268" s="233" t="s">
        <v>141</v>
      </c>
      <c r="DI268" s="233" t="s">
        <v>141</v>
      </c>
      <c r="DJ268" s="233" t="s">
        <v>141</v>
      </c>
      <c r="DK268" s="233" t="s">
        <v>141</v>
      </c>
      <c r="DL268" s="233" t="s">
        <v>141</v>
      </c>
      <c r="DM268" s="233" t="s">
        <v>141</v>
      </c>
      <c r="DN268" s="207"/>
    </row>
    <row r="269" spans="1:118" hidden="1" outlineLevel="1" x14ac:dyDescent="0.2">
      <c r="A269" s="229" t="s">
        <v>142</v>
      </c>
      <c r="B269" s="207"/>
      <c r="C269" s="280"/>
      <c r="D269" s="280"/>
      <c r="E269" s="280"/>
      <c r="F269" s="280"/>
      <c r="G269" s="280"/>
      <c r="H269" s="280"/>
      <c r="I269" s="280"/>
      <c r="J269" s="280"/>
      <c r="K269" s="280"/>
      <c r="L269" s="280"/>
      <c r="M269" s="280"/>
      <c r="N269" s="280"/>
      <c r="O269" s="280"/>
      <c r="P269" s="280"/>
      <c r="Q269" s="280"/>
      <c r="R269" s="280"/>
      <c r="S269" s="280"/>
      <c r="T269" s="280"/>
      <c r="U269" s="280"/>
      <c r="V269" s="280"/>
      <c r="W269" s="280"/>
      <c r="X269" s="280"/>
      <c r="Y269" s="280"/>
      <c r="Z269" s="280"/>
      <c r="AA269" s="280"/>
      <c r="AB269" s="280">
        <f t="shared" ref="AB269:BG269" si="442">AB71</f>
        <v>0.24</v>
      </c>
      <c r="AC269" s="280">
        <f t="shared" si="442"/>
        <v>0.24000000000000002</v>
      </c>
      <c r="AD269" s="280">
        <f t="shared" si="442"/>
        <v>0.23446039035591273</v>
      </c>
      <c r="AE269" s="280">
        <f t="shared" si="442"/>
        <v>0.23500000000000001</v>
      </c>
      <c r="AF269" s="280">
        <f t="shared" si="442"/>
        <v>0.2375342566671578</v>
      </c>
      <c r="AG269" s="280">
        <f t="shared" si="442"/>
        <v>0.23858731196860694</v>
      </c>
      <c r="AH269" s="280">
        <f t="shared" si="442"/>
        <v>0.23968393327480245</v>
      </c>
      <c r="AI269" s="280">
        <f t="shared" si="442"/>
        <v>0.22483940042826553</v>
      </c>
      <c r="AJ269" s="280">
        <f t="shared" si="442"/>
        <v>0.18266666666666667</v>
      </c>
      <c r="AK269" s="280">
        <f t="shared" si="442"/>
        <v>0.22366550522648082</v>
      </c>
      <c r="AL269" s="280">
        <f t="shared" si="442"/>
        <v>0.2298507462686567</v>
      </c>
      <c r="AM269" s="280">
        <f t="shared" si="442"/>
        <v>0.22191673212882954</v>
      </c>
      <c r="AN269" s="280">
        <f t="shared" si="442"/>
        <v>0.20970042796005706</v>
      </c>
      <c r="AO269" s="280">
        <f t="shared" si="442"/>
        <v>0.22024151811385853</v>
      </c>
      <c r="AP269" s="280">
        <f t="shared" si="442"/>
        <v>0.22001736326429369</v>
      </c>
      <c r="AQ269" s="280">
        <f t="shared" si="442"/>
        <v>0.22018802572983673</v>
      </c>
      <c r="AR269" s="280">
        <f t="shared" si="442"/>
        <v>0.21903820816864294</v>
      </c>
      <c r="AS269" s="280">
        <f t="shared" si="442"/>
        <v>0.21984671238402581</v>
      </c>
      <c r="AT269" s="280">
        <f t="shared" si="442"/>
        <v>0.22034791776489193</v>
      </c>
      <c r="AU269" s="280">
        <f t="shared" si="442"/>
        <v>0.21976041556238737</v>
      </c>
      <c r="AV269" s="280">
        <f t="shared" si="442"/>
        <v>0.23363544813695872</v>
      </c>
      <c r="AW269" s="280">
        <f t="shared" si="442"/>
        <v>0.23416370106761566</v>
      </c>
      <c r="AX269" s="280">
        <f t="shared" si="442"/>
        <v>0.23482106956172094</v>
      </c>
      <c r="AY269" s="280">
        <f t="shared" si="442"/>
        <v>0.22640586797066015</v>
      </c>
      <c r="AZ269" s="280">
        <f t="shared" si="442"/>
        <v>0.23252572898799315</v>
      </c>
      <c r="BA269" s="280">
        <f t="shared" si="442"/>
        <v>0.23181257706535141</v>
      </c>
      <c r="BB269" s="280">
        <f t="shared" si="442"/>
        <v>0.23220391669257071</v>
      </c>
      <c r="BC269" s="280">
        <f t="shared" si="442"/>
        <v>0.22604951560818085</v>
      </c>
      <c r="BD269" s="280">
        <f t="shared" si="442"/>
        <v>0.2150786308973173</v>
      </c>
      <c r="BE269" s="280">
        <f t="shared" si="442"/>
        <v>0.22700254741013304</v>
      </c>
      <c r="BF269" s="280">
        <f t="shared" si="442"/>
        <v>0.2400605831124574</v>
      </c>
      <c r="BG269" s="280">
        <f t="shared" si="442"/>
        <v>0.2400445558340295</v>
      </c>
      <c r="BH269" s="280">
        <f t="shared" ref="BH269:CM269" si="443">BH71</f>
        <v>0.2399497487437186</v>
      </c>
      <c r="BI269" s="280">
        <f t="shared" si="443"/>
        <v>0.23512276321265085</v>
      </c>
      <c r="BJ269" s="280">
        <f t="shared" si="443"/>
        <v>0.23902191386750149</v>
      </c>
      <c r="BK269" s="280">
        <f t="shared" si="443"/>
        <v>0.24790069368382622</v>
      </c>
      <c r="BL269" s="280">
        <f t="shared" si="443"/>
        <v>0.2342981977061715</v>
      </c>
      <c r="BM269" s="280">
        <f t="shared" si="443"/>
        <v>0.23972824328696216</v>
      </c>
      <c r="BN269" s="280">
        <f t="shared" si="443"/>
        <v>0.24</v>
      </c>
      <c r="BO269" s="280">
        <f t="shared" si="443"/>
        <v>0.23999345174756487</v>
      </c>
      <c r="BP269" s="280">
        <f t="shared" si="443"/>
        <v>0.23522935779816515</v>
      </c>
      <c r="BQ269" s="280">
        <f t="shared" si="443"/>
        <v>0.22621281157866524</v>
      </c>
      <c r="BR269" s="280">
        <f t="shared" si="443"/>
        <v>0.22977763454721237</v>
      </c>
      <c r="BS269" s="280">
        <f t="shared" si="443"/>
        <v>0.2303370786516854</v>
      </c>
      <c r="BT269" s="280">
        <f t="shared" si="443"/>
        <v>0.23002698503557117</v>
      </c>
      <c r="BU269" s="280">
        <f t="shared" si="443"/>
        <v>0.23022432113341204</v>
      </c>
      <c r="BV269" s="280">
        <f t="shared" si="443"/>
        <v>0.22137612183845526</v>
      </c>
      <c r="BW269" s="280">
        <f t="shared" si="443"/>
        <v>0.22506561679790027</v>
      </c>
      <c r="BX269" s="280">
        <f t="shared" si="443"/>
        <v>0.22466960352422907</v>
      </c>
      <c r="BY269" s="280">
        <f t="shared" si="443"/>
        <v>0.22494261667941851</v>
      </c>
      <c r="BZ269" s="280">
        <f t="shared" si="443"/>
        <v>0.22487160674981657</v>
      </c>
      <c r="CA269" s="280">
        <f t="shared" si="443"/>
        <v>0.22516003339827442</v>
      </c>
      <c r="CB269" s="280">
        <f t="shared" si="443"/>
        <v>0.22506925207756232</v>
      </c>
      <c r="CC269" s="280">
        <f t="shared" si="443"/>
        <v>0.22468793342579751</v>
      </c>
      <c r="CD269" s="280">
        <f t="shared" si="443"/>
        <v>0.22497801231310466</v>
      </c>
      <c r="CE269" s="280">
        <f t="shared" si="443"/>
        <v>0.22493224932249323</v>
      </c>
      <c r="CF269" s="280">
        <f t="shared" si="443"/>
        <v>0.22503681885125185</v>
      </c>
      <c r="CG269" s="280">
        <f t="shared" si="443"/>
        <v>0.22517985611510791</v>
      </c>
      <c r="CH269" s="280">
        <f t="shared" si="443"/>
        <v>0.22476840565577766</v>
      </c>
      <c r="CI269" s="280">
        <f t="shared" si="443"/>
        <v>0.22499768711259135</v>
      </c>
      <c r="CJ269" s="280">
        <f t="shared" si="443"/>
        <v>0.24</v>
      </c>
      <c r="CK269" s="280">
        <f t="shared" si="443"/>
        <v>0.24015513126491647</v>
      </c>
      <c r="CL269" s="280">
        <f t="shared" si="443"/>
        <v>0.23994403637635536</v>
      </c>
      <c r="CM269" s="280">
        <f t="shared" si="443"/>
        <v>0.2401270994098956</v>
      </c>
      <c r="CN269" s="280">
        <f t="shared" ref="CN269:DM269" si="444">CN71</f>
        <v>0.2400587749104601</v>
      </c>
      <c r="CO269" s="280">
        <f t="shared" si="444"/>
        <v>0.21007418976962125</v>
      </c>
      <c r="CP269" s="280">
        <f t="shared" si="444"/>
        <v>0.21</v>
      </c>
      <c r="CQ269" s="280">
        <f t="shared" si="444"/>
        <v>0.21</v>
      </c>
      <c r="CR269" s="280">
        <f t="shared" ca="1" si="444"/>
        <v>0.20992227475394601</v>
      </c>
      <c r="CS269" s="280">
        <f t="shared" si="444"/>
        <v>0.21</v>
      </c>
      <c r="CT269" s="280">
        <f t="shared" si="444"/>
        <v>0.21</v>
      </c>
      <c r="CU269" s="280">
        <f t="shared" si="444"/>
        <v>0.21</v>
      </c>
      <c r="CV269" s="280">
        <f t="shared" si="444"/>
        <v>0.21</v>
      </c>
      <c r="CW269" s="280">
        <f t="shared" ca="1" si="444"/>
        <v>0.2100000000000001</v>
      </c>
      <c r="CX269" s="280">
        <f t="shared" si="444"/>
        <v>0.21</v>
      </c>
      <c r="CY269" s="280">
        <f t="shared" si="444"/>
        <v>0.21</v>
      </c>
      <c r="CZ269" s="280">
        <f t="shared" si="444"/>
        <v>0.21</v>
      </c>
      <c r="DA269" s="280">
        <f t="shared" si="444"/>
        <v>0.21</v>
      </c>
      <c r="DB269" s="280">
        <f t="shared" ca="1" si="444"/>
        <v>0.20999999999999985</v>
      </c>
      <c r="DC269" s="280">
        <f t="shared" si="444"/>
        <v>0.21</v>
      </c>
      <c r="DD269" s="280">
        <f t="shared" si="444"/>
        <v>0.21</v>
      </c>
      <c r="DE269" s="280">
        <f t="shared" si="444"/>
        <v>0.21</v>
      </c>
      <c r="DF269" s="280">
        <f t="shared" si="444"/>
        <v>0.21</v>
      </c>
      <c r="DG269" s="280">
        <f t="shared" ca="1" si="444"/>
        <v>0.20999999999999994</v>
      </c>
      <c r="DH269" s="280">
        <f t="shared" si="444"/>
        <v>0.21</v>
      </c>
      <c r="DI269" s="280">
        <f t="shared" si="444"/>
        <v>0.21</v>
      </c>
      <c r="DJ269" s="280">
        <f t="shared" si="444"/>
        <v>0.21</v>
      </c>
      <c r="DK269" s="280">
        <f t="shared" si="444"/>
        <v>0.21</v>
      </c>
      <c r="DL269" s="280">
        <f t="shared" ca="1" si="444"/>
        <v>0.2099999999999998</v>
      </c>
      <c r="DM269" s="280">
        <f t="shared" si="444"/>
        <v>0.21</v>
      </c>
      <c r="DN269" s="207"/>
    </row>
    <row r="270" spans="1:118" hidden="1" outlineLevel="1" x14ac:dyDescent="0.2">
      <c r="A270" s="229" t="s">
        <v>12</v>
      </c>
      <c r="B270" s="207"/>
      <c r="C270" s="405"/>
      <c r="D270" s="405"/>
      <c r="E270" s="405"/>
      <c r="F270" s="405"/>
      <c r="G270" s="405"/>
      <c r="H270" s="405"/>
      <c r="I270" s="405"/>
      <c r="J270" s="405"/>
      <c r="K270" s="405"/>
      <c r="L270" s="405"/>
      <c r="M270" s="405"/>
      <c r="N270" s="405"/>
      <c r="O270" s="405"/>
      <c r="P270" s="405"/>
      <c r="Q270" s="405"/>
      <c r="R270" s="405"/>
      <c r="S270" s="405"/>
      <c r="T270" s="405"/>
      <c r="U270" s="405"/>
      <c r="V270" s="405"/>
      <c r="W270" s="405"/>
      <c r="X270" s="405"/>
      <c r="Y270" s="405"/>
      <c r="Z270" s="405"/>
      <c r="AA270" s="405"/>
      <c r="AB270" s="405">
        <f t="shared" ref="AB270:BG270" si="445">AB7</f>
        <v>3.0000000000000002E-2</v>
      </c>
      <c r="AC270" s="405">
        <f t="shared" si="445"/>
        <v>6.7000000000000004E-2</v>
      </c>
      <c r="AD270" s="405">
        <f t="shared" si="445"/>
        <v>5.9000000000000004E-2</v>
      </c>
      <c r="AE270" s="405">
        <f t="shared" si="445"/>
        <v>7.0000000000000007E-2</v>
      </c>
      <c r="AF270" s="405">
        <f t="shared" si="445"/>
        <v>0.05</v>
      </c>
      <c r="AG270" s="405">
        <f t="shared" si="445"/>
        <v>6.0000000000000005E-2</v>
      </c>
      <c r="AH270" s="405">
        <f t="shared" si="445"/>
        <v>0.04</v>
      </c>
      <c r="AI270" s="405">
        <f t="shared" si="445"/>
        <v>0.09</v>
      </c>
      <c r="AJ270" s="405">
        <f t="shared" si="445"/>
        <v>7.0000000000000007E-2</v>
      </c>
      <c r="AK270" s="405">
        <f t="shared" si="445"/>
        <v>0.06</v>
      </c>
      <c r="AL270" s="405">
        <f t="shared" si="445"/>
        <v>0.08</v>
      </c>
      <c r="AM270" s="405">
        <f t="shared" si="445"/>
        <v>8.0000000000000016E-2</v>
      </c>
      <c r="AN270" s="405">
        <f t="shared" si="445"/>
        <v>5.9999999999999991E-2</v>
      </c>
      <c r="AO270" s="405">
        <f t="shared" si="445"/>
        <v>7.0000000000000007E-2</v>
      </c>
      <c r="AP270" s="405">
        <f t="shared" si="445"/>
        <v>7.0000000000000007E-2</v>
      </c>
      <c r="AQ270" s="405">
        <f t="shared" si="445"/>
        <v>0.05</v>
      </c>
      <c r="AR270" s="405">
        <f t="shared" si="445"/>
        <v>4.9999999999999996E-2</v>
      </c>
      <c r="AS270" s="405">
        <f t="shared" si="445"/>
        <v>0.02</v>
      </c>
      <c r="AT270" s="405">
        <f t="shared" si="445"/>
        <v>7.0000000000000007E-2</v>
      </c>
      <c r="AU270" s="405">
        <f t="shared" si="445"/>
        <v>0.05</v>
      </c>
      <c r="AV270" s="405">
        <f t="shared" si="445"/>
        <v>8.0000000000000016E-2</v>
      </c>
      <c r="AW270" s="405">
        <f t="shared" si="445"/>
        <v>9.9999999999999967E-3</v>
      </c>
      <c r="AX270" s="405">
        <f t="shared" si="445"/>
        <v>0.03</v>
      </c>
      <c r="AY270" s="405">
        <f t="shared" si="445"/>
        <v>-0.01</v>
      </c>
      <c r="AZ270" s="405">
        <f t="shared" si="445"/>
        <v>1.9999999999999997E-2</v>
      </c>
      <c r="BA270" s="405">
        <f t="shared" si="445"/>
        <v>9.9999999999999985E-3</v>
      </c>
      <c r="BB270" s="405">
        <f t="shared" si="445"/>
        <v>0.05</v>
      </c>
      <c r="BC270" s="405">
        <f t="shared" si="445"/>
        <v>0.08</v>
      </c>
      <c r="BD270" s="405">
        <f t="shared" si="445"/>
        <v>0.08</v>
      </c>
      <c r="BE270" s="405">
        <f t="shared" si="445"/>
        <v>0.06</v>
      </c>
      <c r="BF270" s="405">
        <f t="shared" si="445"/>
        <v>5.5E-2</v>
      </c>
      <c r="BG270" s="405">
        <f t="shared" si="445"/>
        <v>0.08</v>
      </c>
      <c r="BH270" s="405">
        <f t="shared" ref="BH270:CM270" si="446">BH7</f>
        <v>7.0000000000000007E-2</v>
      </c>
      <c r="BI270" s="405">
        <f t="shared" si="446"/>
        <v>6.0000000000000005E-2</v>
      </c>
      <c r="BJ270" s="405">
        <f t="shared" si="446"/>
        <v>6.5000000000000002E-2</v>
      </c>
      <c r="BK270" s="405">
        <f t="shared" si="446"/>
        <v>0.06</v>
      </c>
      <c r="BL270" s="405">
        <f t="shared" si="446"/>
        <v>0.06</v>
      </c>
      <c r="BM270" s="405">
        <f t="shared" si="446"/>
        <v>0.05</v>
      </c>
      <c r="BN270" s="405">
        <f t="shared" si="446"/>
        <v>0.04</v>
      </c>
      <c r="BO270" s="405">
        <f t="shared" si="446"/>
        <v>5.2629013207344574E-2</v>
      </c>
      <c r="BP270" s="405">
        <f t="shared" si="446"/>
        <v>0.02</v>
      </c>
      <c r="BQ270" s="405">
        <f t="shared" si="446"/>
        <v>0.01</v>
      </c>
      <c r="BR270" s="405">
        <f t="shared" si="446"/>
        <v>0.03</v>
      </c>
      <c r="BS270" s="405">
        <f t="shared" si="446"/>
        <v>0.03</v>
      </c>
      <c r="BT270" s="405">
        <f t="shared" si="446"/>
        <v>2.2231361932528119E-2</v>
      </c>
      <c r="BU270" s="405">
        <f t="shared" si="446"/>
        <v>1.35E-2</v>
      </c>
      <c r="BV270" s="405">
        <f t="shared" si="446"/>
        <v>3.7999999999999999E-2</v>
      </c>
      <c r="BW270" s="405">
        <f t="shared" si="446"/>
        <v>0.02</v>
      </c>
      <c r="BX270" s="405">
        <f t="shared" si="446"/>
        <v>0.04</v>
      </c>
      <c r="BY270" s="405">
        <f t="shared" ca="1" si="446"/>
        <v>2.8079448926452387E-2</v>
      </c>
      <c r="BZ270" s="405">
        <f t="shared" si="446"/>
        <v>0.08</v>
      </c>
      <c r="CA270" s="405">
        <f t="shared" si="446"/>
        <v>0.04</v>
      </c>
      <c r="CB270" s="405">
        <f t="shared" si="446"/>
        <v>0.03</v>
      </c>
      <c r="CC270" s="405">
        <f t="shared" si="446"/>
        <v>-9.9999999999999985E-3</v>
      </c>
      <c r="CD270" s="405">
        <f t="shared" si="446"/>
        <v>3.4775425018479064E-2</v>
      </c>
      <c r="CE270" s="405">
        <f t="shared" si="446"/>
        <v>0.02</v>
      </c>
      <c r="CF270" s="405">
        <f t="shared" si="446"/>
        <v>0.03</v>
      </c>
      <c r="CG270" s="405">
        <f t="shared" si="446"/>
        <v>0.02</v>
      </c>
      <c r="CH270" s="405">
        <f t="shared" si="446"/>
        <v>0.06</v>
      </c>
      <c r="CI270" s="405">
        <f t="shared" si="446"/>
        <v>3.1774958233620809E-2</v>
      </c>
      <c r="CJ270" s="405">
        <f t="shared" si="446"/>
        <v>0</v>
      </c>
      <c r="CK270" s="405">
        <f t="shared" si="446"/>
        <v>0.03</v>
      </c>
      <c r="CL270" s="405">
        <f t="shared" si="446"/>
        <v>0.04</v>
      </c>
      <c r="CM270" s="405">
        <f t="shared" si="446"/>
        <v>0.06</v>
      </c>
      <c r="CN270" s="405">
        <f t="shared" ref="CN270:DM270" si="447">CN7</f>
        <v>3.1855019830840541E-2</v>
      </c>
      <c r="CO270" s="405">
        <f t="shared" si="447"/>
        <v>0.05</v>
      </c>
      <c r="CP270" s="405">
        <f t="shared" si="447"/>
        <v>3.4597711811997528E-2</v>
      </c>
      <c r="CQ270" s="405">
        <f t="shared" si="447"/>
        <v>3.2623705662040092E-2</v>
      </c>
      <c r="CR270" s="405">
        <f t="shared" si="447"/>
        <v>4.1944654758375575E-2</v>
      </c>
      <c r="CS270" s="405">
        <f t="shared" si="447"/>
        <v>3.9613536842486585E-2</v>
      </c>
      <c r="CT270" s="405">
        <f t="shared" si="447"/>
        <v>4.0727964323189925E-2</v>
      </c>
      <c r="CU270" s="405">
        <f t="shared" si="447"/>
        <v>4.0126528678677539E-2</v>
      </c>
      <c r="CV270" s="405">
        <f t="shared" si="447"/>
        <v>4.1119891146173863E-2</v>
      </c>
      <c r="CW270" s="405">
        <f t="shared" si="447"/>
        <v>4.3480066737462381E-2</v>
      </c>
      <c r="CX270" s="405">
        <f t="shared" si="447"/>
        <v>4.1295603984420844E-2</v>
      </c>
      <c r="CY270" s="405">
        <f t="shared" si="447"/>
        <v>4.0426101065085762E-2</v>
      </c>
      <c r="CZ270" s="405">
        <f t="shared" si="447"/>
        <v>3.9909964436143475E-2</v>
      </c>
      <c r="DA270" s="405">
        <f t="shared" si="447"/>
        <v>4.0864832007764564E-2</v>
      </c>
      <c r="DB270" s="405">
        <f t="shared" si="447"/>
        <v>4.3132938500989093E-2</v>
      </c>
      <c r="DC270" s="405">
        <f t="shared" si="447"/>
        <v>4.1020725267221891E-2</v>
      </c>
      <c r="DD270" s="405">
        <f t="shared" si="447"/>
        <v>3.5692923930710774E-2</v>
      </c>
      <c r="DE270" s="405">
        <f t="shared" si="447"/>
        <v>3.5459120097733089E-2</v>
      </c>
      <c r="DF270" s="405">
        <f t="shared" si="447"/>
        <v>3.6513142989757608E-2</v>
      </c>
      <c r="DG270" s="405">
        <f t="shared" si="447"/>
        <v>3.8924262795061934E-2</v>
      </c>
      <c r="DH270" s="405">
        <f t="shared" si="447"/>
        <v>3.6585667362252314E-2</v>
      </c>
      <c r="DI270" s="405">
        <f t="shared" si="447"/>
        <v>3.3895460435831276E-2</v>
      </c>
      <c r="DJ270" s="405">
        <f t="shared" si="447"/>
        <v>3.3791642106347067E-2</v>
      </c>
      <c r="DK270" s="405">
        <f t="shared" si="447"/>
        <v>3.463306136355928E-2</v>
      </c>
      <c r="DL270" s="405">
        <f t="shared" si="447"/>
        <v>3.6550120958356969E-2</v>
      </c>
      <c r="DM270" s="405">
        <f t="shared" si="447"/>
        <v>3.4670873455100094E-2</v>
      </c>
      <c r="DN270" s="207"/>
    </row>
    <row r="271" spans="1:118" hidden="1" outlineLevel="1" x14ac:dyDescent="0.2">
      <c r="A271" s="229" t="s">
        <v>143</v>
      </c>
      <c r="B271" s="207"/>
      <c r="C271" s="405"/>
      <c r="D271" s="405"/>
      <c r="E271" s="405"/>
      <c r="F271" s="405"/>
      <c r="G271" s="405"/>
      <c r="H271" s="405"/>
      <c r="I271" s="405"/>
      <c r="J271" s="405"/>
      <c r="K271" s="405"/>
      <c r="L271" s="405"/>
      <c r="M271" s="405"/>
      <c r="N271" s="405"/>
      <c r="O271" s="405"/>
      <c r="P271" s="405"/>
      <c r="Q271" s="405"/>
      <c r="R271" s="405"/>
      <c r="S271" s="405"/>
      <c r="T271" s="405"/>
      <c r="U271" s="405"/>
      <c r="V271" s="405"/>
      <c r="W271" s="405"/>
      <c r="X271" s="405"/>
      <c r="Y271" s="405"/>
      <c r="Z271" s="405"/>
      <c r="AA271" s="405"/>
      <c r="AB271" s="405">
        <f>Segments!B11</f>
        <v>0.04</v>
      </c>
      <c r="AC271" s="405">
        <f>Segments!C11</f>
        <v>0.03</v>
      </c>
      <c r="AD271" s="405">
        <f>Segments!D11</f>
        <v>0.02</v>
      </c>
      <c r="AE271" s="405">
        <f>Segments!E11</f>
        <v>-0.01</v>
      </c>
      <c r="AF271" s="405">
        <f>Segments!F11</f>
        <v>0.02</v>
      </c>
      <c r="AG271" s="405">
        <f>Segments!G11</f>
        <v>-0.03</v>
      </c>
      <c r="AH271" s="405">
        <f>Segments!H11</f>
        <v>0</v>
      </c>
      <c r="AI271" s="405">
        <f>Segments!I11</f>
        <v>0.01</v>
      </c>
      <c r="AJ271" s="405">
        <f>Segments!J11</f>
        <v>0.01</v>
      </c>
      <c r="AK271" s="405">
        <f>Segments!K11</f>
        <v>0</v>
      </c>
      <c r="AL271" s="405">
        <f>Segments!L11</f>
        <v>0.03</v>
      </c>
      <c r="AM271" s="405">
        <f>Segments!M11</f>
        <v>0.03</v>
      </c>
      <c r="AN271" s="405">
        <f>Segments!N11</f>
        <v>0.04</v>
      </c>
      <c r="AO271" s="405">
        <f>Segments!O11</f>
        <v>0.08</v>
      </c>
      <c r="AP271" s="405">
        <f>Segments!P11</f>
        <v>0.04</v>
      </c>
      <c r="AQ271" s="405">
        <f>Segments!Q11</f>
        <v>0.09</v>
      </c>
      <c r="AR271" s="405">
        <f>Segments!R11</f>
        <v>0.09</v>
      </c>
      <c r="AS271" s="405">
        <f>Segments!S11</f>
        <v>0.06</v>
      </c>
      <c r="AT271" s="405">
        <f>Segments!T11</f>
        <v>-7.0000000000000007E-2</v>
      </c>
      <c r="AU271" s="405">
        <f>Segments!U11</f>
        <v>0.04</v>
      </c>
      <c r="AV271" s="405">
        <f>Segments!V11</f>
        <v>-0.1</v>
      </c>
      <c r="AW271" s="405">
        <f>Segments!W11</f>
        <v>-0.09</v>
      </c>
      <c r="AX271" s="405">
        <f>Segments!X11</f>
        <v>-0.06</v>
      </c>
      <c r="AY271" s="405">
        <f>Segments!Y11</f>
        <v>0.05</v>
      </c>
      <c r="AZ271" s="405">
        <f>Segments!Z11</f>
        <v>-0.05</v>
      </c>
      <c r="BA271" s="405">
        <f>Segments!AA11</f>
        <v>0.06</v>
      </c>
      <c r="BB271" s="405">
        <f>Segments!AB11</f>
        <v>0.02</v>
      </c>
      <c r="BC271" s="405">
        <f>Segments!AC11</f>
        <v>0</v>
      </c>
      <c r="BD271" s="405">
        <f>Segments!AD11</f>
        <v>0</v>
      </c>
      <c r="BE271" s="405">
        <f>Segments!AE11</f>
        <v>0.02</v>
      </c>
      <c r="BF271" s="405">
        <f>Segments!AF11</f>
        <v>0.02</v>
      </c>
      <c r="BG271" s="405">
        <f>Segments!AG11</f>
        <v>0.06</v>
      </c>
      <c r="BH271" s="405">
        <f>Segments!AH11</f>
        <v>0.05</v>
      </c>
      <c r="BI271" s="405">
        <f>Segments!AI11</f>
        <v>-0.01</v>
      </c>
      <c r="BJ271" s="405">
        <f>Segments!AJ11</f>
        <v>0.03</v>
      </c>
      <c r="BK271" s="405">
        <f>Segments!AK11</f>
        <v>-0.01</v>
      </c>
      <c r="BL271" s="405">
        <f>Segments!AL11</f>
        <v>-0.04</v>
      </c>
      <c r="BM271" s="405">
        <f>Segments!AM11</f>
        <v>-0.05</v>
      </c>
      <c r="BN271" s="405">
        <f>Segments!AN11</f>
        <v>-0.01</v>
      </c>
      <c r="BO271" s="405">
        <f>Segments!AO11</f>
        <v>-0.03</v>
      </c>
      <c r="BP271" s="405">
        <f>Segments!AP11</f>
        <v>-0.02</v>
      </c>
      <c r="BQ271" s="405">
        <f>Segments!AQ11</f>
        <v>-0.02</v>
      </c>
      <c r="BR271" s="405">
        <f>Segments!AR11</f>
        <v>-0.02</v>
      </c>
      <c r="BS271" s="405">
        <f>Segments!AS11</f>
        <v>-0.02</v>
      </c>
      <c r="BT271" s="405">
        <f>Segments!AT11</f>
        <v>-0.02</v>
      </c>
      <c r="BU271" s="405">
        <f>Segments!AU11</f>
        <v>-0.04</v>
      </c>
      <c r="BV271" s="405">
        <f>Segments!AV11</f>
        <v>-0.02</v>
      </c>
      <c r="BW271" s="405">
        <f>Segments!AW11</f>
        <v>-0.01</v>
      </c>
      <c r="BX271" s="405">
        <f>Segments!AX11</f>
        <v>-0.04</v>
      </c>
      <c r="BY271" s="405">
        <f>Segments!AY11</f>
        <v>-0.02</v>
      </c>
      <c r="BZ271" s="405">
        <f>Segments!AZ11</f>
        <v>-0.06</v>
      </c>
      <c r="CA271" s="405">
        <f>Segments!BA11</f>
        <v>-7.0000000000000007E-2</v>
      </c>
      <c r="CB271" s="405">
        <f>Segments!BB11</f>
        <v>-0.08</v>
      </c>
      <c r="CC271" s="405">
        <f>Segments!BC11</f>
        <v>-7.0000000000000007E-2</v>
      </c>
      <c r="CD271" s="405">
        <f>Segments!BD11</f>
        <v>-7.0000000000000007E-2</v>
      </c>
      <c r="CE271" s="405">
        <f>Segments!BE11</f>
        <v>-0.05</v>
      </c>
      <c r="CF271" s="405">
        <f>Segments!BF11</f>
        <v>-0.03</v>
      </c>
      <c r="CG271" s="405">
        <f>Segments!BG11</f>
        <v>-0.02</v>
      </c>
      <c r="CH271" s="405">
        <f>Segments!BH11</f>
        <v>-0.02</v>
      </c>
      <c r="CI271" s="405">
        <f>Segments!BI11</f>
        <v>-0.03</v>
      </c>
      <c r="CJ271" s="405">
        <f>Segments!BJ11</f>
        <v>-0.01</v>
      </c>
      <c r="CK271" s="405">
        <f>Segments!BK11</f>
        <v>-0.02</v>
      </c>
      <c r="CL271" s="405">
        <f>Segments!BL11</f>
        <v>0</v>
      </c>
      <c r="CM271" s="405">
        <f>Segments!BM11</f>
        <v>0</v>
      </c>
      <c r="CN271" s="405">
        <f>Segments!BN11</f>
        <v>-0.01</v>
      </c>
      <c r="CO271" s="405">
        <f>Segments!BO11</f>
        <v>0.02</v>
      </c>
      <c r="CP271" s="405">
        <f>Segments!BP11</f>
        <v>7.2499831065567285E-3</v>
      </c>
      <c r="CQ271" s="405">
        <f>Segments!BQ11</f>
        <v>-2.393163835224278E-3</v>
      </c>
      <c r="CR271" s="405">
        <f>Segments!BR11</f>
        <v>-8.7181373659813192E-4</v>
      </c>
      <c r="CS271" s="405">
        <f>Segments!BS11</f>
        <v>6.3464642103387061E-3</v>
      </c>
      <c r="CT271" s="405">
        <f>Segments!BT11</f>
        <v>-3.8200405743632898E-3</v>
      </c>
      <c r="CU271" s="405">
        <f>Segments!BU11</f>
        <v>0</v>
      </c>
      <c r="CV271" s="405">
        <f>Segments!BV11</f>
        <v>0</v>
      </c>
      <c r="CW271" s="405">
        <f>Segments!BW11</f>
        <v>0</v>
      </c>
      <c r="CX271" s="405">
        <f>Segments!BX11</f>
        <v>-9.1059695710981518E-4</v>
      </c>
      <c r="CY271" s="405">
        <f>Segments!BY11</f>
        <v>0</v>
      </c>
      <c r="CZ271" s="405">
        <f>Segments!BZ11</f>
        <v>0</v>
      </c>
      <c r="DA271" s="405">
        <f>Segments!CA11</f>
        <v>0</v>
      </c>
      <c r="DB271" s="405">
        <f>Segments!CB11</f>
        <v>0</v>
      </c>
      <c r="DC271" s="405">
        <f>Segments!CC11</f>
        <v>0</v>
      </c>
      <c r="DD271" s="405">
        <f>Segments!CD11</f>
        <v>0</v>
      </c>
      <c r="DE271" s="405">
        <f>Segments!CE11</f>
        <v>0</v>
      </c>
      <c r="DF271" s="405">
        <f>Segments!CF11</f>
        <v>0</v>
      </c>
      <c r="DG271" s="405">
        <f>Segments!CG11</f>
        <v>0</v>
      </c>
      <c r="DH271" s="405">
        <f>Segments!CH11</f>
        <v>0</v>
      </c>
      <c r="DI271" s="405">
        <f>Segments!CI11</f>
        <v>0</v>
      </c>
      <c r="DJ271" s="405">
        <f>Segments!CJ11</f>
        <v>0</v>
      </c>
      <c r="DK271" s="405">
        <f>Segments!CK11</f>
        <v>0</v>
      </c>
      <c r="DL271" s="405">
        <f>Segments!CL11</f>
        <v>0</v>
      </c>
      <c r="DM271" s="405" t="e">
        <f>Segments!#REF!</f>
        <v>#REF!</v>
      </c>
      <c r="DN271" s="207"/>
    </row>
    <row r="272" spans="1:118" hidden="1" outlineLevel="1" x14ac:dyDescent="0.2">
      <c r="A272" s="229" t="s">
        <v>144</v>
      </c>
      <c r="B272" s="207"/>
      <c r="C272" s="406"/>
      <c r="D272" s="406"/>
      <c r="E272" s="406"/>
      <c r="F272" s="406"/>
      <c r="G272" s="406"/>
      <c r="H272" s="406"/>
      <c r="I272" s="406"/>
      <c r="J272" s="406"/>
      <c r="K272" s="406"/>
      <c r="L272" s="406"/>
      <c r="M272" s="406"/>
      <c r="N272" s="406"/>
      <c r="O272" s="406"/>
      <c r="P272" s="406"/>
      <c r="Q272" s="406"/>
      <c r="R272" s="406"/>
      <c r="S272" s="406"/>
      <c r="T272" s="406"/>
      <c r="U272" s="406"/>
      <c r="V272" s="406"/>
      <c r="W272" s="406"/>
      <c r="X272" s="406"/>
      <c r="Y272" s="406"/>
      <c r="Z272" s="406"/>
      <c r="AA272" s="406"/>
      <c r="AB272" s="406">
        <f t="shared" ref="AB272:BG272" si="448">SUM(AB175,AB177,AB179)</f>
        <v>22</v>
      </c>
      <c r="AC272" s="406">
        <f t="shared" si="448"/>
        <v>-248</v>
      </c>
      <c r="AD272" s="406">
        <f t="shared" si="448"/>
        <v>-301</v>
      </c>
      <c r="AE272" s="406">
        <f t="shared" si="448"/>
        <v>11</v>
      </c>
      <c r="AF272" s="406">
        <f t="shared" si="448"/>
        <v>-516</v>
      </c>
      <c r="AG272" s="406">
        <f t="shared" si="448"/>
        <v>-224</v>
      </c>
      <c r="AH272" s="406">
        <f t="shared" si="448"/>
        <v>198</v>
      </c>
      <c r="AI272" s="406">
        <f t="shared" si="448"/>
        <v>-476</v>
      </c>
      <c r="AJ272" s="406">
        <f t="shared" si="448"/>
        <v>353</v>
      </c>
      <c r="AK272" s="406">
        <f t="shared" si="448"/>
        <v>-149</v>
      </c>
      <c r="AL272" s="406">
        <f t="shared" si="448"/>
        <v>-432</v>
      </c>
      <c r="AM272" s="406">
        <f t="shared" si="448"/>
        <v>-2808</v>
      </c>
      <c r="AN272" s="406">
        <f t="shared" si="448"/>
        <v>-250</v>
      </c>
      <c r="AO272" s="406">
        <f t="shared" si="448"/>
        <v>-1476</v>
      </c>
      <c r="AP272" s="406">
        <f t="shared" si="448"/>
        <v>-4966</v>
      </c>
      <c r="AQ272" s="406">
        <f t="shared" si="448"/>
        <v>-127</v>
      </c>
      <c r="AR272" s="406">
        <f t="shared" si="448"/>
        <v>-61</v>
      </c>
      <c r="AS272" s="406">
        <f t="shared" si="448"/>
        <v>33</v>
      </c>
      <c r="AT272" s="406">
        <f t="shared" si="448"/>
        <v>4</v>
      </c>
      <c r="AU272" s="406">
        <f t="shared" si="448"/>
        <v>-151</v>
      </c>
      <c r="AV272" s="406">
        <f t="shared" si="448"/>
        <v>-135</v>
      </c>
      <c r="AW272" s="406">
        <f t="shared" si="448"/>
        <v>-36</v>
      </c>
      <c r="AX272" s="406">
        <f t="shared" si="448"/>
        <v>21</v>
      </c>
      <c r="AY272" s="406">
        <f t="shared" si="448"/>
        <v>194</v>
      </c>
      <c r="AZ272" s="406">
        <f t="shared" si="448"/>
        <v>44</v>
      </c>
      <c r="BA272" s="406">
        <f t="shared" si="448"/>
        <v>24</v>
      </c>
      <c r="BB272" s="406">
        <f t="shared" si="448"/>
        <v>1098</v>
      </c>
      <c r="BC272" s="406">
        <f t="shared" si="448"/>
        <v>-1776</v>
      </c>
      <c r="BD272" s="406">
        <f t="shared" si="448"/>
        <v>-1298</v>
      </c>
      <c r="BE272" s="406">
        <f t="shared" si="448"/>
        <v>-1952</v>
      </c>
      <c r="BF272" s="406">
        <f t="shared" si="448"/>
        <v>229</v>
      </c>
      <c r="BG272" s="406">
        <f t="shared" si="448"/>
        <v>-48</v>
      </c>
      <c r="BH272" s="406">
        <f t="shared" ref="BH272:CM272" si="449">SUM(BH175,BH177,BH179)</f>
        <v>43</v>
      </c>
      <c r="BI272" s="406">
        <f t="shared" si="449"/>
        <v>1052</v>
      </c>
      <c r="BJ272" s="406">
        <f t="shared" si="449"/>
        <v>1276</v>
      </c>
      <c r="BK272" s="406">
        <f t="shared" si="449"/>
        <v>-45</v>
      </c>
      <c r="BL272" s="406">
        <f t="shared" si="449"/>
        <v>303</v>
      </c>
      <c r="BM272" s="406">
        <f t="shared" si="449"/>
        <v>352</v>
      </c>
      <c r="BN272" s="406">
        <f t="shared" si="449"/>
        <v>187</v>
      </c>
      <c r="BO272" s="406">
        <f t="shared" si="449"/>
        <v>797</v>
      </c>
      <c r="BP272" s="406">
        <f t="shared" si="449"/>
        <v>725</v>
      </c>
      <c r="BQ272" s="406">
        <f t="shared" si="449"/>
        <v>-286</v>
      </c>
      <c r="BR272" s="406">
        <f t="shared" si="449"/>
        <v>168</v>
      </c>
      <c r="BS272" s="406">
        <f t="shared" si="449"/>
        <v>23</v>
      </c>
      <c r="BT272" s="406">
        <f t="shared" si="449"/>
        <v>630</v>
      </c>
      <c r="BU272" s="406">
        <f t="shared" si="449"/>
        <v>-17</v>
      </c>
      <c r="BV272" s="406">
        <f t="shared" si="449"/>
        <v>-136</v>
      </c>
      <c r="BW272" s="406">
        <f t="shared" si="449"/>
        <v>33</v>
      </c>
      <c r="BX272" s="406">
        <f t="shared" si="449"/>
        <v>102</v>
      </c>
      <c r="BY272" s="406">
        <f t="shared" si="449"/>
        <v>-18</v>
      </c>
      <c r="BZ272" s="406">
        <f t="shared" si="449"/>
        <v>-353</v>
      </c>
      <c r="CA272" s="406">
        <f t="shared" si="449"/>
        <v>-1485</v>
      </c>
      <c r="CB272" s="406">
        <f t="shared" si="449"/>
        <v>-185</v>
      </c>
      <c r="CC272" s="406">
        <f t="shared" si="449"/>
        <v>182</v>
      </c>
      <c r="CD272" s="406">
        <f t="shared" si="449"/>
        <v>-1841</v>
      </c>
      <c r="CE272" s="406">
        <f t="shared" si="449"/>
        <v>-368</v>
      </c>
      <c r="CF272" s="406">
        <f t="shared" si="449"/>
        <v>106</v>
      </c>
      <c r="CG272" s="406">
        <f t="shared" si="449"/>
        <v>332</v>
      </c>
      <c r="CH272" s="406">
        <f t="shared" si="449"/>
        <v>277</v>
      </c>
      <c r="CI272" s="406">
        <f t="shared" si="449"/>
        <v>347</v>
      </c>
      <c r="CJ272" s="406">
        <f t="shared" si="449"/>
        <v>1111</v>
      </c>
      <c r="CK272" s="406">
        <f t="shared" si="449"/>
        <v>466</v>
      </c>
      <c r="CL272" s="406">
        <f t="shared" si="449"/>
        <v>747</v>
      </c>
      <c r="CM272" s="406">
        <f t="shared" si="449"/>
        <v>-2299</v>
      </c>
      <c r="CN272" s="406">
        <f t="shared" ref="CN272:DM272" si="450">SUM(CN175,CN177,CN179)</f>
        <v>25</v>
      </c>
      <c r="CO272" s="406">
        <f t="shared" si="450"/>
        <v>-137</v>
      </c>
      <c r="CP272" s="406">
        <f t="shared" si="450"/>
        <v>0</v>
      </c>
      <c r="CQ272" s="406">
        <f t="shared" si="450"/>
        <v>0</v>
      </c>
      <c r="CR272" s="406">
        <f t="shared" si="450"/>
        <v>0</v>
      </c>
      <c r="CS272" s="406">
        <f t="shared" si="450"/>
        <v>-137</v>
      </c>
      <c r="CT272" s="406">
        <f t="shared" si="450"/>
        <v>0</v>
      </c>
      <c r="CU272" s="406">
        <f t="shared" si="450"/>
        <v>0</v>
      </c>
      <c r="CV272" s="406">
        <f t="shared" si="450"/>
        <v>0</v>
      </c>
      <c r="CW272" s="406">
        <f t="shared" si="450"/>
        <v>0</v>
      </c>
      <c r="CX272" s="406">
        <f t="shared" si="450"/>
        <v>0</v>
      </c>
      <c r="CY272" s="406">
        <f t="shared" si="450"/>
        <v>0</v>
      </c>
      <c r="CZ272" s="406">
        <f t="shared" si="450"/>
        <v>0</v>
      </c>
      <c r="DA272" s="406">
        <f t="shared" si="450"/>
        <v>0</v>
      </c>
      <c r="DB272" s="406">
        <f t="shared" si="450"/>
        <v>0</v>
      </c>
      <c r="DC272" s="406">
        <f t="shared" si="450"/>
        <v>0</v>
      </c>
      <c r="DD272" s="406">
        <f t="shared" si="450"/>
        <v>0</v>
      </c>
      <c r="DE272" s="406">
        <f t="shared" si="450"/>
        <v>0</v>
      </c>
      <c r="DF272" s="406">
        <f t="shared" si="450"/>
        <v>0</v>
      </c>
      <c r="DG272" s="406">
        <f t="shared" si="450"/>
        <v>0</v>
      </c>
      <c r="DH272" s="406">
        <f t="shared" si="450"/>
        <v>0</v>
      </c>
      <c r="DI272" s="406">
        <f t="shared" si="450"/>
        <v>0</v>
      </c>
      <c r="DJ272" s="406">
        <f t="shared" si="450"/>
        <v>0</v>
      </c>
      <c r="DK272" s="406">
        <f t="shared" si="450"/>
        <v>0</v>
      </c>
      <c r="DL272" s="406">
        <f t="shared" si="450"/>
        <v>0</v>
      </c>
      <c r="DM272" s="406">
        <f t="shared" si="450"/>
        <v>0</v>
      </c>
      <c r="DN272" s="207"/>
    </row>
    <row r="273" spans="1:118" hidden="1" outlineLevel="1" x14ac:dyDescent="0.2">
      <c r="A273" s="229" t="s">
        <v>145</v>
      </c>
      <c r="B273" s="207"/>
      <c r="C273" s="407"/>
      <c r="D273" s="407"/>
      <c r="E273" s="407"/>
      <c r="F273" s="407"/>
      <c r="G273" s="407"/>
      <c r="H273" s="407"/>
      <c r="I273" s="407"/>
      <c r="J273" s="407"/>
      <c r="K273" s="407"/>
      <c r="L273" s="407"/>
      <c r="M273" s="407"/>
      <c r="N273" s="407"/>
      <c r="O273" s="407"/>
      <c r="P273" s="407"/>
      <c r="Q273" s="407"/>
      <c r="R273" s="407"/>
      <c r="S273" s="407"/>
      <c r="T273" s="407"/>
      <c r="U273" s="407"/>
      <c r="V273" s="407"/>
      <c r="W273" s="407"/>
      <c r="X273" s="407"/>
      <c r="Y273" s="407"/>
      <c r="Z273" s="407"/>
      <c r="AA273" s="407"/>
      <c r="AB273" s="407">
        <f>Segments!B85</f>
        <v>1528</v>
      </c>
      <c r="AC273" s="407">
        <f>Segments!C85</f>
        <v>1775</v>
      </c>
      <c r="AD273" s="407">
        <f>Segments!D85</f>
        <v>1745</v>
      </c>
      <c r="AE273" s="407">
        <f>Segments!E85</f>
        <v>1628</v>
      </c>
      <c r="AF273" s="407">
        <f>Segments!F85</f>
        <v>6676</v>
      </c>
      <c r="AG273" s="407">
        <f>Segments!G85</f>
        <v>1645</v>
      </c>
      <c r="AH273" s="407">
        <f>Segments!H85</f>
        <v>1909</v>
      </c>
      <c r="AI273" s="407">
        <f>Segments!I85</f>
        <v>1809</v>
      </c>
      <c r="AJ273" s="407">
        <f>Segments!J85</f>
        <v>1666</v>
      </c>
      <c r="AK273" s="407">
        <f>Segments!K85</f>
        <v>7029</v>
      </c>
      <c r="AL273" s="407">
        <f>Segments!L85</f>
        <v>1665</v>
      </c>
      <c r="AM273" s="407">
        <f>Segments!M85</f>
        <v>2062</v>
      </c>
      <c r="AN273" s="407">
        <f>Segments!N85</f>
        <v>2160</v>
      </c>
      <c r="AO273" s="407">
        <f>Segments!O85</f>
        <v>1874</v>
      </c>
      <c r="AP273" s="407">
        <f>Segments!P85</f>
        <v>7761</v>
      </c>
      <c r="AQ273" s="407">
        <f>Segments!Q85</f>
        <v>1884</v>
      </c>
      <c r="AR273" s="407">
        <f>Segments!R85</f>
        <v>2240</v>
      </c>
      <c r="AS273" s="407">
        <f>Segments!S85</f>
        <v>2135</v>
      </c>
      <c r="AT273" s="407">
        <f>Segments!T85</f>
        <v>1946</v>
      </c>
      <c r="AU273" s="407">
        <f>Segments!U85</f>
        <v>8205</v>
      </c>
      <c r="AV273" s="407">
        <f>Segments!V85</f>
        <v>2044</v>
      </c>
      <c r="AW273" s="407">
        <f>Segments!W85</f>
        <v>2173</v>
      </c>
      <c r="AX273" s="407">
        <f>Segments!X85</f>
        <v>2112</v>
      </c>
      <c r="AY273" s="407">
        <f>Segments!Y85</f>
        <v>1862</v>
      </c>
      <c r="AZ273" s="407">
        <f>Segments!Z85</f>
        <v>8191</v>
      </c>
      <c r="BA273" s="407">
        <f>Segments!AA85</f>
        <v>1917</v>
      </c>
      <c r="BB273" s="407">
        <f>Segments!AB85</f>
        <v>2260</v>
      </c>
      <c r="BC273" s="407">
        <f>Segments!AC85</f>
        <v>2159</v>
      </c>
      <c r="BD273" s="407">
        <f>Segments!AD85</f>
        <v>4804</v>
      </c>
      <c r="BE273" s="407">
        <f>Segments!AE85</f>
        <v>11140</v>
      </c>
      <c r="BF273" s="407">
        <f>Segments!AF85</f>
        <v>4684</v>
      </c>
      <c r="BG273" s="407">
        <f>Segments!AG85</f>
        <v>5496</v>
      </c>
      <c r="BH273" s="407">
        <f>Segments!AH85</f>
        <v>5387</v>
      </c>
      <c r="BI273" s="407">
        <f>Segments!AI85</f>
        <v>4992</v>
      </c>
      <c r="BJ273" s="407">
        <f>Segments!AJ85</f>
        <v>20559</v>
      </c>
      <c r="BK273" s="407">
        <f>Segments!AK85</f>
        <v>4917</v>
      </c>
      <c r="BL273" s="407">
        <f>Segments!AL85</f>
        <v>5789</v>
      </c>
      <c r="BM273" s="407">
        <f>Segments!AM85</f>
        <v>5669</v>
      </c>
      <c r="BN273" s="407">
        <f>Segments!AN85</f>
        <v>5290</v>
      </c>
      <c r="BO273" s="407">
        <f>Segments!AO85</f>
        <v>21665</v>
      </c>
      <c r="BP273" s="407">
        <f>Segments!AP85</f>
        <v>4883</v>
      </c>
      <c r="BQ273" s="407">
        <f>Segments!AQ85</f>
        <v>5708</v>
      </c>
      <c r="BR273" s="407">
        <f>Segments!AR85</f>
        <v>5715</v>
      </c>
      <c r="BS273" s="407">
        <f>Segments!AS85</f>
        <v>5268</v>
      </c>
      <c r="BT273" s="407">
        <f>Segments!AT85</f>
        <v>21574</v>
      </c>
      <c r="BU273" s="407">
        <f>Segments!AU85</f>
        <v>4790</v>
      </c>
      <c r="BV273" s="407">
        <f>Segments!AV85</f>
        <v>5710</v>
      </c>
      <c r="BW273" s="407">
        <f>Segments!AW85</f>
        <v>5596</v>
      </c>
      <c r="BX273" s="407">
        <f>Segments!AX85</f>
        <v>5366</v>
      </c>
      <c r="BY273" s="407">
        <f>Segments!AY85</f>
        <v>21462</v>
      </c>
      <c r="BZ273" s="407">
        <f>Segments!AZ85</f>
        <v>5097</v>
      </c>
      <c r="CA273" s="407">
        <f>Segments!BA85</f>
        <v>5911</v>
      </c>
      <c r="CB273" s="407">
        <f>Segments!BB85</f>
        <v>5635</v>
      </c>
      <c r="CC273" s="407">
        <f>Segments!BC85</f>
        <v>5141</v>
      </c>
      <c r="CD273" s="407">
        <f>Segments!BD85</f>
        <v>21784</v>
      </c>
      <c r="CE273" s="407">
        <f>Segments!BE85</f>
        <v>5013.6705787509227</v>
      </c>
      <c r="CF273" s="407">
        <f>Segments!BF85</f>
        <v>5676.7264742006128</v>
      </c>
      <c r="CG273" s="407">
        <f>Segments!BG85</f>
        <v>5148.1307126040365</v>
      </c>
      <c r="CH273" s="407">
        <f>Segments!BH85</f>
        <v>4625.4722344444281</v>
      </c>
      <c r="CI273" s="407">
        <f>Segments!BI85</f>
        <v>20464</v>
      </c>
      <c r="CJ273" s="407">
        <f>Segments!BJ85</f>
        <v>3717.0713616651774</v>
      </c>
      <c r="CK273" s="407">
        <f>Segments!BK85</f>
        <v>4237.0361702317114</v>
      </c>
      <c r="CL273" s="407">
        <f>Segments!BL85</f>
        <v>3842.4990419246333</v>
      </c>
      <c r="CM273" s="407">
        <f>Segments!BM85</f>
        <v>3452.3934261784798</v>
      </c>
      <c r="CN273" s="407">
        <f>Segments!BN85</f>
        <v>15249.000000000002</v>
      </c>
      <c r="CO273" s="407">
        <f>Segments!BO85</f>
        <v>2652.3348079401144</v>
      </c>
      <c r="CP273" s="407">
        <f>Segments!BP85</f>
        <v>3023.3582902676412</v>
      </c>
      <c r="CQ273" s="407">
        <f>Segments!BQ85</f>
        <v>2741.8343547237159</v>
      </c>
      <c r="CR273" s="407">
        <f>Segments!BR85</f>
        <v>2463.4725470685321</v>
      </c>
      <c r="CS273" s="407">
        <f>Segments!BS85</f>
        <v>10881.000000000004</v>
      </c>
      <c r="CT273" s="407">
        <f>Segments!BT85</f>
        <v>2705.3815040989166</v>
      </c>
      <c r="CU273" s="407">
        <f>Segments!BU85</f>
        <v>3083.8254560729938</v>
      </c>
      <c r="CV273" s="407">
        <f>Segments!BV85</f>
        <v>2796.6710418181906</v>
      </c>
      <c r="CW273" s="407">
        <f>Segments!BW85</f>
        <v>2512.7419980099025</v>
      </c>
      <c r="CX273" s="407">
        <f>Segments!BX85</f>
        <v>11098.620000000003</v>
      </c>
      <c r="CY273" s="407">
        <f>Segments!BY85</f>
        <v>2759.4891341808952</v>
      </c>
      <c r="CZ273" s="407">
        <f>Segments!BZ85</f>
        <v>3145.501965194454</v>
      </c>
      <c r="DA273" s="407">
        <f>Segments!CA85</f>
        <v>2852.6044626545545</v>
      </c>
      <c r="DB273" s="407">
        <f>Segments!CB85</f>
        <v>2562.9968379701004</v>
      </c>
      <c r="DC273" s="407">
        <f>Segments!CC85</f>
        <v>11320.592400000003</v>
      </c>
      <c r="DD273" s="407">
        <f>Segments!CD85</f>
        <v>2814.6789168645128</v>
      </c>
      <c r="DE273" s="407">
        <f>Segments!CE85</f>
        <v>3208.4120044983429</v>
      </c>
      <c r="DF273" s="407">
        <f>Segments!CF85</f>
        <v>2909.6565519076453</v>
      </c>
      <c r="DG273" s="407">
        <f>Segments!CG85</f>
        <v>2614.2567747295029</v>
      </c>
      <c r="DH273" s="407">
        <f>Segments!CH85</f>
        <v>11547.004248000005</v>
      </c>
      <c r="DI273" s="407">
        <f>Segments!CI85</f>
        <v>2870.9724952018032</v>
      </c>
      <c r="DJ273" s="407">
        <f>Segments!CJ85</f>
        <v>3272.5802445883101</v>
      </c>
      <c r="DK273" s="407">
        <f>Segments!CK85</f>
        <v>2967.8496829457986</v>
      </c>
      <c r="DL273" s="407">
        <f>Segments!CL85</f>
        <v>2666.5419102240926</v>
      </c>
      <c r="DM273" s="407" t="e">
        <f>Segments!#REF!</f>
        <v>#REF!</v>
      </c>
      <c r="DN273" s="207"/>
    </row>
    <row r="274" spans="1:118" hidden="1" outlineLevel="1" x14ac:dyDescent="0.2">
      <c r="A274" s="229" t="s">
        <v>146</v>
      </c>
      <c r="B274" s="207"/>
      <c r="C274" s="407"/>
      <c r="D274" s="407"/>
      <c r="E274" s="407"/>
      <c r="F274" s="407"/>
      <c r="G274" s="407"/>
      <c r="H274" s="407"/>
      <c r="I274" s="407"/>
      <c r="J274" s="407"/>
      <c r="K274" s="407"/>
      <c r="L274" s="407"/>
      <c r="M274" s="407"/>
      <c r="N274" s="407"/>
      <c r="O274" s="407"/>
      <c r="P274" s="407"/>
      <c r="Q274" s="407"/>
      <c r="R274" s="407"/>
      <c r="S274" s="407"/>
      <c r="T274" s="407"/>
      <c r="U274" s="407"/>
      <c r="V274" s="407"/>
      <c r="W274" s="407"/>
      <c r="X274" s="407"/>
      <c r="Y274" s="407"/>
      <c r="Z274" s="407"/>
      <c r="AA274" s="407"/>
      <c r="AB274" s="407">
        <f>Segments!B62</f>
        <v>1099</v>
      </c>
      <c r="AC274" s="407">
        <f>Segments!C62</f>
        <v>1432</v>
      </c>
      <c r="AD274" s="407">
        <f>Segments!D62</f>
        <v>1314</v>
      </c>
      <c r="AE274" s="407">
        <f>Segments!E62</f>
        <v>1066</v>
      </c>
      <c r="AF274" s="407">
        <f>Segments!F62</f>
        <v>4911</v>
      </c>
      <c r="AG274" s="407">
        <f>Segments!G62</f>
        <v>912</v>
      </c>
      <c r="AH274" s="407">
        <f>Segments!H62</f>
        <v>1327</v>
      </c>
      <c r="AI274" s="407">
        <f>Segments!I62</f>
        <v>1292</v>
      </c>
      <c r="AJ274" s="407">
        <f>Segments!J62</f>
        <v>1046</v>
      </c>
      <c r="AK274" s="407">
        <f>Segments!K62</f>
        <v>4577</v>
      </c>
      <c r="AL274" s="407">
        <f>Segments!L62</f>
        <v>968</v>
      </c>
      <c r="AM274" s="407">
        <f>Segments!M62</f>
        <v>1313</v>
      </c>
      <c r="AN274" s="407">
        <f>Segments!N62</f>
        <v>1134</v>
      </c>
      <c r="AO274" s="407">
        <f>Segments!O62</f>
        <v>984</v>
      </c>
      <c r="AP274" s="407">
        <f>Segments!P62</f>
        <v>4447</v>
      </c>
      <c r="AQ274" s="407">
        <f>Segments!Q62</f>
        <v>1123</v>
      </c>
      <c r="AR274" s="407">
        <f>Segments!R62</f>
        <v>1444</v>
      </c>
      <c r="AS274" s="407">
        <f>Segments!S62</f>
        <v>1249</v>
      </c>
      <c r="AT274" s="407">
        <f>Segments!T62</f>
        <v>969</v>
      </c>
      <c r="AU274" s="407">
        <f>Segments!U62</f>
        <v>4785</v>
      </c>
      <c r="AV274" s="407">
        <f>Segments!V62</f>
        <v>980</v>
      </c>
      <c r="AW274" s="407">
        <f>Segments!W62</f>
        <v>1211</v>
      </c>
      <c r="AX274" s="407">
        <f>Segments!X62</f>
        <v>1137</v>
      </c>
      <c r="AY274" s="407">
        <f>Segments!Y62</f>
        <v>980</v>
      </c>
      <c r="AZ274" s="407">
        <f>Segments!Z62</f>
        <v>4308</v>
      </c>
      <c r="BA274" s="407">
        <f>Segments!AA62</f>
        <v>1034</v>
      </c>
      <c r="BB274" s="407">
        <f>Segments!AB62</f>
        <v>1259</v>
      </c>
      <c r="BC274" s="407">
        <f>Segments!AC62</f>
        <v>1107</v>
      </c>
      <c r="BD274" s="407">
        <f>Segments!AD62</f>
        <v>1024</v>
      </c>
      <c r="BE274" s="407">
        <f>Segments!AE62</f>
        <v>4424</v>
      </c>
      <c r="BF274" s="407">
        <f>Segments!AF62</f>
        <v>1072</v>
      </c>
      <c r="BG274" s="407">
        <f>Segments!AG62</f>
        <v>1446</v>
      </c>
      <c r="BH274" s="407">
        <f>Segments!AH62</f>
        <v>1207</v>
      </c>
      <c r="BI274" s="407">
        <f>Segments!AI62</f>
        <v>1052</v>
      </c>
      <c r="BJ274" s="407">
        <f>Segments!AJ62</f>
        <v>4777</v>
      </c>
      <c r="BK274" s="407">
        <f>Segments!AK62</f>
        <v>1054</v>
      </c>
      <c r="BL274" s="407">
        <f>Segments!AL62</f>
        <v>1314</v>
      </c>
      <c r="BM274" s="407">
        <f>Segments!AM62</f>
        <v>1124</v>
      </c>
      <c r="BN274" s="407">
        <f>Segments!AN62</f>
        <v>989</v>
      </c>
      <c r="BO274" s="407">
        <f>Segments!AO62</f>
        <v>4481</v>
      </c>
      <c r="BP274" s="407">
        <f>Segments!AP62</f>
        <v>1020</v>
      </c>
      <c r="BQ274" s="407">
        <f>Segments!AQ62</f>
        <v>1293</v>
      </c>
      <c r="BR274" s="407">
        <f>Segments!AR62</f>
        <v>1232</v>
      </c>
      <c r="BS274" s="407">
        <f>Segments!AS62</f>
        <v>1100</v>
      </c>
      <c r="BT274" s="407">
        <f>Segments!AT62</f>
        <v>4645</v>
      </c>
      <c r="BU274" s="407">
        <f>Segments!AU62</f>
        <v>1134</v>
      </c>
      <c r="BV274" s="407">
        <f>Segments!AV62</f>
        <v>1385</v>
      </c>
      <c r="BW274" s="407">
        <f>Segments!AW62</f>
        <v>1242</v>
      </c>
      <c r="BX274" s="407">
        <f>Segments!AX62</f>
        <v>1083</v>
      </c>
      <c r="BY274" s="407">
        <f>Segments!AY62</f>
        <v>4844</v>
      </c>
      <c r="BZ274" s="407">
        <f>Segments!AZ62</f>
        <v>1068</v>
      </c>
      <c r="CA274" s="407">
        <f>Segments!BA62</f>
        <v>1284</v>
      </c>
      <c r="CB274" s="407">
        <f>Segments!BB62</f>
        <v>1176</v>
      </c>
      <c r="CC274" s="407">
        <f>Segments!BC62</f>
        <v>1015</v>
      </c>
      <c r="CD274" s="407">
        <f>Segments!BD62</f>
        <v>4543</v>
      </c>
      <c r="CE274" s="407">
        <f>Segments!BE62</f>
        <v>1069</v>
      </c>
      <c r="CF274" s="407">
        <f>Segments!BF62</f>
        <v>1298</v>
      </c>
      <c r="CG274" s="407">
        <f>Segments!BG62</f>
        <v>1329.5136320669565</v>
      </c>
      <c r="CH274" s="407">
        <f>Segments!BH62</f>
        <v>1162.4577709704768</v>
      </c>
      <c r="CI274" s="407">
        <f>Segments!BI62</f>
        <v>4858.9714030374325</v>
      </c>
      <c r="CJ274" s="407">
        <f>Segments!BJ62</f>
        <v>1169.7839935339484</v>
      </c>
      <c r="CK274" s="407">
        <f>Segments!BK62</f>
        <v>1369.2387427225392</v>
      </c>
      <c r="CL274" s="407">
        <f>Segments!BL62</f>
        <v>1335.5006662468099</v>
      </c>
      <c r="CM274" s="407">
        <f>Segments!BM62</f>
        <v>1196.2208842407622</v>
      </c>
      <c r="CN274" s="407">
        <f>Segments!BN62</f>
        <v>5070.7442867440595</v>
      </c>
      <c r="CO274" s="407">
        <f>Segments!BO62</f>
        <v>1217.4534440809073</v>
      </c>
      <c r="CP274" s="407">
        <f>Segments!BP62</f>
        <v>1421.1036073757759</v>
      </c>
      <c r="CQ274" s="407">
        <f>Segments!BQ62</f>
        <v>1356.9044971035248</v>
      </c>
      <c r="CR274" s="407">
        <f>Segments!BR62</f>
        <v>1219.6541410862671</v>
      </c>
      <c r="CS274" s="407">
        <f>Segments!BS62</f>
        <v>5215.1156896464754</v>
      </c>
      <c r="CT274" s="407">
        <f>Segments!BT62</f>
        <v>1242.7931340074874</v>
      </c>
      <c r="CU274" s="407">
        <f>Segments!BU62</f>
        <v>1456.6311975601702</v>
      </c>
      <c r="CV274" s="407">
        <f>Segments!BV62</f>
        <v>1390.8271095311129</v>
      </c>
      <c r="CW274" s="407">
        <f>Segments!BW62</f>
        <v>1250.1454946134238</v>
      </c>
      <c r="CX274" s="407">
        <f>Segments!BX62</f>
        <v>5340.3969357121941</v>
      </c>
      <c r="CY274" s="407">
        <f>Segments!BY62</f>
        <v>1273.8629623576746</v>
      </c>
      <c r="CZ274" s="407">
        <f>Segments!BZ62</f>
        <v>1493.0469774991745</v>
      </c>
      <c r="DA274" s="407">
        <f>Segments!CA62</f>
        <v>1425.5977872693907</v>
      </c>
      <c r="DB274" s="407">
        <f>Segments!CB62</f>
        <v>1281.3991319787592</v>
      </c>
      <c r="DC274" s="407">
        <f>Segments!CC62</f>
        <v>5473.9068591049991</v>
      </c>
      <c r="DD274" s="407">
        <f>Segments!CD62</f>
        <v>1305.7095364166164</v>
      </c>
      <c r="DE274" s="407">
        <f>Segments!CE62</f>
        <v>1530.3731519366538</v>
      </c>
      <c r="DF274" s="407">
        <f>Segments!CF62</f>
        <v>1461.2377319511252</v>
      </c>
      <c r="DG274" s="407">
        <f>Segments!CG62</f>
        <v>1313.434110278228</v>
      </c>
      <c r="DH274" s="407">
        <f>Segments!CH62</f>
        <v>5610.7545305826234</v>
      </c>
      <c r="DI274" s="407">
        <f>Segments!CI62</f>
        <v>1338.3522748270316</v>
      </c>
      <c r="DJ274" s="407">
        <f>Segments!CJ62</f>
        <v>1568.63248073507</v>
      </c>
      <c r="DK274" s="407">
        <f>Segments!CK62</f>
        <v>1497.7686752499033</v>
      </c>
      <c r="DL274" s="407">
        <f>Segments!CL62</f>
        <v>1346.2699630351838</v>
      </c>
      <c r="DM274" s="407" t="e">
        <f>Segments!#REF!</f>
        <v>#REF!</v>
      </c>
      <c r="DN274" s="207"/>
    </row>
    <row r="275" spans="1:118" hidden="1" outlineLevel="1" x14ac:dyDescent="0.2">
      <c r="DN275" s="207"/>
    </row>
    <row r="276" spans="1:118" hidden="1" outlineLevel="1" x14ac:dyDescent="0.2">
      <c r="DN276" s="207"/>
    </row>
    <row r="277" spans="1:118" hidden="1" outlineLevel="1" x14ac:dyDescent="0.2">
      <c r="DN277" s="207"/>
    </row>
    <row r="278" spans="1:118" hidden="1" outlineLevel="1" x14ac:dyDescent="0.2">
      <c r="DN278" s="207"/>
    </row>
    <row r="279" spans="1:118" customFormat="1" ht="12.75" hidden="1" outlineLevel="1" x14ac:dyDescent="0.2"/>
    <row r="280" spans="1:118" collapsed="1" x14ac:dyDescent="0.2">
      <c r="G280" s="268"/>
      <c r="L280" s="268"/>
      <c r="Q280" s="268"/>
      <c r="V280" s="268"/>
      <c r="AA280" s="268"/>
      <c r="AF280" s="268"/>
      <c r="AK280" s="268"/>
      <c r="AP280" s="268"/>
      <c r="AU280" s="268"/>
      <c r="AZ280" s="268"/>
      <c r="BA280" s="268"/>
      <c r="BB280" s="268"/>
      <c r="BC280" s="268"/>
      <c r="BD280" s="268"/>
      <c r="BE280" s="268"/>
      <c r="BF280" s="268"/>
      <c r="BG280" s="268"/>
      <c r="BH280" s="268"/>
      <c r="BI280" s="268"/>
      <c r="BJ280" s="268"/>
      <c r="BK280" s="268"/>
      <c r="BL280" s="268"/>
      <c r="BM280" s="268"/>
      <c r="BN280" s="268"/>
      <c r="BO280" s="268"/>
      <c r="BP280" s="268"/>
      <c r="BQ280" s="268"/>
      <c r="BR280" s="268"/>
      <c r="BS280" s="268"/>
      <c r="BT280" s="268"/>
      <c r="BU280" s="268"/>
      <c r="BV280" s="268"/>
      <c r="BW280" s="268"/>
      <c r="BX280" s="268"/>
      <c r="BY280" s="268"/>
      <c r="BZ280" s="268"/>
      <c r="CA280" s="268"/>
      <c r="CB280" s="268"/>
      <c r="CC280" s="268"/>
      <c r="CD280" s="268"/>
      <c r="CE280" s="268"/>
      <c r="CF280" s="268"/>
      <c r="CG280" s="268"/>
      <c r="CH280" s="268"/>
      <c r="CI280" s="268"/>
      <c r="CJ280" s="268"/>
      <c r="CK280" s="268"/>
      <c r="CL280" s="268"/>
      <c r="CM280" s="268"/>
      <c r="CN280" s="268"/>
      <c r="CO280" s="268"/>
      <c r="CP280" s="268"/>
      <c r="CQ280" s="268"/>
      <c r="CR280" s="268"/>
      <c r="CS280" s="268"/>
      <c r="CT280" s="268"/>
      <c r="CU280" s="268"/>
      <c r="CV280" s="268"/>
      <c r="CW280" s="268"/>
      <c r="CX280" s="268"/>
      <c r="CY280" s="268"/>
      <c r="CZ280" s="268"/>
      <c r="DA280" s="268"/>
      <c r="DB280" s="268"/>
      <c r="DC280" s="268"/>
      <c r="DD280" s="268"/>
      <c r="DE280" s="268"/>
      <c r="DF280" s="268"/>
      <c r="DG280" s="268"/>
      <c r="DH280" s="268"/>
      <c r="DI280" s="268"/>
      <c r="DJ280" s="268"/>
      <c r="DK280" s="268"/>
      <c r="DL280" s="268"/>
      <c r="DM280" s="268"/>
      <c r="DN280" s="207"/>
    </row>
    <row r="281" spans="1:118" x14ac:dyDescent="0.2">
      <c r="G281" s="268"/>
      <c r="L281" s="268"/>
      <c r="Q281" s="268"/>
      <c r="V281" s="268"/>
      <c r="AA281" s="268"/>
      <c r="AF281" s="268"/>
      <c r="AK281" s="268"/>
      <c r="AP281" s="268"/>
      <c r="AU281" s="268"/>
      <c r="AZ281" s="268"/>
      <c r="BA281" s="268"/>
      <c r="BB281" s="268"/>
      <c r="BC281" s="268"/>
      <c r="BD281" s="268"/>
      <c r="BE281" s="268"/>
      <c r="BF281" s="268"/>
      <c r="BG281" s="268"/>
      <c r="BH281" s="268"/>
      <c r="BI281" s="268"/>
      <c r="BJ281" s="268"/>
      <c r="BK281" s="268"/>
      <c r="BL281" s="268"/>
      <c r="BM281" s="268"/>
      <c r="BN281" s="268"/>
      <c r="BO281" s="268"/>
      <c r="BP281" s="268"/>
      <c r="BQ281" s="268"/>
      <c r="BR281" s="268"/>
      <c r="BS281" s="268"/>
      <c r="BT281" s="268"/>
      <c r="BU281" s="268"/>
      <c r="BV281" s="268"/>
      <c r="BW281" s="268"/>
      <c r="BX281" s="268"/>
      <c r="BY281" s="268"/>
      <c r="BZ281" s="268"/>
      <c r="CA281" s="268"/>
      <c r="CB281" s="268"/>
      <c r="CC281" s="268"/>
      <c r="CD281" s="268"/>
      <c r="CE281" s="268"/>
      <c r="CF281" s="268"/>
      <c r="CG281" s="268"/>
      <c r="CH281" s="268"/>
      <c r="CI281" s="268"/>
      <c r="CJ281" s="268"/>
      <c r="CK281" s="268"/>
      <c r="CL281" s="268"/>
      <c r="CM281" s="268"/>
      <c r="CN281" s="268"/>
      <c r="CO281" s="268"/>
      <c r="CP281" s="268"/>
      <c r="CQ281" s="268"/>
      <c r="CR281" s="268"/>
      <c r="CS281" s="268"/>
      <c r="CT281" s="268"/>
      <c r="CU281" s="268"/>
      <c r="CV281" s="268"/>
      <c r="CW281" s="268"/>
      <c r="CX281" s="268"/>
      <c r="CY281" s="268"/>
      <c r="CZ281" s="268"/>
      <c r="DA281" s="268"/>
      <c r="DB281" s="268"/>
      <c r="DC281" s="268"/>
      <c r="DD281" s="268"/>
      <c r="DE281" s="268"/>
      <c r="DF281" s="268"/>
      <c r="DG281" s="268"/>
      <c r="DH281" s="268"/>
      <c r="DI281" s="268"/>
      <c r="DJ281" s="268"/>
      <c r="DK281" s="268"/>
      <c r="DL281" s="268"/>
      <c r="DM281" s="268"/>
      <c r="DN281" s="207"/>
    </row>
    <row r="282" spans="1:118" x14ac:dyDescent="0.2">
      <c r="DN282" s="207"/>
    </row>
    <row r="283" spans="1:118" x14ac:dyDescent="0.2">
      <c r="DN283" s="207"/>
    </row>
    <row r="284" spans="1:118" hidden="1" outlineLevel="1" x14ac:dyDescent="0.2">
      <c r="B284" s="18" t="s">
        <v>175</v>
      </c>
      <c r="C284" s="408"/>
      <c r="D284" s="408"/>
      <c r="E284" s="408"/>
      <c r="F284" s="408"/>
      <c r="G284" s="408"/>
      <c r="H284" s="408"/>
      <c r="I284" s="408"/>
      <c r="J284" s="408"/>
      <c r="K284" s="408"/>
      <c r="L284" s="408">
        <f>(L130-L115-L114-L116)-L137-L134</f>
        <v>16021</v>
      </c>
      <c r="M284" s="408"/>
      <c r="N284" s="408"/>
      <c r="O284" s="408"/>
      <c r="P284" s="408"/>
      <c r="Q284" s="408">
        <f>(Q130-Q115-Q114-Q116)-Q137-Q134</f>
        <v>17594</v>
      </c>
      <c r="R284" s="408"/>
      <c r="S284" s="408"/>
      <c r="T284" s="408"/>
      <c r="U284" s="408"/>
      <c r="V284" s="408">
        <f>(V130-V115-V114-V116)-V137-V134</f>
        <v>19000</v>
      </c>
      <c r="W284" s="408"/>
      <c r="X284" s="408"/>
      <c r="Y284" s="408"/>
      <c r="Z284" s="408"/>
      <c r="AA284" s="408">
        <f>(AA130-AA115-AA114-AA116)-AA137-AA134</f>
        <v>19670</v>
      </c>
      <c r="AB284" s="408"/>
      <c r="AC284" s="408"/>
      <c r="AD284" s="408"/>
      <c r="AE284" s="408"/>
      <c r="AF284" s="408">
        <f>(AF130-AF115-AF114-AF116)-AF137-AF134</f>
        <v>19436</v>
      </c>
      <c r="AG284" s="408"/>
      <c r="AH284" s="408"/>
      <c r="AI284" s="408"/>
      <c r="AJ284" s="408"/>
      <c r="AK284" s="408">
        <f>(AK130-AK115-AK114-AK116)-AK137-AK134</f>
        <v>21901</v>
      </c>
      <c r="AL284" s="408"/>
      <c r="AM284" s="408"/>
      <c r="AN284" s="408"/>
      <c r="AO284" s="408"/>
      <c r="AP284" s="408">
        <f>(AP130-AP115-AP114-AP116)-AP137-AP134</f>
        <v>32003</v>
      </c>
      <c r="AQ284" s="408"/>
      <c r="AR284" s="408"/>
      <c r="AS284" s="408"/>
      <c r="AT284" s="408"/>
      <c r="AU284" s="408">
        <f>(AU130-AU115-AU114-AU116)-AU137-AU134</f>
        <v>29361</v>
      </c>
      <c r="AV284" s="408"/>
      <c r="AW284" s="408"/>
      <c r="AX284" s="408"/>
      <c r="AY284" s="408"/>
      <c r="AZ284" s="408">
        <f>(AZ130-AZ115-AZ114-AZ116)-AZ137-AZ134</f>
        <v>32599</v>
      </c>
      <c r="BA284" s="343"/>
      <c r="BB284" s="343"/>
      <c r="BC284" s="343"/>
      <c r="BD284" s="343"/>
      <c r="BE284" s="343">
        <f>(BE130-BE115-BE114-BE116)-BE137-BE134</f>
        <v>52590</v>
      </c>
      <c r="BF284" s="343"/>
      <c r="BG284" s="343"/>
      <c r="BH284" s="343"/>
      <c r="BI284" s="343"/>
      <c r="BJ284" s="343">
        <f>(BJ130-BJ115-BJ114-BJ116)-BJ137-BJ134</f>
        <v>56712</v>
      </c>
      <c r="BK284" s="343"/>
      <c r="BL284" s="343"/>
      <c r="BM284" s="343"/>
      <c r="BN284" s="343"/>
      <c r="BO284" s="343">
        <f>(BO130-BO115-BO114-BO116)-BO137-BO134</f>
        <v>62768</v>
      </c>
      <c r="BP284" s="343"/>
      <c r="BQ284" s="343"/>
      <c r="BR284" s="343"/>
      <c r="BS284" s="343"/>
      <c r="BT284" s="343">
        <f>(BT130-BT115-BT114-BT116)-BT137-BT134</f>
        <v>63048</v>
      </c>
      <c r="BU284" s="343"/>
      <c r="BV284" s="343"/>
      <c r="BW284" s="343"/>
      <c r="BX284" s="343"/>
      <c r="BY284" s="343">
        <f>(BY130-BY115-BY114-BY116)-BY137-BY134</f>
        <v>64321</v>
      </c>
      <c r="BZ284" s="343"/>
      <c r="CA284" s="343"/>
      <c r="CB284" s="343"/>
      <c r="CC284" s="343"/>
      <c r="CD284" s="343">
        <f>(CD130-CD115-CD114-CD116)-CD137-CD134</f>
        <v>63338</v>
      </c>
      <c r="CE284" s="343"/>
      <c r="CF284" s="343"/>
      <c r="CG284" s="343"/>
      <c r="CH284" s="343"/>
      <c r="CI284" s="343">
        <f>(CI130-CI115-CI114-CI116)-CI137-CI134</f>
        <v>58613</v>
      </c>
      <c r="CJ284" s="343"/>
      <c r="CK284" s="343"/>
      <c r="CL284" s="343"/>
      <c r="CM284" s="343"/>
      <c r="CN284" s="343">
        <f>(CN130-CN115-CN114-CN116)-CN137-CN134</f>
        <v>61847</v>
      </c>
      <c r="CO284" s="343"/>
      <c r="CP284" s="343"/>
      <c r="CQ284" s="343"/>
      <c r="CR284" s="343"/>
      <c r="CS284" s="343">
        <f ca="1">(CS130-CS115-CS114-CS116)-CS137-CS134</f>
        <v>62757.401056111084</v>
      </c>
      <c r="CT284" s="343"/>
      <c r="CU284" s="343"/>
      <c r="CV284" s="343"/>
      <c r="CW284" s="343"/>
      <c r="CX284" s="343">
        <f ca="1">(CX130-CX115-CX114-CX116)-CX137-CX134</f>
        <v>64504.894312303222</v>
      </c>
      <c r="CY284" s="343"/>
      <c r="CZ284" s="343"/>
      <c r="DA284" s="343"/>
      <c r="DB284" s="343"/>
      <c r="DC284" s="343">
        <f ca="1">(DC130-DC115-DC114-DC116)-DC137-DC134</f>
        <v>66333.864096834004</v>
      </c>
      <c r="DD284" s="343"/>
      <c r="DE284" s="343"/>
      <c r="DF284" s="343"/>
      <c r="DG284" s="343"/>
      <c r="DH284" s="343"/>
      <c r="DI284" s="343"/>
      <c r="DJ284" s="343"/>
      <c r="DK284" s="343"/>
      <c r="DL284" s="343"/>
      <c r="DM284" s="343"/>
      <c r="DN284" s="207"/>
    </row>
    <row r="285" spans="1:118" hidden="1" outlineLevel="1" x14ac:dyDescent="0.2">
      <c r="B285" s="223" t="s">
        <v>124</v>
      </c>
      <c r="C285" s="408"/>
      <c r="D285" s="408"/>
      <c r="E285" s="408"/>
      <c r="F285" s="408"/>
      <c r="G285" s="343"/>
      <c r="H285" s="408"/>
      <c r="I285" s="408"/>
      <c r="J285" s="408"/>
      <c r="K285" s="408"/>
      <c r="L285" s="343"/>
      <c r="M285" s="408"/>
      <c r="N285" s="408"/>
      <c r="O285" s="408"/>
      <c r="P285" s="408"/>
      <c r="Q285" s="343">
        <f>Q239</f>
        <v>5842</v>
      </c>
      <c r="R285" s="408"/>
      <c r="S285" s="408"/>
      <c r="T285" s="408"/>
      <c r="U285" s="408"/>
      <c r="V285" s="343">
        <f>V239</f>
        <v>6032</v>
      </c>
      <c r="W285" s="408"/>
      <c r="X285" s="408"/>
      <c r="Y285" s="408"/>
      <c r="Z285" s="408"/>
      <c r="AA285" s="343">
        <f>AA239</f>
        <v>6743</v>
      </c>
      <c r="AB285" s="408"/>
      <c r="AC285" s="408"/>
      <c r="AD285" s="408"/>
      <c r="AE285" s="408"/>
      <c r="AF285" s="343">
        <f>AF239</f>
        <v>6885</v>
      </c>
      <c r="AG285" s="408"/>
      <c r="AH285" s="408"/>
      <c r="AI285" s="408"/>
      <c r="AJ285" s="408"/>
      <c r="AK285" s="343">
        <f>AK239</f>
        <v>7305</v>
      </c>
      <c r="AL285" s="408"/>
      <c r="AM285" s="408"/>
      <c r="AN285" s="408"/>
      <c r="AO285" s="408"/>
      <c r="AP285" s="343">
        <f>AP239</f>
        <v>8337</v>
      </c>
      <c r="AQ285" s="408"/>
      <c r="AR285" s="408"/>
      <c r="AS285" s="408"/>
      <c r="AT285" s="408"/>
      <c r="AU285" s="343">
        <f>AU239</f>
        <v>9601</v>
      </c>
      <c r="AV285" s="408"/>
      <c r="AW285" s="408"/>
      <c r="AX285" s="408"/>
      <c r="AY285" s="408"/>
      <c r="AZ285" s="343">
        <f>AZ239</f>
        <v>8544</v>
      </c>
      <c r="BA285" s="343"/>
      <c r="BB285" s="343"/>
      <c r="BC285" s="343"/>
      <c r="BD285" s="343"/>
      <c r="BE285" s="343">
        <f>BE239</f>
        <v>9579</v>
      </c>
      <c r="BF285" s="343"/>
      <c r="BG285" s="343"/>
      <c r="BH285" s="343"/>
      <c r="BI285" s="343"/>
      <c r="BJ285" s="343">
        <f>BJ239</f>
        <v>11050</v>
      </c>
      <c r="BK285" s="343"/>
      <c r="BL285" s="343"/>
      <c r="BM285" s="343"/>
      <c r="BN285" s="343"/>
      <c r="BO285" s="343">
        <f>BO239</f>
        <v>11250</v>
      </c>
      <c r="BP285" s="343"/>
      <c r="BQ285" s="343"/>
      <c r="BR285" s="343"/>
      <c r="BS285" s="343"/>
      <c r="BT285" s="343">
        <f>BT239</f>
        <v>11260</v>
      </c>
      <c r="BU285" s="343"/>
      <c r="BV285" s="343"/>
      <c r="BW285" s="343"/>
      <c r="BX285" s="343"/>
      <c r="BY285" s="343">
        <f>BY239</f>
        <v>10954</v>
      </c>
      <c r="BZ285" s="343"/>
      <c r="CA285" s="343"/>
      <c r="CB285" s="343"/>
      <c r="CC285" s="343"/>
      <c r="CD285" s="343">
        <f>CD239</f>
        <v>10373</v>
      </c>
      <c r="CE285" s="343"/>
      <c r="CF285" s="343"/>
      <c r="CG285" s="343"/>
      <c r="CH285" s="343"/>
      <c r="CI285" s="343">
        <f>CI239</f>
        <v>9958</v>
      </c>
      <c r="CJ285" s="343"/>
      <c r="CK285" s="343"/>
      <c r="CL285" s="343"/>
      <c r="CM285" s="343"/>
      <c r="CN285" s="343">
        <f>CN239</f>
        <v>9540</v>
      </c>
      <c r="CO285" s="343"/>
      <c r="CP285" s="343"/>
      <c r="CQ285" s="343"/>
      <c r="CR285" s="343"/>
      <c r="CS285" s="343">
        <f>CS239</f>
        <v>10036.712416296035</v>
      </c>
      <c r="CT285" s="343"/>
      <c r="CU285" s="343"/>
      <c r="CV285" s="343"/>
      <c r="CW285" s="343"/>
      <c r="CX285" s="343">
        <f>CX239</f>
        <v>10767.304867251882</v>
      </c>
      <c r="CY285" s="343"/>
      <c r="CZ285" s="343"/>
      <c r="DA285" s="343"/>
      <c r="DB285" s="343"/>
      <c r="DC285" s="343">
        <f>DC239</f>
        <v>11549.730363612885</v>
      </c>
      <c r="DD285" s="343"/>
      <c r="DE285" s="343"/>
      <c r="DF285" s="343"/>
      <c r="DG285" s="343"/>
      <c r="DH285" s="343"/>
      <c r="DI285" s="343"/>
      <c r="DJ285" s="343"/>
      <c r="DK285" s="343"/>
      <c r="DL285" s="343"/>
      <c r="DM285" s="343"/>
      <c r="DN285" s="207"/>
    </row>
    <row r="286" spans="1:118" hidden="1" outlineLevel="1" x14ac:dyDescent="0.2">
      <c r="B286" s="223" t="s">
        <v>176</v>
      </c>
      <c r="C286" s="268"/>
      <c r="D286" s="268"/>
      <c r="E286" s="268"/>
      <c r="F286" s="268"/>
      <c r="G286" s="268"/>
      <c r="H286" s="268"/>
      <c r="I286" s="268"/>
      <c r="J286" s="268"/>
      <c r="K286" s="268"/>
      <c r="L286" s="268"/>
      <c r="M286" s="268"/>
      <c r="N286" s="268"/>
      <c r="O286" s="268"/>
      <c r="P286" s="268"/>
      <c r="Q286" s="268">
        <f>Q71</f>
        <v>0.26988675593914047</v>
      </c>
      <c r="R286" s="268"/>
      <c r="S286" s="268"/>
      <c r="T286" s="268"/>
      <c r="U286" s="268"/>
      <c r="V286" s="268">
        <f>V71</f>
        <v>0.223647827562797</v>
      </c>
      <c r="W286" s="268"/>
      <c r="X286" s="268"/>
      <c r="Y286" s="268"/>
      <c r="Z286" s="268"/>
      <c r="AA286" s="268">
        <f>AA71</f>
        <v>0.24663945937783149</v>
      </c>
      <c r="AB286" s="268"/>
      <c r="AC286" s="268"/>
      <c r="AD286" s="268"/>
      <c r="AE286" s="268"/>
      <c r="AF286" s="268">
        <f>AF71</f>
        <v>0.2375342566671578</v>
      </c>
      <c r="AG286" s="268"/>
      <c r="AH286" s="268"/>
      <c r="AI286" s="268"/>
      <c r="AJ286" s="268"/>
      <c r="AK286" s="268">
        <f>AK71</f>
        <v>0.22366550522648082</v>
      </c>
      <c r="AL286" s="268"/>
      <c r="AM286" s="268"/>
      <c r="AN286" s="268"/>
      <c r="AO286" s="268"/>
      <c r="AP286" s="268">
        <f>AP71</f>
        <v>0.22001736326429369</v>
      </c>
      <c r="AQ286" s="268"/>
      <c r="AR286" s="268"/>
      <c r="AS286" s="268"/>
      <c r="AT286" s="268"/>
      <c r="AU286" s="268">
        <f>AU71</f>
        <v>0.21976041556238737</v>
      </c>
      <c r="AV286" s="268"/>
      <c r="AW286" s="268"/>
      <c r="AX286" s="268"/>
      <c r="AY286" s="268"/>
      <c r="AZ286" s="268">
        <f>AZ71</f>
        <v>0.23252572898799315</v>
      </c>
      <c r="BA286" s="268"/>
      <c r="BB286" s="268"/>
      <c r="BC286" s="268"/>
      <c r="BD286" s="268"/>
      <c r="BE286" s="268">
        <f>BE71</f>
        <v>0.22700254741013304</v>
      </c>
      <c r="BF286" s="268"/>
      <c r="BG286" s="268"/>
      <c r="BH286" s="268"/>
      <c r="BI286" s="268"/>
      <c r="BJ286" s="268">
        <f>BJ71</f>
        <v>0.23902191386750149</v>
      </c>
      <c r="BK286" s="268"/>
      <c r="BL286" s="268"/>
      <c r="BM286" s="268"/>
      <c r="BN286" s="268"/>
      <c r="BO286" s="268">
        <f>BO71</f>
        <v>0.23999345174756487</v>
      </c>
      <c r="BP286" s="268"/>
      <c r="BQ286" s="268"/>
      <c r="BR286" s="268"/>
      <c r="BS286" s="268"/>
      <c r="BT286" s="268">
        <f>BT71</f>
        <v>0.23002698503557117</v>
      </c>
      <c r="BU286" s="268"/>
      <c r="BV286" s="268"/>
      <c r="BW286" s="268"/>
      <c r="BX286" s="268"/>
      <c r="BY286" s="268">
        <f>BY71</f>
        <v>0.22494261667941851</v>
      </c>
      <c r="BZ286" s="268"/>
      <c r="CA286" s="268"/>
      <c r="CB286" s="268"/>
      <c r="CC286" s="268"/>
      <c r="CD286" s="268">
        <f>CD71</f>
        <v>0.22497801231310466</v>
      </c>
      <c r="CE286" s="268"/>
      <c r="CF286" s="268"/>
      <c r="CG286" s="268"/>
      <c r="CH286" s="268"/>
      <c r="CI286" s="268">
        <f>CI71</f>
        <v>0.22499768711259135</v>
      </c>
      <c r="CJ286" s="268"/>
      <c r="CK286" s="268"/>
      <c r="CL286" s="268"/>
      <c r="CM286" s="268"/>
      <c r="CN286" s="268">
        <f>CN71</f>
        <v>0.2400587749104601</v>
      </c>
      <c r="CO286" s="268"/>
      <c r="CP286" s="268"/>
      <c r="CQ286" s="268"/>
      <c r="CR286" s="268"/>
      <c r="CS286" s="268">
        <f>CS71</f>
        <v>0.21</v>
      </c>
      <c r="CT286" s="268"/>
      <c r="CU286" s="268"/>
      <c r="CV286" s="268"/>
      <c r="CW286" s="268"/>
      <c r="CX286" s="268">
        <f>CX71</f>
        <v>0.21</v>
      </c>
      <c r="CY286" s="268"/>
      <c r="CZ286" s="268"/>
      <c r="DA286" s="268"/>
      <c r="DB286" s="268"/>
      <c r="DC286" s="268">
        <f>DC71</f>
        <v>0.21</v>
      </c>
      <c r="DD286" s="268"/>
      <c r="DE286" s="268"/>
      <c r="DF286" s="268"/>
      <c r="DG286" s="268"/>
      <c r="DH286" s="268"/>
      <c r="DI286" s="268"/>
      <c r="DJ286" s="268"/>
      <c r="DK286" s="268"/>
      <c r="DL286" s="268"/>
      <c r="DM286" s="268"/>
      <c r="DN286" s="207"/>
    </row>
    <row r="287" spans="1:118" hidden="1" outlineLevel="1" x14ac:dyDescent="0.2">
      <c r="B287" s="223" t="s">
        <v>125</v>
      </c>
      <c r="C287" s="408"/>
      <c r="D287" s="408"/>
      <c r="E287" s="408"/>
      <c r="F287" s="408"/>
      <c r="G287" s="408"/>
      <c r="H287" s="408"/>
      <c r="I287" s="408"/>
      <c r="J287" s="408"/>
      <c r="K287" s="408"/>
      <c r="L287" s="408"/>
      <c r="M287" s="408"/>
      <c r="N287" s="408"/>
      <c r="O287" s="408"/>
      <c r="P287" s="408"/>
      <c r="Q287" s="408">
        <f>Q285*(1-Q286)</f>
        <v>4265.3215718035417</v>
      </c>
      <c r="R287" s="408"/>
      <c r="S287" s="408"/>
      <c r="T287" s="408"/>
      <c r="U287" s="408"/>
      <c r="V287" s="408">
        <f>V285*(1-V286)</f>
        <v>4682.9563041412084</v>
      </c>
      <c r="W287" s="408"/>
      <c r="X287" s="408"/>
      <c r="Y287" s="408"/>
      <c r="Z287" s="408"/>
      <c r="AA287" s="408">
        <f>AA285*(1-AA286)</f>
        <v>5079.910125415282</v>
      </c>
      <c r="AB287" s="408"/>
      <c r="AC287" s="408"/>
      <c r="AD287" s="408"/>
      <c r="AE287" s="408"/>
      <c r="AF287" s="408">
        <f>AF285*(1-AF286)</f>
        <v>5249.5766428466186</v>
      </c>
      <c r="AG287" s="408"/>
      <c r="AH287" s="408"/>
      <c r="AI287" s="408"/>
      <c r="AJ287" s="408"/>
      <c r="AK287" s="408">
        <f>AK285*(1-AK286)</f>
        <v>5671.1234843205575</v>
      </c>
      <c r="AL287" s="408"/>
      <c r="AM287" s="408"/>
      <c r="AN287" s="408"/>
      <c r="AO287" s="408"/>
      <c r="AP287" s="408">
        <f>AP285*(1-AP286)</f>
        <v>6502.7152424655833</v>
      </c>
      <c r="AQ287" s="408"/>
      <c r="AR287" s="408"/>
      <c r="AS287" s="408"/>
      <c r="AT287" s="408"/>
      <c r="AU287" s="408">
        <f>AU285*(1-AU286)</f>
        <v>7491.0802501855187</v>
      </c>
      <c r="AV287" s="408"/>
      <c r="AW287" s="408"/>
      <c r="AX287" s="408"/>
      <c r="AY287" s="408"/>
      <c r="AZ287" s="408">
        <f>AZ285*(1-AZ286)</f>
        <v>6557.3001715265864</v>
      </c>
      <c r="BA287" s="343"/>
      <c r="BB287" s="343"/>
      <c r="BC287" s="343"/>
      <c r="BD287" s="343"/>
      <c r="BE287" s="343">
        <f>BE285*(1-BE286)</f>
        <v>7404.5425983583355</v>
      </c>
      <c r="BF287" s="343"/>
      <c r="BG287" s="343"/>
      <c r="BH287" s="343"/>
      <c r="BI287" s="343"/>
      <c r="BJ287" s="343">
        <f>BJ285*(1-BJ286)</f>
        <v>8408.8078517641079</v>
      </c>
      <c r="BK287" s="343"/>
      <c r="BL287" s="343"/>
      <c r="BM287" s="343"/>
      <c r="BN287" s="343"/>
      <c r="BO287" s="343">
        <f>BO285*(1-BO286)</f>
        <v>8550.0736678398953</v>
      </c>
      <c r="BP287" s="343"/>
      <c r="BQ287" s="343"/>
      <c r="BR287" s="343"/>
      <c r="BS287" s="343"/>
      <c r="BT287" s="343">
        <f>BT285*(1-BT286)</f>
        <v>8669.8961484994688</v>
      </c>
      <c r="BU287" s="343"/>
      <c r="BV287" s="343"/>
      <c r="BW287" s="343"/>
      <c r="BX287" s="343"/>
      <c r="BY287" s="343">
        <f>BY285*(1-BY286)</f>
        <v>8489.978576893649</v>
      </c>
      <c r="BZ287" s="343"/>
      <c r="CA287" s="343"/>
      <c r="CB287" s="343"/>
      <c r="CC287" s="343"/>
      <c r="CD287" s="343">
        <f>CD285*(1-CD286)</f>
        <v>8039.3030782761653</v>
      </c>
      <c r="CE287" s="343"/>
      <c r="CF287" s="343"/>
      <c r="CG287" s="343"/>
      <c r="CH287" s="343"/>
      <c r="CI287" s="343">
        <f>CI285*(1-CI286)</f>
        <v>7717.4730317328149</v>
      </c>
      <c r="CJ287" s="343"/>
      <c r="CK287" s="343"/>
      <c r="CL287" s="343"/>
      <c r="CM287" s="343"/>
      <c r="CN287" s="343">
        <f>CN285*(1-CN286)</f>
        <v>7249.8392873542107</v>
      </c>
      <c r="CO287" s="343"/>
      <c r="CP287" s="343"/>
      <c r="CQ287" s="343"/>
      <c r="CR287" s="343"/>
      <c r="CS287" s="343">
        <f>CS285*(1-CS286)</f>
        <v>7929.0028088738682</v>
      </c>
      <c r="CT287" s="343"/>
      <c r="CU287" s="343"/>
      <c r="CV287" s="343"/>
      <c r="CW287" s="343"/>
      <c r="CX287" s="343">
        <f>CX285*(1-CX286)</f>
        <v>8506.1708451289869</v>
      </c>
      <c r="CY287" s="343"/>
      <c r="CZ287" s="343"/>
      <c r="DA287" s="343"/>
      <c r="DB287" s="343"/>
      <c r="DC287" s="343">
        <f>DC285*(1-DC286)</f>
        <v>9124.2869872541796</v>
      </c>
      <c r="DD287" s="343"/>
      <c r="DE287" s="343"/>
      <c r="DF287" s="343"/>
      <c r="DG287" s="343"/>
      <c r="DH287" s="343"/>
      <c r="DI287" s="343"/>
      <c r="DJ287" s="343"/>
      <c r="DK287" s="343"/>
      <c r="DL287" s="343"/>
      <c r="DM287" s="343"/>
      <c r="DN287" s="207"/>
    </row>
    <row r="288" spans="1:118" hidden="1" outlineLevel="1" x14ac:dyDescent="0.2">
      <c r="B288" s="223" t="s">
        <v>123</v>
      </c>
      <c r="C288" s="232"/>
      <c r="D288" s="232"/>
      <c r="E288" s="232"/>
      <c r="F288" s="232"/>
      <c r="G288" s="232"/>
      <c r="H288" s="232"/>
      <c r="I288" s="232"/>
      <c r="J288" s="232"/>
      <c r="K288" s="232"/>
      <c r="L288" s="232"/>
      <c r="M288" s="232"/>
      <c r="N288" s="232"/>
      <c r="O288" s="232"/>
      <c r="P288" s="232"/>
      <c r="Q288" s="232">
        <f>Q287/AVERAGE(L284,Q284)</f>
        <v>0.25377489643335072</v>
      </c>
      <c r="R288" s="232"/>
      <c r="S288" s="232"/>
      <c r="T288" s="232"/>
      <c r="U288" s="232"/>
      <c r="V288" s="232">
        <f>V287/AVERAGE(Q284,V284)</f>
        <v>0.25594120916768914</v>
      </c>
      <c r="W288" s="232"/>
      <c r="X288" s="232"/>
      <c r="Y288" s="232"/>
      <c r="Z288" s="232"/>
      <c r="AA288" s="232">
        <f>AA287/AVERAGE(V284,AA284)</f>
        <v>0.26273132275227734</v>
      </c>
      <c r="AB288" s="232"/>
      <c r="AC288" s="232"/>
      <c r="AD288" s="232"/>
      <c r="AE288" s="232"/>
      <c r="AF288" s="232">
        <f>AF287/AVERAGE(AA284,AF284)</f>
        <v>0.26847934551458186</v>
      </c>
      <c r="AG288" s="232"/>
      <c r="AH288" s="232"/>
      <c r="AI288" s="232"/>
      <c r="AJ288" s="232"/>
      <c r="AK288" s="232">
        <f>AK287/AVERAGE(AF284,AK284)</f>
        <v>0.27438486026177794</v>
      </c>
      <c r="AL288" s="232"/>
      <c r="AM288" s="232"/>
      <c r="AN288" s="232"/>
      <c r="AO288" s="232"/>
      <c r="AP288" s="232">
        <f>AP287/AVERAGE(AK284,AP284)</f>
        <v>0.24127023013006765</v>
      </c>
      <c r="AQ288" s="232"/>
      <c r="AR288" s="232"/>
      <c r="AS288" s="232"/>
      <c r="AT288" s="232"/>
      <c r="AU288" s="232">
        <f>AU287/AVERAGE(AP284,AU284)</f>
        <v>0.2441522798443882</v>
      </c>
      <c r="AV288" s="232"/>
      <c r="AW288" s="232"/>
      <c r="AX288" s="232"/>
      <c r="AY288" s="232"/>
      <c r="AZ288" s="232">
        <f>AZ287/AVERAGE(AU284,AZ284)</f>
        <v>0.21166236835140692</v>
      </c>
      <c r="BA288" s="232"/>
      <c r="BB288" s="232"/>
      <c r="BC288" s="232"/>
      <c r="BD288" s="232"/>
      <c r="BE288" s="232">
        <f>BE287/AVERAGE(AZ284,BE284)</f>
        <v>0.17383799782503223</v>
      </c>
      <c r="BF288" s="232"/>
      <c r="BG288" s="232"/>
      <c r="BH288" s="232"/>
      <c r="BI288" s="232"/>
      <c r="BJ288" s="232">
        <f>BJ287/AVERAGE(BE284,BJ284)</f>
        <v>0.15386375092430346</v>
      </c>
      <c r="BK288" s="232"/>
      <c r="BL288" s="232"/>
      <c r="BM288" s="232"/>
      <c r="BN288" s="232"/>
      <c r="BO288" s="232">
        <f>BO287/AVERAGE(BJ284,BO284)</f>
        <v>0.14312142062001834</v>
      </c>
      <c r="BP288" s="232"/>
      <c r="BQ288" s="232"/>
      <c r="BR288" s="232"/>
      <c r="BS288" s="232"/>
      <c r="BT288" s="232">
        <f>BT287/AVERAGE(BO284,BT284)</f>
        <v>0.13781865817542235</v>
      </c>
      <c r="BU288" s="232"/>
      <c r="BV288" s="232"/>
      <c r="BW288" s="232"/>
      <c r="BX288" s="232"/>
      <c r="BY288" s="232">
        <f>BY287/AVERAGE(BT284,BY284)</f>
        <v>0.13331310722222281</v>
      </c>
      <c r="BZ288" s="232"/>
      <c r="CA288" s="232"/>
      <c r="CB288" s="232"/>
      <c r="CC288" s="232"/>
      <c r="CD288" s="232">
        <f>CD287/AVERAGE(BY284,CD284)</f>
        <v>0.12594964833307742</v>
      </c>
      <c r="CE288" s="232"/>
      <c r="CF288" s="232"/>
      <c r="CG288" s="232"/>
      <c r="CH288" s="232"/>
      <c r="CI288" s="232">
        <f>CI287/AVERAGE(CD284,CI284)</f>
        <v>0.12656678554063214</v>
      </c>
      <c r="CJ288" s="232"/>
      <c r="CK288" s="232"/>
      <c r="CL288" s="232"/>
      <c r="CM288" s="232"/>
      <c r="CN288" s="232">
        <f>CN287/AVERAGE(CI284,CN284)</f>
        <v>0.12036923937164554</v>
      </c>
      <c r="CO288" s="232"/>
      <c r="CP288" s="232"/>
      <c r="CQ288" s="232"/>
      <c r="CR288" s="232"/>
      <c r="CS288" s="232">
        <f ca="1">CS287/AVERAGE(CN284,CS284)</f>
        <v>0.12726681789198324</v>
      </c>
      <c r="CT288" s="232"/>
      <c r="CU288" s="232"/>
      <c r="CV288" s="232"/>
      <c r="CW288" s="232"/>
      <c r="CX288" s="232">
        <f ca="1">CX287/AVERAGE(CS284,CX284)</f>
        <v>0.13367935601828165</v>
      </c>
      <c r="CY288" s="232"/>
      <c r="CZ288" s="232"/>
      <c r="DA288" s="232"/>
      <c r="DB288" s="232"/>
      <c r="DC288" s="232">
        <f ca="1">DC287/AVERAGE(CX284,DC284)</f>
        <v>0.1394737629460259</v>
      </c>
      <c r="DD288" s="232"/>
      <c r="DE288" s="232"/>
      <c r="DF288" s="232"/>
      <c r="DG288" s="232"/>
      <c r="DH288" s="232"/>
      <c r="DI288" s="232"/>
      <c r="DJ288" s="232"/>
      <c r="DK288" s="232"/>
      <c r="DL288" s="232"/>
      <c r="DM288" s="232"/>
      <c r="DN288" s="207"/>
    </row>
    <row r="289" spans="1:117" collapsed="1" x14ac:dyDescent="0.2"/>
    <row r="290" spans="1:117" hidden="1" x14ac:dyDescent="0.2"/>
    <row r="291" spans="1:117" hidden="1" x14ac:dyDescent="0.2">
      <c r="A291" s="18" t="s">
        <v>290</v>
      </c>
      <c r="V291" s="18">
        <v>3600</v>
      </c>
      <c r="AA291" s="18">
        <v>3600</v>
      </c>
      <c r="AF291" s="18">
        <v>3700</v>
      </c>
      <c r="AK291" s="18">
        <v>3800</v>
      </c>
      <c r="AP291" s="18">
        <v>4100</v>
      </c>
      <c r="AU291" s="18">
        <v>4400</v>
      </c>
      <c r="AZ291" s="18">
        <v>4500</v>
      </c>
      <c r="BE291" s="18">
        <v>5000</v>
      </c>
    </row>
    <row r="292" spans="1:117" hidden="1" x14ac:dyDescent="0.2">
      <c r="A292" s="18" t="s">
        <v>292</v>
      </c>
      <c r="V292" s="287">
        <f t="shared" ref="V292:BE292" si="451">V291/V5</f>
        <v>0.17260392194467086</v>
      </c>
      <c r="W292" s="287">
        <f t="shared" si="451"/>
        <v>0</v>
      </c>
      <c r="X292" s="287">
        <f t="shared" si="451"/>
        <v>0</v>
      </c>
      <c r="Y292" s="287">
        <f t="shared" si="451"/>
        <v>0</v>
      </c>
      <c r="Z292" s="287">
        <f t="shared" si="451"/>
        <v>0</v>
      </c>
      <c r="AA292" s="287">
        <f t="shared" si="451"/>
        <v>0.16557814368503357</v>
      </c>
      <c r="AB292" s="287">
        <f t="shared" si="451"/>
        <v>0</v>
      </c>
      <c r="AC292" s="287">
        <f t="shared" si="451"/>
        <v>0</v>
      </c>
      <c r="AD292" s="287">
        <f t="shared" si="451"/>
        <v>0</v>
      </c>
      <c r="AE292" s="287">
        <f t="shared" si="451"/>
        <v>0</v>
      </c>
      <c r="AF292" s="287">
        <f t="shared" si="451"/>
        <v>0.1601454293628809</v>
      </c>
      <c r="AG292" s="287">
        <f t="shared" si="451"/>
        <v>0</v>
      </c>
      <c r="AH292" s="287">
        <f t="shared" si="451"/>
        <v>0</v>
      </c>
      <c r="AI292" s="287">
        <f t="shared" si="451"/>
        <v>0</v>
      </c>
      <c r="AJ292" s="287">
        <f t="shared" si="451"/>
        <v>0</v>
      </c>
      <c r="AK292" s="287">
        <f t="shared" si="451"/>
        <v>0.15775489870474926</v>
      </c>
      <c r="AL292" s="287">
        <f t="shared" si="451"/>
        <v>0</v>
      </c>
      <c r="AM292" s="287">
        <f t="shared" si="451"/>
        <v>0</v>
      </c>
      <c r="AN292" s="287">
        <f t="shared" si="451"/>
        <v>0</v>
      </c>
      <c r="AO292" s="287">
        <f t="shared" si="451"/>
        <v>0</v>
      </c>
      <c r="AP292" s="287">
        <f t="shared" si="451"/>
        <v>0.14207991128668954</v>
      </c>
      <c r="AQ292" s="287">
        <f t="shared" si="451"/>
        <v>0</v>
      </c>
      <c r="AR292" s="287">
        <f t="shared" si="451"/>
        <v>0</v>
      </c>
      <c r="AS292" s="287">
        <f t="shared" si="451"/>
        <v>0</v>
      </c>
      <c r="AT292" s="287">
        <f t="shared" si="451"/>
        <v>0</v>
      </c>
      <c r="AU292" s="287">
        <f t="shared" si="451"/>
        <v>0.13774104683195593</v>
      </c>
      <c r="AV292" s="287">
        <f t="shared" si="451"/>
        <v>0</v>
      </c>
      <c r="AW292" s="287">
        <f t="shared" si="451"/>
        <v>0</v>
      </c>
      <c r="AX292" s="287">
        <f t="shared" si="451"/>
        <v>0</v>
      </c>
      <c r="AY292" s="287">
        <f t="shared" si="451"/>
        <v>0</v>
      </c>
      <c r="AZ292" s="287">
        <f t="shared" si="451"/>
        <v>0.14520813165537269</v>
      </c>
      <c r="BA292" s="287">
        <f t="shared" si="451"/>
        <v>0</v>
      </c>
      <c r="BB292" s="287">
        <f t="shared" si="451"/>
        <v>0</v>
      </c>
      <c r="BC292" s="287">
        <f t="shared" si="451"/>
        <v>0</v>
      </c>
      <c r="BD292" s="287">
        <f t="shared" si="451"/>
        <v>0</v>
      </c>
      <c r="BE292" s="287">
        <f t="shared" si="451"/>
        <v>0.14235686017709193</v>
      </c>
    </row>
    <row r="293" spans="1:117" hidden="1" x14ac:dyDescent="0.2">
      <c r="A293" s="18" t="s">
        <v>291</v>
      </c>
      <c r="V293" s="231">
        <f>+V34</f>
        <v>-1822</v>
      </c>
      <c r="AA293" s="231">
        <f>+AA34</f>
        <v>-2165</v>
      </c>
      <c r="AF293" s="231">
        <f>+AF34</f>
        <v>-2475</v>
      </c>
      <c r="AK293" s="231">
        <f>+AK34</f>
        <v>-2553</v>
      </c>
      <c r="AP293" s="231">
        <f>+AP34</f>
        <v>-2774</v>
      </c>
      <c r="AU293" s="231">
        <f>+AU34</f>
        <v>-2998</v>
      </c>
      <c r="AZ293" s="231">
        <f>+AZ34</f>
        <v>-2791</v>
      </c>
      <c r="BE293" s="231">
        <f>+BE34</f>
        <v>-2917</v>
      </c>
    </row>
    <row r="294" spans="1:117" hidden="1" x14ac:dyDescent="0.2">
      <c r="A294" s="18" t="s">
        <v>292</v>
      </c>
      <c r="V294" s="287">
        <f>+V35</f>
        <v>8.7356762717552855E-2</v>
      </c>
      <c r="AA294" s="287">
        <f>+AA35</f>
        <v>9.9576855855027138E-2</v>
      </c>
      <c r="AF294" s="287">
        <f>+AF35</f>
        <v>0.10712430747922437</v>
      </c>
      <c r="AK294" s="287">
        <f>+AK35</f>
        <v>0.10598638326137495</v>
      </c>
      <c r="AP294" s="287">
        <f>+AP35</f>
        <v>9.6129188758360185E-2</v>
      </c>
      <c r="AU294" s="287">
        <f>+AU35</f>
        <v>9.3851740545955423E-2</v>
      </c>
      <c r="AZ294" s="287">
        <f>+AZ35</f>
        <v>9.0061310100032266E-2</v>
      </c>
      <c r="BE294" s="287">
        <f>+BE35</f>
        <v>8.3050992227315434E-2</v>
      </c>
    </row>
    <row r="295" spans="1:117" hidden="1" x14ac:dyDescent="0.2">
      <c r="AA295" s="287"/>
      <c r="AB295" s="287"/>
      <c r="AC295" s="287"/>
      <c r="AD295" s="287"/>
      <c r="AE295" s="287"/>
      <c r="AF295" s="287"/>
      <c r="AG295" s="287"/>
      <c r="AH295" s="287"/>
      <c r="AI295" s="287"/>
      <c r="AJ295" s="287"/>
      <c r="AK295" s="287"/>
      <c r="AL295" s="287"/>
      <c r="AM295" s="287"/>
      <c r="AN295" s="287"/>
      <c r="AO295" s="287"/>
      <c r="AP295" s="287"/>
      <c r="AQ295" s="287"/>
      <c r="AR295" s="287"/>
      <c r="AS295" s="287"/>
      <c r="AT295" s="287"/>
      <c r="AU295" s="287"/>
      <c r="AV295" s="287"/>
      <c r="AW295" s="287"/>
      <c r="AX295" s="287"/>
      <c r="AY295" s="287"/>
      <c r="AZ295" s="287"/>
      <c r="BA295" s="287"/>
      <c r="BB295" s="287"/>
      <c r="BC295" s="287"/>
      <c r="BD295" s="287"/>
      <c r="BE295" s="287"/>
    </row>
    <row r="297" spans="1:117" ht="15" hidden="1" outlineLevel="1" x14ac:dyDescent="0.2">
      <c r="A297" s="409" t="s">
        <v>306</v>
      </c>
    </row>
    <row r="298" spans="1:117" hidden="1" outlineLevel="1" x14ac:dyDescent="0.2">
      <c r="A298" s="410" t="s">
        <v>307</v>
      </c>
      <c r="BE298" s="326">
        <f t="shared" ref="BE298:CJ298" si="452">BE5</f>
        <v>35123</v>
      </c>
      <c r="BF298" s="336">
        <f t="shared" si="452"/>
        <v>10545</v>
      </c>
      <c r="BG298" s="336">
        <f t="shared" si="452"/>
        <v>12729</v>
      </c>
      <c r="BH298" s="336">
        <f t="shared" si="452"/>
        <v>12243</v>
      </c>
      <c r="BI298" s="328">
        <f t="shared" si="452"/>
        <v>11037</v>
      </c>
      <c r="BJ298" s="326">
        <f t="shared" si="452"/>
        <v>46554</v>
      </c>
      <c r="BK298" s="336">
        <f t="shared" si="452"/>
        <v>11139</v>
      </c>
      <c r="BL298" s="336">
        <f t="shared" si="452"/>
        <v>13084</v>
      </c>
      <c r="BM298" s="336">
        <f t="shared" si="452"/>
        <v>12344</v>
      </c>
      <c r="BN298" s="336">
        <f t="shared" si="452"/>
        <v>11465</v>
      </c>
      <c r="BO298" s="326">
        <f t="shared" si="452"/>
        <v>48032</v>
      </c>
      <c r="BP298" s="336">
        <f t="shared" si="452"/>
        <v>11039</v>
      </c>
      <c r="BQ298" s="336">
        <f t="shared" si="452"/>
        <v>12748</v>
      </c>
      <c r="BR298" s="336">
        <f t="shared" si="452"/>
        <v>12115</v>
      </c>
      <c r="BS298" s="336">
        <f t="shared" si="452"/>
        <v>11033</v>
      </c>
      <c r="BT298" s="326">
        <f t="shared" si="452"/>
        <v>46935</v>
      </c>
      <c r="BU298" s="336">
        <f t="shared" si="452"/>
        <v>10584</v>
      </c>
      <c r="BV298" s="336">
        <f t="shared" si="452"/>
        <v>12546</v>
      </c>
      <c r="BW298" s="336">
        <f t="shared" si="452"/>
        <v>11981</v>
      </c>
      <c r="BX298" s="336">
        <f t="shared" si="452"/>
        <v>10901</v>
      </c>
      <c r="BY298" s="326">
        <f t="shared" si="452"/>
        <v>46012</v>
      </c>
      <c r="BZ298" s="336">
        <f t="shared" si="452"/>
        <v>10703</v>
      </c>
      <c r="CA298" s="336">
        <f t="shared" si="452"/>
        <v>12149</v>
      </c>
      <c r="CB298" s="336">
        <f t="shared" si="452"/>
        <v>11400</v>
      </c>
      <c r="CC298" s="336">
        <f t="shared" si="452"/>
        <v>10005</v>
      </c>
      <c r="CD298" s="326">
        <f t="shared" si="452"/>
        <v>44257</v>
      </c>
      <c r="CE298" s="336">
        <f t="shared" si="452"/>
        <v>10329</v>
      </c>
      <c r="CF298" s="336">
        <f t="shared" si="452"/>
        <v>11524</v>
      </c>
      <c r="CG298" s="336">
        <f t="shared" si="452"/>
        <v>10626</v>
      </c>
      <c r="CH298" s="336">
        <f t="shared" si="452"/>
        <v>9375</v>
      </c>
      <c r="CI298" s="326">
        <f t="shared" si="452"/>
        <v>41854</v>
      </c>
      <c r="CJ298" s="336">
        <f t="shared" si="452"/>
        <v>9118</v>
      </c>
      <c r="CK298" s="336">
        <f t="shared" ref="CK298:DM298" si="453">CK5</f>
        <v>9702</v>
      </c>
      <c r="CL298" s="336">
        <f t="shared" si="453"/>
        <v>9078</v>
      </c>
      <c r="CM298" s="336">
        <f t="shared" si="453"/>
        <v>7470</v>
      </c>
      <c r="CN298" s="326">
        <f t="shared" si="453"/>
        <v>35368</v>
      </c>
      <c r="CO298" s="336">
        <f t="shared" si="453"/>
        <v>7624</v>
      </c>
      <c r="CP298" s="336">
        <f t="shared" si="453"/>
        <v>8736.0677604688244</v>
      </c>
      <c r="CQ298" s="336">
        <f t="shared" si="453"/>
        <v>8299.2925823292371</v>
      </c>
      <c r="CR298" s="336">
        <f t="shared" si="453"/>
        <v>7324.0425354453109</v>
      </c>
      <c r="CS298" s="326">
        <f t="shared" si="453"/>
        <v>31983.402878243374</v>
      </c>
      <c r="CT298" s="336">
        <f t="shared" si="453"/>
        <v>7906.2860106610542</v>
      </c>
      <c r="CU298" s="336">
        <f t="shared" si="453"/>
        <v>9088.9783339981459</v>
      </c>
      <c r="CV298" s="336">
        <f t="shared" si="453"/>
        <v>8643.0785899048624</v>
      </c>
      <c r="CW298" s="336">
        <f t="shared" si="453"/>
        <v>7643.3323936744855</v>
      </c>
      <c r="CX298" s="326">
        <f t="shared" si="453"/>
        <v>33281.675328238547</v>
      </c>
      <c r="CY298" s="336">
        <f t="shared" si="453"/>
        <v>8226.8513279775125</v>
      </c>
      <c r="CZ298" s="336">
        <f t="shared" si="453"/>
        <v>9454.1997610688886</v>
      </c>
      <c r="DA298" s="336">
        <f t="shared" si="453"/>
        <v>8998.9225445112315</v>
      </c>
      <c r="DB298" s="336">
        <f t="shared" si="453"/>
        <v>7973.8937797534645</v>
      </c>
      <c r="DC298" s="326">
        <f t="shared" si="453"/>
        <v>34653.867413311098</v>
      </c>
      <c r="DD298" s="336">
        <f t="shared" si="453"/>
        <v>8521.4839566162809</v>
      </c>
      <c r="DE298" s="336">
        <f t="shared" si="453"/>
        <v>9792.0420220745909</v>
      </c>
      <c r="DF298" s="336">
        <f t="shared" si="453"/>
        <v>9330.2797901327249</v>
      </c>
      <c r="DG298" s="336">
        <f t="shared" si="453"/>
        <v>8285.1978167364978</v>
      </c>
      <c r="DH298" s="326">
        <f t="shared" si="453"/>
        <v>35929.003585560095</v>
      </c>
      <c r="DI298" s="336">
        <f t="shared" si="453"/>
        <v>8811.3654414223383</v>
      </c>
      <c r="DJ298" s="336">
        <f t="shared" si="453"/>
        <v>10125.666090637345</v>
      </c>
      <c r="DK298" s="336">
        <f t="shared" si="453"/>
        <v>9656.3331576435685</v>
      </c>
      <c r="DL298" s="336">
        <f t="shared" si="453"/>
        <v>8588.9952041021334</v>
      </c>
      <c r="DM298" s="326">
        <f t="shared" si="453"/>
        <v>37182.359893805384</v>
      </c>
    </row>
    <row r="299" spans="1:117" hidden="1" outlineLevel="1" x14ac:dyDescent="0.2">
      <c r="A299" s="410" t="s">
        <v>31</v>
      </c>
      <c r="BE299" s="326">
        <f t="shared" ref="BE299:CJ299" si="454">BE55</f>
        <v>9579</v>
      </c>
      <c r="BF299" s="336">
        <f t="shared" si="454"/>
        <v>2503</v>
      </c>
      <c r="BG299" s="336">
        <f t="shared" si="454"/>
        <v>3351</v>
      </c>
      <c r="BH299" s="336">
        <f t="shared" si="454"/>
        <v>2962</v>
      </c>
      <c r="BI299" s="328">
        <f t="shared" si="454"/>
        <v>2234</v>
      </c>
      <c r="BJ299" s="326">
        <f t="shared" si="454"/>
        <v>11050</v>
      </c>
      <c r="BK299" s="336">
        <f t="shared" si="454"/>
        <v>2564</v>
      </c>
      <c r="BL299" s="336">
        <f t="shared" si="454"/>
        <v>3413</v>
      </c>
      <c r="BM299" s="336">
        <f t="shared" si="454"/>
        <v>2790</v>
      </c>
      <c r="BN299" s="336">
        <f t="shared" si="454"/>
        <v>2483</v>
      </c>
      <c r="BO299" s="326">
        <f t="shared" si="454"/>
        <v>11250</v>
      </c>
      <c r="BP299" s="336">
        <f t="shared" si="454"/>
        <v>2611</v>
      </c>
      <c r="BQ299" s="336">
        <f t="shared" si="454"/>
        <v>3418</v>
      </c>
      <c r="BR299" s="336">
        <f t="shared" si="454"/>
        <v>2848</v>
      </c>
      <c r="BS299" s="336">
        <f t="shared" si="454"/>
        <v>2383</v>
      </c>
      <c r="BT299" s="326">
        <f t="shared" si="454"/>
        <v>11260</v>
      </c>
      <c r="BU299" s="336">
        <f t="shared" si="454"/>
        <v>2459</v>
      </c>
      <c r="BV299" s="336">
        <f t="shared" si="454"/>
        <v>3326</v>
      </c>
      <c r="BW299" s="336">
        <f t="shared" si="454"/>
        <v>2840</v>
      </c>
      <c r="BX299" s="336">
        <f t="shared" si="454"/>
        <v>2329</v>
      </c>
      <c r="BY299" s="326">
        <f t="shared" si="454"/>
        <v>10954</v>
      </c>
      <c r="BZ299" s="336">
        <f t="shared" si="454"/>
        <v>2508</v>
      </c>
      <c r="CA299" s="336">
        <f t="shared" si="454"/>
        <v>3154</v>
      </c>
      <c r="CB299" s="336">
        <f t="shared" si="454"/>
        <v>2705</v>
      </c>
      <c r="CC299" s="336">
        <f t="shared" si="454"/>
        <v>2006</v>
      </c>
      <c r="CD299" s="326">
        <f t="shared" si="454"/>
        <v>10373</v>
      </c>
      <c r="CE299" s="336">
        <f t="shared" si="454"/>
        <v>2447</v>
      </c>
      <c r="CF299" s="336">
        <f t="shared" si="454"/>
        <v>3050</v>
      </c>
      <c r="CG299" s="336">
        <f t="shared" si="454"/>
        <v>2482</v>
      </c>
      <c r="CH299" s="336">
        <f t="shared" si="454"/>
        <v>1979</v>
      </c>
      <c r="CI299" s="326">
        <f t="shared" si="454"/>
        <v>9958</v>
      </c>
      <c r="CJ299" s="336">
        <f t="shared" si="454"/>
        <v>2252</v>
      </c>
      <c r="CK299" s="336">
        <f t="shared" ref="CK299:DM299" si="455">CK55</f>
        <v>2899</v>
      </c>
      <c r="CL299" s="336">
        <f t="shared" si="455"/>
        <v>2443</v>
      </c>
      <c r="CM299" s="336">
        <f t="shared" si="455"/>
        <v>1946</v>
      </c>
      <c r="CN299" s="326">
        <f t="shared" si="455"/>
        <v>9540</v>
      </c>
      <c r="CO299" s="336">
        <f t="shared" si="455"/>
        <v>2337</v>
      </c>
      <c r="CP299" s="336">
        <f t="shared" si="455"/>
        <v>2886.6143747064043</v>
      </c>
      <c r="CQ299" s="336">
        <f t="shared" si="455"/>
        <v>2642.8599366542803</v>
      </c>
      <c r="CR299" s="336">
        <f t="shared" si="455"/>
        <v>2170.2381049353507</v>
      </c>
      <c r="CS299" s="326">
        <f t="shared" si="455"/>
        <v>10036.712416296035</v>
      </c>
      <c r="CT299" s="336">
        <f t="shared" si="455"/>
        <v>2500.40742196679</v>
      </c>
      <c r="CU299" s="336">
        <f t="shared" si="455"/>
        <v>3091.2023806452739</v>
      </c>
      <c r="CV299" s="336">
        <f t="shared" si="455"/>
        <v>2836.5876567526493</v>
      </c>
      <c r="CW299" s="336">
        <f t="shared" si="455"/>
        <v>2339.1074078871688</v>
      </c>
      <c r="CX299" s="326">
        <f t="shared" si="455"/>
        <v>10767.304867251882</v>
      </c>
      <c r="CY299" s="336">
        <f t="shared" si="455"/>
        <v>2685.9408327565407</v>
      </c>
      <c r="CZ299" s="336">
        <f t="shared" si="455"/>
        <v>3306.2976280622897</v>
      </c>
      <c r="DA299" s="336">
        <f t="shared" si="455"/>
        <v>3040.4210401089922</v>
      </c>
      <c r="DB299" s="336">
        <f t="shared" si="455"/>
        <v>2517.0708626850628</v>
      </c>
      <c r="DC299" s="326">
        <f t="shared" si="455"/>
        <v>11549.730363612885</v>
      </c>
      <c r="DD299" s="336">
        <f t="shared" si="455"/>
        <v>2870.1988270365264</v>
      </c>
      <c r="DE299" s="336">
        <f t="shared" si="455"/>
        <v>3519.5378281546764</v>
      </c>
      <c r="DF299" s="336">
        <f t="shared" si="455"/>
        <v>3242.6375978201863</v>
      </c>
      <c r="DG299" s="336">
        <f t="shared" si="455"/>
        <v>2694.5301472699562</v>
      </c>
      <c r="DH299" s="326">
        <f t="shared" si="455"/>
        <v>12326.904400281344</v>
      </c>
      <c r="DI299" s="336">
        <f t="shared" si="455"/>
        <v>3050.4619334172421</v>
      </c>
      <c r="DJ299" s="336">
        <f t="shared" si="455"/>
        <v>3729.2029181325051</v>
      </c>
      <c r="DK299" s="336">
        <f t="shared" si="455"/>
        <v>3440.8316659732336</v>
      </c>
      <c r="DL299" s="336">
        <f t="shared" si="455"/>
        <v>2867.6535680450861</v>
      </c>
      <c r="DM299" s="326">
        <f t="shared" si="455"/>
        <v>13088.150085568068</v>
      </c>
    </row>
    <row r="300" spans="1:117" hidden="1" outlineLevel="1" x14ac:dyDescent="0.2">
      <c r="A300" s="410" t="s">
        <v>308</v>
      </c>
      <c r="BE300" s="326">
        <f t="shared" ref="BE300:CJ300" si="456">BE66+BE67</f>
        <v>1094</v>
      </c>
      <c r="BF300" s="336">
        <f t="shared" si="456"/>
        <v>153</v>
      </c>
      <c r="BG300" s="336">
        <f t="shared" si="456"/>
        <v>204</v>
      </c>
      <c r="BH300" s="336">
        <f t="shared" si="456"/>
        <v>192</v>
      </c>
      <c r="BI300" s="328">
        <f t="shared" si="456"/>
        <v>145</v>
      </c>
      <c r="BJ300" s="326">
        <f t="shared" si="456"/>
        <v>694</v>
      </c>
      <c r="BK300" s="336">
        <f t="shared" si="456"/>
        <v>148</v>
      </c>
      <c r="BL300" s="336">
        <f t="shared" si="456"/>
        <v>249</v>
      </c>
      <c r="BM300" s="336">
        <f t="shared" si="456"/>
        <v>285</v>
      </c>
      <c r="BN300" s="336">
        <f t="shared" si="456"/>
        <v>211</v>
      </c>
      <c r="BO300" s="326">
        <f t="shared" si="456"/>
        <v>893</v>
      </c>
      <c r="BP300" s="336">
        <f t="shared" si="456"/>
        <v>100</v>
      </c>
      <c r="BQ300" s="336">
        <f t="shared" si="456"/>
        <v>283</v>
      </c>
      <c r="BR300" s="336">
        <f t="shared" si="456"/>
        <v>209</v>
      </c>
      <c r="BS300" s="336">
        <f t="shared" si="456"/>
        <v>253</v>
      </c>
      <c r="BT300" s="326">
        <f t="shared" si="456"/>
        <v>845</v>
      </c>
      <c r="BU300" s="336">
        <f t="shared" si="456"/>
        <v>83</v>
      </c>
      <c r="BV300" s="336">
        <f t="shared" si="456"/>
        <v>314</v>
      </c>
      <c r="BW300" s="336">
        <f t="shared" si="456"/>
        <v>152</v>
      </c>
      <c r="BX300" s="336">
        <f t="shared" si="456"/>
        <v>149</v>
      </c>
      <c r="BY300" s="326">
        <f t="shared" si="456"/>
        <v>698</v>
      </c>
      <c r="BZ300" s="336">
        <f t="shared" si="456"/>
        <v>190</v>
      </c>
      <c r="CA300" s="336">
        <f t="shared" si="456"/>
        <v>418</v>
      </c>
      <c r="CB300" s="336">
        <f t="shared" si="456"/>
        <v>166</v>
      </c>
      <c r="CC300" s="336">
        <f t="shared" si="456"/>
        <v>146</v>
      </c>
      <c r="CD300" s="326">
        <f t="shared" si="456"/>
        <v>920</v>
      </c>
      <c r="CE300" s="336">
        <f t="shared" si="456"/>
        <v>133</v>
      </c>
      <c r="CF300" s="336">
        <f t="shared" si="456"/>
        <v>343</v>
      </c>
      <c r="CG300" s="336">
        <f t="shared" si="456"/>
        <v>316</v>
      </c>
      <c r="CH300" s="336">
        <f t="shared" si="456"/>
        <v>150</v>
      </c>
      <c r="CI300" s="326">
        <f t="shared" si="456"/>
        <v>942</v>
      </c>
      <c r="CJ300" s="336">
        <f t="shared" si="456"/>
        <v>260</v>
      </c>
      <c r="CK300" s="336">
        <f t="shared" ref="CK300:DM300" si="457">CK66+CK67</f>
        <v>481</v>
      </c>
      <c r="CL300" s="336">
        <f t="shared" si="457"/>
        <v>449</v>
      </c>
      <c r="CM300" s="336">
        <f t="shared" si="457"/>
        <v>285</v>
      </c>
      <c r="CN300" s="326">
        <f t="shared" si="457"/>
        <v>1475</v>
      </c>
      <c r="CO300" s="336">
        <f t="shared" si="457"/>
        <v>289</v>
      </c>
      <c r="CP300" s="336">
        <f t="shared" si="457"/>
        <v>476.76000000000005</v>
      </c>
      <c r="CQ300" s="336">
        <f t="shared" si="457"/>
        <v>473.92000000000007</v>
      </c>
      <c r="CR300" s="336">
        <f t="shared" si="457"/>
        <v>327.36000000000013</v>
      </c>
      <c r="CS300" s="326">
        <f t="shared" si="457"/>
        <v>1567.0400000000002</v>
      </c>
      <c r="CT300" s="336">
        <f t="shared" si="457"/>
        <v>299.61499999999995</v>
      </c>
      <c r="CU300" s="336">
        <f t="shared" si="457"/>
        <v>498.85679999999996</v>
      </c>
      <c r="CV300" s="336">
        <f t="shared" si="457"/>
        <v>496.13560000000001</v>
      </c>
      <c r="CW300" s="336">
        <f t="shared" si="457"/>
        <v>341.51480000000009</v>
      </c>
      <c r="CX300" s="326">
        <f t="shared" si="457"/>
        <v>1636.1222</v>
      </c>
      <c r="CY300" s="336">
        <f t="shared" si="457"/>
        <v>311.83190000000002</v>
      </c>
      <c r="CZ300" s="336">
        <f t="shared" si="457"/>
        <v>524.28820799999994</v>
      </c>
      <c r="DA300" s="336">
        <f t="shared" si="457"/>
        <v>521.70373600000016</v>
      </c>
      <c r="DB300" s="336">
        <f t="shared" si="457"/>
        <v>357.80568800000009</v>
      </c>
      <c r="DC300" s="326">
        <f t="shared" si="457"/>
        <v>1715.6295320000002</v>
      </c>
      <c r="DD300" s="336">
        <f t="shared" si="457"/>
        <v>324.781814</v>
      </c>
      <c r="DE300" s="336">
        <f t="shared" si="457"/>
        <v>551.24550048000003</v>
      </c>
      <c r="DF300" s="336">
        <f t="shared" si="457"/>
        <v>548.80596016000004</v>
      </c>
      <c r="DG300" s="336">
        <f t="shared" si="457"/>
        <v>375.0740292800001</v>
      </c>
      <c r="DH300" s="326">
        <f t="shared" si="457"/>
        <v>1799.9073039200002</v>
      </c>
      <c r="DI300" s="336">
        <f t="shared" si="457"/>
        <v>338.50872284000002</v>
      </c>
      <c r="DJ300" s="336">
        <f t="shared" si="457"/>
        <v>579.82023050880002</v>
      </c>
      <c r="DK300" s="336">
        <f t="shared" si="457"/>
        <v>577.53431776960019</v>
      </c>
      <c r="DL300" s="336">
        <f t="shared" si="457"/>
        <v>393.37847103680014</v>
      </c>
      <c r="DM300" s="326">
        <f t="shared" si="457"/>
        <v>1889.2417421552004</v>
      </c>
    </row>
    <row r="301" spans="1:117" hidden="1" outlineLevel="1" x14ac:dyDescent="0.2">
      <c r="A301" s="410" t="s">
        <v>309</v>
      </c>
      <c r="BE301" s="326">
        <f t="shared" ref="BE301:CJ301" si="458">BE61</f>
        <v>11022</v>
      </c>
      <c r="BF301" s="336">
        <f t="shared" si="458"/>
        <v>2989</v>
      </c>
      <c r="BG301" s="336">
        <f t="shared" si="458"/>
        <v>3822</v>
      </c>
      <c r="BH301" s="336">
        <f t="shared" si="458"/>
        <v>3428</v>
      </c>
      <c r="BI301" s="328">
        <f t="shared" si="458"/>
        <v>2765</v>
      </c>
      <c r="BJ301" s="326">
        <f t="shared" si="458"/>
        <v>13004</v>
      </c>
      <c r="BK301" s="336">
        <f t="shared" si="458"/>
        <v>3011</v>
      </c>
      <c r="BL301" s="336">
        <f t="shared" si="458"/>
        <v>3921</v>
      </c>
      <c r="BM301" s="336">
        <f t="shared" si="458"/>
        <v>3304</v>
      </c>
      <c r="BN301" s="336">
        <f t="shared" si="458"/>
        <v>2996</v>
      </c>
      <c r="BO301" s="326">
        <f t="shared" si="458"/>
        <v>13232</v>
      </c>
      <c r="BP301" s="336">
        <f t="shared" si="458"/>
        <v>3084</v>
      </c>
      <c r="BQ301" s="336">
        <f t="shared" si="458"/>
        <v>3892</v>
      </c>
      <c r="BR301" s="336">
        <f t="shared" si="458"/>
        <v>3345</v>
      </c>
      <c r="BS301" s="336">
        <f t="shared" si="458"/>
        <v>2916</v>
      </c>
      <c r="BT301" s="326">
        <f t="shared" si="458"/>
        <v>13237</v>
      </c>
      <c r="BU301" s="336">
        <f t="shared" si="458"/>
        <v>2932</v>
      </c>
      <c r="BV301" s="336">
        <f t="shared" si="458"/>
        <v>3820</v>
      </c>
      <c r="BW301" s="336">
        <f t="shared" si="458"/>
        <v>3350</v>
      </c>
      <c r="BX301" s="336">
        <f t="shared" si="458"/>
        <v>2828</v>
      </c>
      <c r="BY301" s="326">
        <f t="shared" si="458"/>
        <v>12930</v>
      </c>
      <c r="BZ301" s="336">
        <f t="shared" si="458"/>
        <v>2981</v>
      </c>
      <c r="CA301" s="336">
        <f t="shared" si="458"/>
        <v>3642</v>
      </c>
      <c r="CB301" s="336">
        <f t="shared" si="458"/>
        <v>3187</v>
      </c>
      <c r="CC301" s="336">
        <f t="shared" si="458"/>
        <v>2533</v>
      </c>
      <c r="CD301" s="326">
        <f t="shared" si="458"/>
        <v>12343</v>
      </c>
      <c r="CE301" s="336">
        <f t="shared" si="458"/>
        <v>2905</v>
      </c>
      <c r="CF301" s="336">
        <f t="shared" si="458"/>
        <v>3495</v>
      </c>
      <c r="CG301" s="336">
        <f t="shared" si="458"/>
        <v>2902</v>
      </c>
      <c r="CH301" s="336">
        <f t="shared" si="458"/>
        <v>2443</v>
      </c>
      <c r="CI301" s="326">
        <f t="shared" si="458"/>
        <v>11745</v>
      </c>
      <c r="CJ301" s="336">
        <f t="shared" si="458"/>
        <v>2580</v>
      </c>
      <c r="CK301" s="336">
        <f t="shared" ref="CK301:DM301" si="459">CK61</f>
        <v>3200</v>
      </c>
      <c r="CL301" s="336">
        <f t="shared" si="459"/>
        <v>2740</v>
      </c>
      <c r="CM301" s="336">
        <f t="shared" si="459"/>
        <v>2280</v>
      </c>
      <c r="CN301" s="326">
        <f t="shared" si="459"/>
        <v>10800</v>
      </c>
      <c r="CO301" s="336">
        <f t="shared" si="459"/>
        <v>2607</v>
      </c>
      <c r="CP301" s="336">
        <f t="shared" si="459"/>
        <v>3132.9797553753965</v>
      </c>
      <c r="CQ301" s="336">
        <f t="shared" si="459"/>
        <v>2925.4811739940214</v>
      </c>
      <c r="CR301" s="336">
        <f t="shared" si="459"/>
        <v>2510.5241184446313</v>
      </c>
      <c r="CS301" s="326">
        <f t="shared" si="459"/>
        <v>11175.985047814049</v>
      </c>
      <c r="CT301" s="336">
        <f t="shared" si="459"/>
        <v>2787.9660365572613</v>
      </c>
      <c r="CU301" s="336">
        <f t="shared" si="459"/>
        <v>3363.960762213871</v>
      </c>
      <c r="CV301" s="336">
        <f t="shared" si="459"/>
        <v>3142.2150433621277</v>
      </c>
      <c r="CW301" s="336">
        <f t="shared" si="459"/>
        <v>2699.5470473413525</v>
      </c>
      <c r="CX301" s="326">
        <f t="shared" si="459"/>
        <v>11993.688889474612</v>
      </c>
      <c r="CY301" s="336">
        <f t="shared" si="459"/>
        <v>2985.2177990697655</v>
      </c>
      <c r="CZ301" s="336">
        <f t="shared" si="459"/>
        <v>3590.1688051248921</v>
      </c>
      <c r="DA301" s="336">
        <f t="shared" si="459"/>
        <v>3358.4933857139235</v>
      </c>
      <c r="DB301" s="336">
        <f t="shared" si="459"/>
        <v>2892.1936513832579</v>
      </c>
      <c r="DC301" s="326">
        <f t="shared" si="459"/>
        <v>12826.073641291838</v>
      </c>
      <c r="DD301" s="336">
        <f t="shared" si="459"/>
        <v>3181.7078305773266</v>
      </c>
      <c r="DE301" s="336">
        <f t="shared" si="459"/>
        <v>3814.9491696657456</v>
      </c>
      <c r="DF301" s="336">
        <f t="shared" si="459"/>
        <v>3573.5765145670362</v>
      </c>
      <c r="DG301" s="336">
        <f t="shared" si="459"/>
        <v>3084.7748304147735</v>
      </c>
      <c r="DH301" s="326">
        <f t="shared" si="459"/>
        <v>13655.008345224882</v>
      </c>
      <c r="DI301" s="336">
        <f t="shared" si="459"/>
        <v>3374.5070745967369</v>
      </c>
      <c r="DJ301" s="336">
        <f t="shared" si="459"/>
        <v>4036.4232721099133</v>
      </c>
      <c r="DK301" s="336">
        <f t="shared" si="459"/>
        <v>3784.9202720976127</v>
      </c>
      <c r="DL301" s="336">
        <f t="shared" si="459"/>
        <v>3273.3326605067455</v>
      </c>
      <c r="DM301" s="326">
        <f t="shared" si="459"/>
        <v>14469.18327931101</v>
      </c>
    </row>
    <row r="302" spans="1:117" hidden="1" outlineLevel="1" x14ac:dyDescent="0.2">
      <c r="A302" s="410" t="s">
        <v>310</v>
      </c>
      <c r="BE302" s="326">
        <f t="shared" ref="BE302:CJ302" si="460">SUM(BE162:BE170)</f>
        <v>-2697</v>
      </c>
      <c r="BF302" s="336">
        <f t="shared" si="460"/>
        <v>603</v>
      </c>
      <c r="BG302" s="336">
        <f t="shared" si="460"/>
        <v>494</v>
      </c>
      <c r="BH302" s="336">
        <f t="shared" si="460"/>
        <v>419</v>
      </c>
      <c r="BI302" s="328">
        <f t="shared" si="460"/>
        <v>1217</v>
      </c>
      <c r="BJ302" s="326">
        <f t="shared" si="460"/>
        <v>2733</v>
      </c>
      <c r="BK302" s="336">
        <f t="shared" si="460"/>
        <v>272</v>
      </c>
      <c r="BL302" s="336">
        <f t="shared" si="460"/>
        <v>702</v>
      </c>
      <c r="BM302" s="336">
        <f t="shared" si="460"/>
        <v>512</v>
      </c>
      <c r="BN302" s="336">
        <f t="shared" si="460"/>
        <v>1153</v>
      </c>
      <c r="BO302" s="326">
        <f t="shared" si="460"/>
        <v>2639</v>
      </c>
      <c r="BP302" s="336">
        <f t="shared" si="460"/>
        <v>893</v>
      </c>
      <c r="BQ302" s="336">
        <f t="shared" si="460"/>
        <v>355</v>
      </c>
      <c r="BR302" s="336">
        <f t="shared" si="460"/>
        <v>198</v>
      </c>
      <c r="BS302" s="336">
        <f t="shared" si="460"/>
        <v>1402</v>
      </c>
      <c r="BT302" s="326">
        <f t="shared" si="460"/>
        <v>2848</v>
      </c>
      <c r="BU302" s="336">
        <f t="shared" si="460"/>
        <v>870</v>
      </c>
      <c r="BV302" s="336">
        <f t="shared" si="460"/>
        <v>544</v>
      </c>
      <c r="BW302" s="336">
        <f t="shared" si="460"/>
        <v>713</v>
      </c>
      <c r="BX302" s="336">
        <f t="shared" si="460"/>
        <v>1803</v>
      </c>
      <c r="BY302" s="326">
        <f t="shared" si="460"/>
        <v>3930</v>
      </c>
      <c r="BZ302" s="336">
        <f t="shared" si="460"/>
        <v>1197</v>
      </c>
      <c r="CA302" s="336">
        <f t="shared" si="460"/>
        <v>208</v>
      </c>
      <c r="CB302" s="336">
        <f t="shared" si="460"/>
        <v>1201</v>
      </c>
      <c r="CC302" s="336">
        <f t="shared" si="460"/>
        <v>713</v>
      </c>
      <c r="CD302" s="326">
        <f t="shared" si="460"/>
        <v>3319</v>
      </c>
      <c r="CE302" s="336">
        <f t="shared" si="460"/>
        <v>791</v>
      </c>
      <c r="CF302" s="336">
        <f t="shared" si="460"/>
        <v>-730</v>
      </c>
      <c r="CG302" s="336">
        <f t="shared" si="460"/>
        <v>1567</v>
      </c>
      <c r="CH302" s="336">
        <f t="shared" si="460"/>
        <v>839</v>
      </c>
      <c r="CI302" s="326">
        <f t="shared" si="460"/>
        <v>2467</v>
      </c>
      <c r="CJ302" s="336">
        <f t="shared" si="460"/>
        <v>1114</v>
      </c>
      <c r="CK302" s="336">
        <f t="shared" ref="CK302:DM302" si="461">SUM(CK162:CK170)</f>
        <v>1140</v>
      </c>
      <c r="CL302" s="336">
        <f t="shared" si="461"/>
        <v>1059</v>
      </c>
      <c r="CM302" s="336">
        <f t="shared" si="461"/>
        <v>-1029</v>
      </c>
      <c r="CN302" s="326">
        <f t="shared" si="461"/>
        <v>2284</v>
      </c>
      <c r="CO302" s="336">
        <f t="shared" si="461"/>
        <v>598</v>
      </c>
      <c r="CP302" s="336">
        <f t="shared" si="461"/>
        <v>674.17986620478143</v>
      </c>
      <c r="CQ302" s="336">
        <f t="shared" si="461"/>
        <v>234.66990019191741</v>
      </c>
      <c r="CR302" s="336">
        <f t="shared" si="461"/>
        <v>378.10162270121072</v>
      </c>
      <c r="CS302" s="326">
        <f t="shared" si="461"/>
        <v>1884.9513890979094</v>
      </c>
      <c r="CT302" s="336">
        <f t="shared" si="461"/>
        <v>320.51460236333384</v>
      </c>
      <c r="CU302" s="336">
        <f t="shared" si="461"/>
        <v>725.9621461869765</v>
      </c>
      <c r="CV302" s="336">
        <f t="shared" si="461"/>
        <v>258.67376480037046</v>
      </c>
      <c r="CW302" s="336">
        <f t="shared" si="461"/>
        <v>405.46827767706338</v>
      </c>
      <c r="CX302" s="326">
        <f t="shared" si="461"/>
        <v>1710.6187910277442</v>
      </c>
      <c r="CY302" s="336">
        <f t="shared" si="461"/>
        <v>326.27161171564626</v>
      </c>
      <c r="CZ302" s="336">
        <f t="shared" si="461"/>
        <v>754.76948056692254</v>
      </c>
      <c r="DA302" s="336">
        <f t="shared" si="461"/>
        <v>272.22096199591385</v>
      </c>
      <c r="DB302" s="336">
        <f t="shared" si="461"/>
        <v>427.69190674765889</v>
      </c>
      <c r="DC302" s="326">
        <f t="shared" si="461"/>
        <v>1780.9539610261418</v>
      </c>
      <c r="DD302" s="336">
        <f t="shared" si="461"/>
        <v>321.07570508232533</v>
      </c>
      <c r="DE302" s="336">
        <f t="shared" si="461"/>
        <v>783.76177282796959</v>
      </c>
      <c r="DF302" s="336">
        <f t="shared" si="461"/>
        <v>287.2583382393849</v>
      </c>
      <c r="DG302" s="336">
        <f t="shared" si="461"/>
        <v>451.47595948105737</v>
      </c>
      <c r="DH302" s="326">
        <f t="shared" si="461"/>
        <v>1843.5717756307372</v>
      </c>
      <c r="DI302" s="336">
        <f t="shared" si="461"/>
        <v>321.46375944483452</v>
      </c>
      <c r="DJ302" s="336">
        <f t="shared" si="461"/>
        <v>813.3913423330896</v>
      </c>
      <c r="DK302" s="336">
        <f t="shared" si="461"/>
        <v>302.44986548308054</v>
      </c>
      <c r="DL302" s="336">
        <f t="shared" si="461"/>
        <v>474.84912185868711</v>
      </c>
      <c r="DM302" s="326">
        <f t="shared" si="461"/>
        <v>1912.1540891196919</v>
      </c>
    </row>
    <row r="303" spans="1:117" hidden="1" outlineLevel="1" x14ac:dyDescent="0.2">
      <c r="A303" s="410" t="s">
        <v>311</v>
      </c>
      <c r="BE303" s="326">
        <f t="shared" ref="BE303:CJ303" si="462">BE171</f>
        <v>370</v>
      </c>
      <c r="BF303" s="336">
        <f t="shared" si="462"/>
        <v>-2058</v>
      </c>
      <c r="BG303" s="336">
        <f t="shared" si="462"/>
        <v>-114</v>
      </c>
      <c r="BH303" s="336">
        <f t="shared" si="462"/>
        <v>496</v>
      </c>
      <c r="BI303" s="328">
        <f t="shared" si="462"/>
        <v>-217</v>
      </c>
      <c r="BJ303" s="326">
        <f t="shared" si="462"/>
        <v>-1893</v>
      </c>
      <c r="BK303" s="336">
        <f t="shared" si="462"/>
        <v>-1846</v>
      </c>
      <c r="BL303" s="336">
        <f t="shared" si="462"/>
        <v>183</v>
      </c>
      <c r="BM303" s="336">
        <f t="shared" si="462"/>
        <v>821</v>
      </c>
      <c r="BN303" s="336">
        <f t="shared" si="462"/>
        <v>-238</v>
      </c>
      <c r="BO303" s="326">
        <f t="shared" si="462"/>
        <v>-1080</v>
      </c>
      <c r="BP303" s="336">
        <f t="shared" si="462"/>
        <v>-2184</v>
      </c>
      <c r="BQ303" s="336">
        <f t="shared" si="462"/>
        <v>429</v>
      </c>
      <c r="BR303" s="336">
        <f t="shared" si="462"/>
        <v>1103</v>
      </c>
      <c r="BS303" s="336">
        <f t="shared" si="462"/>
        <v>-280</v>
      </c>
      <c r="BT303" s="326">
        <f t="shared" si="462"/>
        <v>-932</v>
      </c>
      <c r="BU303" s="336">
        <f t="shared" si="462"/>
        <v>-1430</v>
      </c>
      <c r="BV303" s="336">
        <f t="shared" si="462"/>
        <v>255</v>
      </c>
      <c r="BW303" s="336">
        <f t="shared" si="462"/>
        <v>674</v>
      </c>
      <c r="BX303" s="336">
        <f t="shared" si="462"/>
        <v>62</v>
      </c>
      <c r="BY303" s="326">
        <f t="shared" si="462"/>
        <v>-439</v>
      </c>
      <c r="BZ303" s="336">
        <f t="shared" si="462"/>
        <v>-1189</v>
      </c>
      <c r="CA303" s="336">
        <f t="shared" si="462"/>
        <v>225</v>
      </c>
      <c r="CB303" s="336">
        <f t="shared" si="462"/>
        <v>618</v>
      </c>
      <c r="CC303" s="336">
        <f t="shared" si="462"/>
        <v>189</v>
      </c>
      <c r="CD303" s="326">
        <f t="shared" si="462"/>
        <v>-157</v>
      </c>
      <c r="CE303" s="336">
        <f t="shared" si="462"/>
        <v>-1680</v>
      </c>
      <c r="CF303" s="336">
        <f t="shared" si="462"/>
        <v>486</v>
      </c>
      <c r="CG303" s="336">
        <f t="shared" si="462"/>
        <v>286</v>
      </c>
      <c r="CH303" s="336">
        <f t="shared" si="462"/>
        <v>687</v>
      </c>
      <c r="CI303" s="326">
        <f t="shared" si="462"/>
        <v>-221</v>
      </c>
      <c r="CJ303" s="336">
        <f t="shared" si="462"/>
        <v>-1510</v>
      </c>
      <c r="CK303" s="336">
        <f t="shared" ref="CK303:DM303" si="463">CK171</f>
        <v>91</v>
      </c>
      <c r="CL303" s="336">
        <f t="shared" si="463"/>
        <v>24</v>
      </c>
      <c r="CM303" s="336">
        <f t="shared" si="463"/>
        <v>4924</v>
      </c>
      <c r="CN303" s="326">
        <f t="shared" si="463"/>
        <v>3529</v>
      </c>
      <c r="CO303" s="336">
        <f t="shared" si="463"/>
        <v>-1312</v>
      </c>
      <c r="CP303" s="336">
        <f t="shared" si="463"/>
        <v>-16.628151562737912</v>
      </c>
      <c r="CQ303" s="336">
        <f t="shared" si="463"/>
        <v>400.71150481747304</v>
      </c>
      <c r="CR303" s="336">
        <f t="shared" si="463"/>
        <v>-703.8497551658993</v>
      </c>
      <c r="CS303" s="326">
        <f t="shared" si="463"/>
        <v>-1631.7664019111642</v>
      </c>
      <c r="CT303" s="336">
        <f t="shared" si="463"/>
        <v>-616.32509951574434</v>
      </c>
      <c r="CU303" s="336">
        <f t="shared" si="463"/>
        <v>-125.51351899292422</v>
      </c>
      <c r="CV303" s="336">
        <f t="shared" si="463"/>
        <v>478.37818538495389</v>
      </c>
      <c r="CW303" s="336">
        <f t="shared" si="463"/>
        <v>-590.26284666376159</v>
      </c>
      <c r="CX303" s="326">
        <f t="shared" si="463"/>
        <v>-853.72327978747626</v>
      </c>
      <c r="CY303" s="336">
        <f t="shared" si="463"/>
        <v>-727.44457799287829</v>
      </c>
      <c r="CZ303" s="336">
        <f t="shared" si="463"/>
        <v>-256.21832304035706</v>
      </c>
      <c r="DA303" s="336">
        <f t="shared" si="463"/>
        <v>559.48134390978737</v>
      </c>
      <c r="DB303" s="336">
        <f t="shared" si="463"/>
        <v>-476.42817791440211</v>
      </c>
      <c r="DC303" s="326">
        <f t="shared" si="463"/>
        <v>-900.6097350378501</v>
      </c>
      <c r="DD303" s="336">
        <f t="shared" si="463"/>
        <v>-851.41865363679108</v>
      </c>
      <c r="DE303" s="336">
        <f t="shared" si="463"/>
        <v>-394.20775558146033</v>
      </c>
      <c r="DF303" s="336">
        <f t="shared" si="463"/>
        <v>641.72114235181198</v>
      </c>
      <c r="DG303" s="336">
        <f t="shared" si="463"/>
        <v>-357.70469107063218</v>
      </c>
      <c r="DH303" s="326">
        <f t="shared" si="463"/>
        <v>-961.60995793707161</v>
      </c>
      <c r="DI303" s="336">
        <f t="shared" si="463"/>
        <v>-974.77911711644447</v>
      </c>
      <c r="DJ303" s="336">
        <f t="shared" si="463"/>
        <v>-540.3999807926084</v>
      </c>
      <c r="DK303" s="336">
        <f t="shared" si="463"/>
        <v>725.57184495793547</v>
      </c>
      <c r="DL303" s="336">
        <f t="shared" si="463"/>
        <v>-235.37449066205954</v>
      </c>
      <c r="DM303" s="326">
        <f t="shared" si="463"/>
        <v>-1024.9817436131771</v>
      </c>
    </row>
    <row r="304" spans="1:117" hidden="1" outlineLevel="1" x14ac:dyDescent="0.2">
      <c r="A304" s="410" t="s">
        <v>130</v>
      </c>
      <c r="BE304" s="326">
        <f t="shared" ref="BE304:CJ304" si="464">BE178</f>
        <v>-2215</v>
      </c>
      <c r="BF304" s="336">
        <f t="shared" si="464"/>
        <v>-589</v>
      </c>
      <c r="BG304" s="336">
        <f t="shared" si="464"/>
        <v>-601</v>
      </c>
      <c r="BH304" s="336">
        <f t="shared" si="464"/>
        <v>-725</v>
      </c>
      <c r="BI304" s="328">
        <f t="shared" si="464"/>
        <v>-1005</v>
      </c>
      <c r="BJ304" s="326">
        <f t="shared" si="464"/>
        <v>-2920</v>
      </c>
      <c r="BK304" s="336">
        <f t="shared" si="464"/>
        <v>-592</v>
      </c>
      <c r="BL304" s="336">
        <f t="shared" si="464"/>
        <v>-713</v>
      </c>
      <c r="BM304" s="336">
        <f t="shared" si="464"/>
        <v>-666</v>
      </c>
      <c r="BN304" s="336">
        <f t="shared" si="464"/>
        <v>-809</v>
      </c>
      <c r="BO304" s="326">
        <f t="shared" si="464"/>
        <v>-2780</v>
      </c>
      <c r="BP304" s="336">
        <f t="shared" si="464"/>
        <v>-498</v>
      </c>
      <c r="BQ304" s="336">
        <f t="shared" si="464"/>
        <v>-571</v>
      </c>
      <c r="BR304" s="336">
        <f t="shared" si="464"/>
        <v>-556</v>
      </c>
      <c r="BS304" s="336">
        <f t="shared" si="464"/>
        <v>-925</v>
      </c>
      <c r="BT304" s="326">
        <f t="shared" si="464"/>
        <v>-2550</v>
      </c>
      <c r="BU304" s="336">
        <f t="shared" si="464"/>
        <v>-449</v>
      </c>
      <c r="BV304" s="336">
        <f t="shared" si="464"/>
        <v>-581</v>
      </c>
      <c r="BW304" s="336">
        <f t="shared" si="464"/>
        <v>-588</v>
      </c>
      <c r="BX304" s="336">
        <f t="shared" si="464"/>
        <v>-788</v>
      </c>
      <c r="BY304" s="326">
        <f t="shared" si="464"/>
        <v>-2406</v>
      </c>
      <c r="BZ304" s="336">
        <f t="shared" si="464"/>
        <v>-516</v>
      </c>
      <c r="CA304" s="336">
        <f t="shared" si="464"/>
        <v>-598</v>
      </c>
      <c r="CB304" s="336">
        <f t="shared" si="464"/>
        <v>-556</v>
      </c>
      <c r="CC304" s="336">
        <f t="shared" si="464"/>
        <v>-883</v>
      </c>
      <c r="CD304" s="326">
        <f t="shared" si="464"/>
        <v>-2553</v>
      </c>
      <c r="CE304" s="336">
        <f t="shared" si="464"/>
        <v>-536</v>
      </c>
      <c r="CF304" s="336">
        <f t="shared" si="464"/>
        <v>-549</v>
      </c>
      <c r="CG304" s="336">
        <f t="shared" si="464"/>
        <v>-476</v>
      </c>
      <c r="CH304" s="336">
        <f t="shared" si="464"/>
        <v>-701</v>
      </c>
      <c r="CI304" s="326">
        <f t="shared" si="464"/>
        <v>-2262</v>
      </c>
      <c r="CJ304" s="336">
        <f t="shared" si="464"/>
        <v>-442</v>
      </c>
      <c r="CK304" s="336">
        <f t="shared" ref="CK304:DM304" si="465">CK178</f>
        <v>-390</v>
      </c>
      <c r="CL304" s="336">
        <f t="shared" si="465"/>
        <v>-362</v>
      </c>
      <c r="CM304" s="336">
        <f t="shared" si="465"/>
        <v>-481</v>
      </c>
      <c r="CN304" s="326">
        <f t="shared" si="465"/>
        <v>-1675</v>
      </c>
      <c r="CO304" s="336">
        <f t="shared" si="465"/>
        <v>-274</v>
      </c>
      <c r="CP304" s="336">
        <f t="shared" si="465"/>
        <v>-521.52487632634279</v>
      </c>
      <c r="CQ304" s="336">
        <f t="shared" si="465"/>
        <v>-492.78398182635908</v>
      </c>
      <c r="CR304" s="336">
        <f t="shared" si="465"/>
        <v>-614.4204973861896</v>
      </c>
      <c r="CS304" s="326">
        <f t="shared" si="465"/>
        <v>-1902.7293555388915</v>
      </c>
      <c r="CT304" s="336">
        <f t="shared" si="465"/>
        <v>-382.67393963120736</v>
      </c>
      <c r="CU304" s="336">
        <f t="shared" si="465"/>
        <v>-365.09440212784807</v>
      </c>
      <c r="CV304" s="336">
        <f t="shared" si="465"/>
        <v>-345.22723706780982</v>
      </c>
      <c r="CW304" s="336">
        <f t="shared" si="465"/>
        <v>-489.40932925418366</v>
      </c>
      <c r="CX304" s="326">
        <f t="shared" si="465"/>
        <v>-1582.4049080810489</v>
      </c>
      <c r="CY304" s="336">
        <f t="shared" si="465"/>
        <v>-398.18969414871447</v>
      </c>
      <c r="CZ304" s="336">
        <f t="shared" si="465"/>
        <v>-379.76495074846702</v>
      </c>
      <c r="DA304" s="336">
        <f t="shared" si="465"/>
        <v>-359.4405782978115</v>
      </c>
      <c r="DB304" s="336">
        <f t="shared" si="465"/>
        <v>-510.57546699433129</v>
      </c>
      <c r="DC304" s="326">
        <f t="shared" si="465"/>
        <v>-1647.9706901893242</v>
      </c>
      <c r="DD304" s="336">
        <f t="shared" si="465"/>
        <v>-412.45027472890888</v>
      </c>
      <c r="DE304" s="336">
        <f t="shared" si="465"/>
        <v>-393.33570796262131</v>
      </c>
      <c r="DF304" s="336">
        <f t="shared" si="465"/>
        <v>-372.67585612137776</v>
      </c>
      <c r="DG304" s="336">
        <f t="shared" si="465"/>
        <v>-530.50853964992757</v>
      </c>
      <c r="DH304" s="326">
        <f t="shared" si="465"/>
        <v>-1708.9703784628355</v>
      </c>
      <c r="DI304" s="336">
        <f t="shared" si="465"/>
        <v>-426.48089412052929</v>
      </c>
      <c r="DJ304" s="336">
        <f t="shared" si="465"/>
        <v>-406.7370249612282</v>
      </c>
      <c r="DK304" s="336">
        <f t="shared" si="465"/>
        <v>-385.69928313659625</v>
      </c>
      <c r="DL304" s="336">
        <f t="shared" si="465"/>
        <v>-549.96095489525112</v>
      </c>
      <c r="DM304" s="326">
        <f t="shared" si="465"/>
        <v>-1768.8781571136051</v>
      </c>
    </row>
    <row r="305" spans="1:117" hidden="1" outlineLevel="1" x14ac:dyDescent="0.2">
      <c r="A305" s="410" t="s">
        <v>116</v>
      </c>
      <c r="BE305" s="326">
        <f>BE231</f>
        <v>12080</v>
      </c>
      <c r="BF305" s="336">
        <f t="shared" ref="BF305:DM305" si="466">BF231</f>
        <v>13803</v>
      </c>
      <c r="BG305" s="336">
        <f t="shared" si="466"/>
        <v>12168</v>
      </c>
      <c r="BH305" s="336">
        <f t="shared" si="466"/>
        <v>12691</v>
      </c>
      <c r="BI305" s="328">
        <f t="shared" si="466"/>
        <v>14533</v>
      </c>
      <c r="BJ305" s="326">
        <f t="shared" si="466"/>
        <v>14533</v>
      </c>
      <c r="BK305" s="336">
        <f t="shared" si="466"/>
        <v>15336</v>
      </c>
      <c r="BL305" s="336">
        <f t="shared" si="466"/>
        <v>15516</v>
      </c>
      <c r="BM305" s="336">
        <f t="shared" si="466"/>
        <v>14647</v>
      </c>
      <c r="BN305" s="336">
        <f t="shared" si="466"/>
        <v>16059</v>
      </c>
      <c r="BO305" s="326">
        <f t="shared" si="466"/>
        <v>16059</v>
      </c>
      <c r="BP305" s="336">
        <f t="shared" si="466"/>
        <v>16690</v>
      </c>
      <c r="BQ305" s="336">
        <f t="shared" si="466"/>
        <v>16473</v>
      </c>
      <c r="BR305" s="336">
        <f t="shared" si="466"/>
        <v>15748</v>
      </c>
      <c r="BS305" s="336">
        <f t="shared" si="466"/>
        <v>16811</v>
      </c>
      <c r="BT305" s="326">
        <f t="shared" si="466"/>
        <v>16811</v>
      </c>
      <c r="BU305" s="336">
        <f t="shared" si="466"/>
        <v>19008</v>
      </c>
      <c r="BV305" s="336">
        <f t="shared" si="466"/>
        <v>18634</v>
      </c>
      <c r="BW305" s="336">
        <f t="shared" si="466"/>
        <v>18096</v>
      </c>
      <c r="BX305" s="336">
        <f t="shared" si="466"/>
        <v>20070</v>
      </c>
      <c r="BY305" s="326">
        <f t="shared" si="466"/>
        <v>20070</v>
      </c>
      <c r="BZ305" s="336">
        <f t="shared" si="466"/>
        <v>22461</v>
      </c>
      <c r="CA305" s="336">
        <f t="shared" si="466"/>
        <v>23464</v>
      </c>
      <c r="CB305" s="336">
        <f t="shared" si="466"/>
        <v>23412</v>
      </c>
      <c r="CC305" s="336">
        <f t="shared" si="466"/>
        <v>24313</v>
      </c>
      <c r="CD305" s="326">
        <f t="shared" si="466"/>
        <v>24313</v>
      </c>
      <c r="CE305" s="336">
        <f t="shared" si="466"/>
        <v>24623</v>
      </c>
      <c r="CF305" s="336">
        <f t="shared" si="466"/>
        <v>23973</v>
      </c>
      <c r="CG305" s="336">
        <f t="shared" si="466"/>
        <v>21655</v>
      </c>
      <c r="CH305" s="336">
        <f t="shared" si="466"/>
        <v>23508</v>
      </c>
      <c r="CI305" s="326">
        <f t="shared" si="466"/>
        <v>23508</v>
      </c>
      <c r="CJ305" s="336">
        <f t="shared" si="466"/>
        <v>22244</v>
      </c>
      <c r="CK305" s="336">
        <f t="shared" si="466"/>
        <v>22414</v>
      </c>
      <c r="CL305" s="336">
        <f t="shared" si="466"/>
        <v>21743</v>
      </c>
      <c r="CM305" s="336">
        <f t="shared" si="466"/>
        <v>27010</v>
      </c>
      <c r="CN305" s="326">
        <f t="shared" si="466"/>
        <v>27010</v>
      </c>
      <c r="CO305" s="336">
        <f t="shared" si="466"/>
        <v>27574</v>
      </c>
      <c r="CP305" s="336">
        <f t="shared" ca="1" si="466"/>
        <v>22911.306075781689</v>
      </c>
      <c r="CQ305" s="336">
        <f t="shared" ca="1" si="466"/>
        <v>22463.048509378285</v>
      </c>
      <c r="CR305" s="336">
        <f t="shared" ca="1" si="466"/>
        <v>23618.385170128582</v>
      </c>
      <c r="CS305" s="326">
        <f t="shared" ca="1" si="466"/>
        <v>23618.385170128582</v>
      </c>
      <c r="CT305" s="336">
        <f t="shared" ca="1" si="466"/>
        <v>27747.862032626144</v>
      </c>
      <c r="CU305" s="336">
        <f t="shared" ca="1" si="466"/>
        <v>22841.855770406139</v>
      </c>
      <c r="CV305" s="336">
        <f t="shared" ca="1" si="466"/>
        <v>22165.95177400691</v>
      </c>
      <c r="CW305" s="336">
        <f t="shared" ca="1" si="466"/>
        <v>23263.491987928755</v>
      </c>
      <c r="CX305" s="326">
        <f t="shared" ca="1" si="466"/>
        <v>23263.491987928755</v>
      </c>
      <c r="CY305" s="336">
        <f t="shared" ca="1" si="466"/>
        <v>27680.381797480732</v>
      </c>
      <c r="CZ305" s="336">
        <f t="shared" ca="1" si="466"/>
        <v>22729.363276492208</v>
      </c>
      <c r="DA305" s="336">
        <f t="shared" ca="1" si="466"/>
        <v>21993.848973400382</v>
      </c>
      <c r="DB305" s="336">
        <f t="shared" ca="1" si="466"/>
        <v>23036.464728503292</v>
      </c>
      <c r="DC305" s="326">
        <f t="shared" ca="1" si="466"/>
        <v>23036.464728503292</v>
      </c>
      <c r="DD305" s="336">
        <f t="shared" ca="1" si="466"/>
        <v>27694.368537365899</v>
      </c>
      <c r="DE305" s="336">
        <f t="shared" ca="1" si="466"/>
        <v>22683.099501776771</v>
      </c>
      <c r="DF305" s="336">
        <f t="shared" ca="1" si="466"/>
        <v>21848.226910641846</v>
      </c>
      <c r="DG305" s="336">
        <f t="shared" ca="1" si="466"/>
        <v>22790.98410684814</v>
      </c>
      <c r="DH305" s="326">
        <f t="shared" ca="1" si="466"/>
        <v>22790.98410684814</v>
      </c>
      <c r="DI305" s="336">
        <f t="shared" ca="1" si="466"/>
        <v>27681.642428128798</v>
      </c>
      <c r="DJ305" s="336">
        <f t="shared" ca="1" si="466"/>
        <v>22610.551606821915</v>
      </c>
      <c r="DK305" s="336">
        <f t="shared" ca="1" si="466"/>
        <v>21663.86414879893</v>
      </c>
      <c r="DL305" s="336">
        <f t="shared" ca="1" si="466"/>
        <v>22491.893886384314</v>
      </c>
      <c r="DM305" s="326">
        <f t="shared" ca="1" si="466"/>
        <v>22491.893886384314</v>
      </c>
    </row>
    <row r="306" spans="1:117" hidden="1" outlineLevel="1" x14ac:dyDescent="0.2">
      <c r="A306" s="410" t="s">
        <v>312</v>
      </c>
      <c r="BE306" s="326">
        <f t="shared" ref="BE306:CJ306" si="467">BE90</f>
        <v>4666</v>
      </c>
      <c r="BF306" s="336">
        <f t="shared" si="467"/>
        <v>4662</v>
      </c>
      <c r="BG306" s="336">
        <f t="shared" si="467"/>
        <v>4660</v>
      </c>
      <c r="BH306" s="336">
        <f t="shared" si="467"/>
        <v>4652</v>
      </c>
      <c r="BI306" s="328">
        <f t="shared" si="467"/>
        <v>4612</v>
      </c>
      <c r="BJ306" s="326">
        <f t="shared" si="467"/>
        <v>4646.5</v>
      </c>
      <c r="BK306" s="336">
        <f t="shared" si="467"/>
        <v>4602</v>
      </c>
      <c r="BL306" s="336">
        <f t="shared" si="467"/>
        <v>4592</v>
      </c>
      <c r="BM306" s="336">
        <f t="shared" si="467"/>
        <v>4587</v>
      </c>
      <c r="BN306" s="336">
        <f t="shared" si="467"/>
        <v>4557</v>
      </c>
      <c r="BO306" s="326">
        <f t="shared" si="467"/>
        <v>4584</v>
      </c>
      <c r="BP306" s="336">
        <f t="shared" si="467"/>
        <v>4530</v>
      </c>
      <c r="BQ306" s="336">
        <f t="shared" si="467"/>
        <v>4527</v>
      </c>
      <c r="BR306" s="336">
        <f t="shared" si="467"/>
        <v>4498</v>
      </c>
      <c r="BS306" s="336">
        <f t="shared" si="467"/>
        <v>4482</v>
      </c>
      <c r="BT306" s="326">
        <f t="shared" si="467"/>
        <v>4509.25</v>
      </c>
      <c r="BU306" s="336">
        <f t="shared" si="467"/>
        <v>4464</v>
      </c>
      <c r="BV306" s="336">
        <f t="shared" si="467"/>
        <v>4454</v>
      </c>
      <c r="BW306" s="336">
        <f t="shared" si="467"/>
        <v>4445</v>
      </c>
      <c r="BX306" s="336">
        <f t="shared" si="467"/>
        <v>4437</v>
      </c>
      <c r="BY306" s="326">
        <f t="shared" si="467"/>
        <v>4450</v>
      </c>
      <c r="BZ306" s="336">
        <f t="shared" si="467"/>
        <v>4422</v>
      </c>
      <c r="CA306" s="336">
        <f t="shared" si="467"/>
        <v>4408</v>
      </c>
      <c r="CB306" s="336">
        <f t="shared" si="467"/>
        <v>4399</v>
      </c>
      <c r="CC306" s="336">
        <f t="shared" si="467"/>
        <v>4390</v>
      </c>
      <c r="CD306" s="326">
        <f t="shared" si="467"/>
        <v>4404.75</v>
      </c>
      <c r="CE306" s="336">
        <f t="shared" si="467"/>
        <v>4382</v>
      </c>
      <c r="CF306" s="336">
        <f t="shared" si="467"/>
        <v>4377</v>
      </c>
      <c r="CG306" s="336">
        <f t="shared" si="467"/>
        <v>4364</v>
      </c>
      <c r="CH306" s="336">
        <f t="shared" si="467"/>
        <v>4345</v>
      </c>
      <c r="CI306" s="326">
        <f t="shared" si="467"/>
        <v>4367</v>
      </c>
      <c r="CJ306" s="336">
        <f t="shared" si="467"/>
        <v>4334</v>
      </c>
      <c r="CK306" s="336">
        <f t="shared" ref="CK306:DM306" si="468">CK90</f>
        <v>4327</v>
      </c>
      <c r="CL306" s="336">
        <f t="shared" si="468"/>
        <v>4320</v>
      </c>
      <c r="CM306" s="336">
        <f t="shared" si="468"/>
        <v>4315</v>
      </c>
      <c r="CN306" s="326">
        <f t="shared" si="468"/>
        <v>4324</v>
      </c>
      <c r="CO306" s="336">
        <f t="shared" si="468"/>
        <v>4306</v>
      </c>
      <c r="CP306" s="336">
        <f t="shared" si="468"/>
        <v>4305.5</v>
      </c>
      <c r="CQ306" s="336">
        <f t="shared" si="468"/>
        <v>4304.5</v>
      </c>
      <c r="CR306" s="336">
        <f t="shared" si="468"/>
        <v>4305</v>
      </c>
      <c r="CS306" s="326">
        <f t="shared" si="468"/>
        <v>4305.25</v>
      </c>
      <c r="CT306" s="336">
        <f t="shared" si="468"/>
        <v>4305.375</v>
      </c>
      <c r="CU306" s="336">
        <f t="shared" si="468"/>
        <v>4304.125</v>
      </c>
      <c r="CV306" s="336">
        <f t="shared" si="468"/>
        <v>4302.875</v>
      </c>
      <c r="CW306" s="336">
        <f t="shared" si="468"/>
        <v>4301.625</v>
      </c>
      <c r="CX306" s="326">
        <f t="shared" si="468"/>
        <v>4303.5</v>
      </c>
      <c r="CY306" s="336">
        <f t="shared" si="468"/>
        <v>4300.375</v>
      </c>
      <c r="CZ306" s="336">
        <f t="shared" si="468"/>
        <v>4299.125</v>
      </c>
      <c r="DA306" s="336">
        <f t="shared" si="468"/>
        <v>4297.875</v>
      </c>
      <c r="DB306" s="336">
        <f t="shared" si="468"/>
        <v>4296.625</v>
      </c>
      <c r="DC306" s="326">
        <f t="shared" si="468"/>
        <v>4298.5</v>
      </c>
      <c r="DD306" s="336">
        <f t="shared" si="468"/>
        <v>4295.625</v>
      </c>
      <c r="DE306" s="336">
        <f t="shared" si="468"/>
        <v>4294.875</v>
      </c>
      <c r="DF306" s="336">
        <f t="shared" si="468"/>
        <v>4294.125</v>
      </c>
      <c r="DG306" s="336">
        <f t="shared" si="468"/>
        <v>4293.375</v>
      </c>
      <c r="DH306" s="326">
        <f t="shared" si="468"/>
        <v>4294.5</v>
      </c>
      <c r="DI306" s="336">
        <f t="shared" si="468"/>
        <v>4292.875</v>
      </c>
      <c r="DJ306" s="336">
        <f t="shared" si="468"/>
        <v>4292.625</v>
      </c>
      <c r="DK306" s="336">
        <f t="shared" si="468"/>
        <v>4292.375</v>
      </c>
      <c r="DL306" s="336">
        <f t="shared" si="468"/>
        <v>4292.125</v>
      </c>
      <c r="DM306" s="326">
        <f t="shared" si="468"/>
        <v>4292.5</v>
      </c>
    </row>
    <row r="307" spans="1:117" hidden="1" outlineLevel="1" x14ac:dyDescent="0.2">
      <c r="A307" s="411" t="s">
        <v>313</v>
      </c>
      <c r="BE307" s="326">
        <f>SUM(AZ114:AZ115)</f>
        <v>7021</v>
      </c>
      <c r="BF307" s="336"/>
      <c r="BG307" s="336"/>
      <c r="BH307" s="336"/>
      <c r="BI307" s="328"/>
      <c r="BJ307" s="326">
        <f>SUM(BE114:BE115)</f>
        <v>8517</v>
      </c>
      <c r="BK307" s="336"/>
      <c r="BL307" s="336"/>
      <c r="BM307" s="336"/>
      <c r="BN307" s="336"/>
      <c r="BO307" s="326">
        <f>SUM(BJ114:BJ115)</f>
        <v>12803</v>
      </c>
      <c r="BP307" s="336"/>
      <c r="BQ307" s="336"/>
      <c r="BR307" s="336"/>
      <c r="BS307" s="336"/>
      <c r="BT307" s="326">
        <f>SUM(BO114:BO115)</f>
        <v>8442</v>
      </c>
      <c r="BU307" s="336"/>
      <c r="BV307" s="336"/>
      <c r="BW307" s="336"/>
      <c r="BX307" s="336"/>
      <c r="BY307" s="326">
        <f>SUM(BT114:BT115)</f>
        <v>10414</v>
      </c>
      <c r="BZ307" s="336"/>
      <c r="CA307" s="336"/>
      <c r="CB307" s="336"/>
      <c r="CC307" s="336"/>
      <c r="CD307" s="326">
        <f>SUM(BY114:BY115)</f>
        <v>8958</v>
      </c>
      <c r="CE307" s="336"/>
      <c r="CF307" s="336"/>
      <c r="CG307" s="336"/>
      <c r="CH307" s="336"/>
      <c r="CI307" s="326">
        <f>SUM(CD114:CD115)</f>
        <v>7309</v>
      </c>
      <c r="CJ307" s="336"/>
      <c r="CK307" s="336"/>
      <c r="CL307" s="336"/>
      <c r="CM307" s="336"/>
      <c r="CN307" s="326">
        <f>SUM(CI114:CI115)</f>
        <v>8555</v>
      </c>
      <c r="CO307" s="336"/>
      <c r="CP307" s="336"/>
      <c r="CQ307" s="336"/>
      <c r="CR307" s="336"/>
      <c r="CS307" s="326">
        <f>SUM(CN114:CN115)</f>
        <v>6006</v>
      </c>
      <c r="CT307" s="336"/>
      <c r="CU307" s="336"/>
      <c r="CV307" s="336"/>
      <c r="CW307" s="336"/>
      <c r="CX307" s="326">
        <f ca="1">SUM(CS114:CS115)</f>
        <v>8746.6148298714197</v>
      </c>
      <c r="CY307" s="336"/>
      <c r="CZ307" s="336"/>
      <c r="DA307" s="336"/>
      <c r="DB307" s="336"/>
      <c r="DC307" s="326">
        <f ca="1">SUM(CX114:CX115)</f>
        <v>7762.5080120712464</v>
      </c>
      <c r="DD307" s="336"/>
      <c r="DE307" s="336"/>
      <c r="DF307" s="336"/>
      <c r="DG307" s="336"/>
      <c r="DH307" s="326">
        <f ca="1">SUM(DC114:DC115)</f>
        <v>7989.5352714967084</v>
      </c>
      <c r="DI307" s="336"/>
      <c r="DJ307" s="336"/>
      <c r="DK307" s="336"/>
      <c r="DL307" s="336"/>
      <c r="DM307" s="326">
        <f ca="1">SUM(DH114:DH115)</f>
        <v>8235.0158931518599</v>
      </c>
    </row>
    <row r="308" spans="1:117" hidden="1" outlineLevel="1" x14ac:dyDescent="0.2"/>
    <row r="309" spans="1:117" collapsed="1" x14ac:dyDescent="0.2"/>
    <row r="310" spans="1:117" hidden="1" x14ac:dyDescent="0.2">
      <c r="B310" s="18" t="s">
        <v>354</v>
      </c>
    </row>
    <row r="311" spans="1:117" hidden="1" x14ac:dyDescent="0.2"/>
    <row r="312" spans="1:117" hidden="1" x14ac:dyDescent="0.2">
      <c r="B312" s="18" t="s">
        <v>353</v>
      </c>
      <c r="BZ312" s="18">
        <v>80</v>
      </c>
      <c r="CA312" s="18">
        <v>202</v>
      </c>
    </row>
    <row r="313" spans="1:117" hidden="1" x14ac:dyDescent="0.2">
      <c r="BZ313" s="641">
        <f>BZ312*(1-BZ71)/BZ90</f>
        <v>1.4023127874268357E-2</v>
      </c>
      <c r="CA313" s="641">
        <f>CA312*(1-CA71)/CA90</f>
        <v>3.5507639122855844E-2</v>
      </c>
    </row>
    <row r="314" spans="1:117" hidden="1" x14ac:dyDescent="0.2"/>
    <row r="315" spans="1:117" ht="15" hidden="1" x14ac:dyDescent="0.2">
      <c r="BY315" s="640"/>
      <c r="BZ315" s="639">
        <v>8500</v>
      </c>
    </row>
    <row r="316" spans="1:117" hidden="1" x14ac:dyDescent="0.2">
      <c r="BY316" s="18" t="s">
        <v>355</v>
      </c>
      <c r="BZ316" s="641">
        <v>0.01</v>
      </c>
    </row>
    <row r="317" spans="1:117" hidden="1" x14ac:dyDescent="0.2">
      <c r="CA317" s="268">
        <f>SUM(BZ313:CA313)/SUM(BU79:BW79)</f>
        <v>3.0826956232717129E-2</v>
      </c>
    </row>
    <row r="318" spans="1:117" hidden="1" x14ac:dyDescent="0.2">
      <c r="A318" s="740" t="str">
        <f>A127</f>
        <v>Trademarks with Indefinite Lives</v>
      </c>
      <c r="B318" s="740"/>
      <c r="CE318" s="740">
        <f t="shared" ref="CE318:CH320" si="469">CE127</f>
        <v>6014</v>
      </c>
      <c r="CF318" s="740">
        <f t="shared" si="469"/>
        <v>6038</v>
      </c>
      <c r="CG318" s="740">
        <f t="shared" si="469"/>
        <v>10621</v>
      </c>
      <c r="CH318" s="740">
        <f t="shared" si="469"/>
        <v>9773</v>
      </c>
    </row>
    <row r="319" spans="1:117" hidden="1" x14ac:dyDescent="0.2">
      <c r="A319" s="740" t="str">
        <f>A128</f>
        <v>Goodwill</v>
      </c>
      <c r="B319" s="740"/>
      <c r="BU319"/>
      <c r="BV319"/>
      <c r="BW319"/>
      <c r="BX319"/>
      <c r="BY319"/>
      <c r="BZ319"/>
      <c r="CA319"/>
      <c r="CB319"/>
      <c r="CC319"/>
      <c r="CD319"/>
      <c r="CE319" s="740">
        <f t="shared" si="469"/>
        <v>11396</v>
      </c>
      <c r="CF319" s="740">
        <f t="shared" si="469"/>
        <v>11204</v>
      </c>
      <c r="CG319" s="740">
        <f t="shared" si="469"/>
        <v>10865</v>
      </c>
      <c r="CH319" s="740">
        <f t="shared" si="469"/>
        <v>10629</v>
      </c>
    </row>
    <row r="320" spans="1:117" hidden="1" x14ac:dyDescent="0.2">
      <c r="A320" s="740" t="str">
        <f>A129</f>
        <v>Other Intangibile Assets</v>
      </c>
      <c r="B320" s="740"/>
      <c r="CE320" s="740">
        <f t="shared" si="469"/>
        <v>6620</v>
      </c>
      <c r="CF320" s="740">
        <f t="shared" si="469"/>
        <v>6447</v>
      </c>
      <c r="CG320" s="740">
        <f t="shared" si="469"/>
        <v>760</v>
      </c>
      <c r="CH320" s="740">
        <f t="shared" si="469"/>
        <v>726</v>
      </c>
    </row>
    <row r="321" spans="1:87" hidden="1" x14ac:dyDescent="0.2">
      <c r="A321" s="18" t="s">
        <v>384</v>
      </c>
      <c r="CE321" s="740">
        <f>SUM(CE318:CE320)</f>
        <v>24030</v>
      </c>
      <c r="CF321" s="740">
        <f t="shared" ref="CF321:CH321" si="470">SUM(CF318:CF320)</f>
        <v>23689</v>
      </c>
      <c r="CG321" s="740">
        <f t="shared" si="470"/>
        <v>22246</v>
      </c>
      <c r="CH321" s="740">
        <f t="shared" si="470"/>
        <v>21128</v>
      </c>
    </row>
    <row r="322" spans="1:87" hidden="1" x14ac:dyDescent="0.2">
      <c r="A322" s="18" t="s">
        <v>385</v>
      </c>
      <c r="CE322" s="741">
        <f>CE236-CE321</f>
        <v>20083</v>
      </c>
      <c r="CF322" s="741">
        <f t="shared" ref="CF322:CG322" si="471">CF236-CF321</f>
        <v>18083</v>
      </c>
      <c r="CG322" s="741">
        <f t="shared" si="471"/>
        <v>15854</v>
      </c>
      <c r="CH322" s="741">
        <f>CH236-CH321</f>
        <v>16185</v>
      </c>
    </row>
    <row r="323" spans="1:87" hidden="1" x14ac:dyDescent="0.2">
      <c r="B323" s="18" t="s">
        <v>383</v>
      </c>
      <c r="CI323" s="268">
        <f>CI241/AVERAGE(CE322:CH322)</f>
        <v>0.4933821255883663</v>
      </c>
    </row>
    <row r="324" spans="1:87" hidden="1" x14ac:dyDescent="0.2"/>
  </sheetData>
  <phoneticPr fontId="3" type="noConversion"/>
  <pageMargins left="0.21" right="0.17" top="0.26" bottom="0.24" header="0.5" footer="0.24"/>
  <pageSetup scale="80" orientation="landscape" r:id="rId1"/>
  <headerFooter alignWithMargins="0"/>
  <rowBreaks count="3" manualBreakCount="3">
    <brk id="109" min="41" max="71" man="1"/>
    <brk id="157" min="41" max="71" man="1"/>
    <brk id="203" min="41" max="71" man="1"/>
  </rowBreaks>
  <ignoredErrors>
    <ignoredError sqref="V232:AU233 BD215 AZ121 AZ217:AZ225 L208 BM60:BN62 L232:Q233 BE114:BE115 AZ208:AZ215 BE103 BE172 BE192:BZ192 BI58:BJ58 BE174 M216:Q216 V216:AU216 CW166:CW171 AT96 BK208 CX89:CX90 AA192:AZ192 Q192 AU96:AU101 BN95 BJ72:BJ74 BE67 BS71:BS72 BE96:BE99 AZ96:BB99 BO263 BR130 BY137 BV143:CS145 CN136:CN137 CO208:CR208 BJ266 BE66 BJ67 CP134:CS134 V208:AU215 BV181:BX181 BE17 BQ130:BQ132 BJ96:BJ99 BE123 CI118 CX115:CX122 CD124:CD125 BK62 BN121:BN122 BM121:BM122 CJ130:CJ132 BR121:BR122 BX122 CS124:CS125 CC121:CC122 CI136:CI137 CM121:CM122 BP130:BP132 BO123 CR119:CR122 CR124:CR125 BF208 CX161:CX171 CW161:CW164 BO60:BO62 BM130:BM131 BO75 BA216:BB216 BY217:BY219 BJ65 CP136:CS137 CT95:CW99 BC208:BD208 BD210 CO218:CR219 CI75 BN208 BE13 BO58 CN126:CN132 BE65 BJ69 DC69:DC74 BO67 BE64 BS74 BR72:BR74 BJ102:BJ103 BJ75 BJ232:BJ233 BJ14 BO69 BD221 CI134 BJ123 BJ114:BJ118 BK143:BK145 BL121:BL122 BU177 BU212 BT124:BT125 BP121:BP122 BT75 BU72 BY124:BY125 BY123 CX136:CX149 BZ121:BZ122 CN124:CN125 BO134:BO137 CJ121:CJ122 CK121:CL122 CO121:CO122 CP119:CQ122 CP124:CQ125 BJ17 BK129:BK131 BJ126:BJ137 BI56:BJ57 BT134:BT137 BL221 BN143:BN145 BU215 BE58 BV218:BV219 BG218:BG219 BR168 BZ72:CC72 CD72 CX217:CX225 BT72:BT74 CT69:CX74 CY69:DB74 CH69 BT89:BT90 CN103 CN119:CN122 CI119:CI122 BY122 BT119:BT122 BO119:BO122 CS119:CS122 CD119:CD122 BN130:BN132 BO64 BJ119:BJ122 BJ124:BJ125 BO124:BO125 BE117:BE122 BE124:BE150 BK14:BO15 CN134 BM143:BM145 BE60:BE63 CX134 BE55:BE57 BL208 AZ103:BB103 BL210 BJ64 BL215 BL212 BL181 CK130:CL132 BM181 BO56:BO57 BM93 BT141:BT149 BN93 BO93:BO99 BR181 BT93:BT99 BZ97:CC97 BZ93:CC93 CD93:CD98 CG95:CH95 CE93:CH93 CI93:CI99 CJ95:CM95 CJ93:CM93 CN93:CN99 CO95:CR95 CO93:CR93 CS93:CS99 CX93:CX99 CT93:CW93 BE216 CI124:CI132 BF129 BI208 BU210 BT65 BP143:BP145 BD218:BD219 BI14:BI15 BJ216 BK181 BK121:BK122 BO216 BS121:BS122 BT216 BU121:BU122 BQ121:BQ122 CD217:CD225 BZ218:CA218 BZ208:CA208 CI217:CI225 CG208 CN217:CN225 CM218:CM219 CM208 CS217:CS225 CS208:CS215 CN208:CN215 CI208:CI215 CD208:CD215 BY96:BY99 CX208:CX215 BD212 BE183 V217:AU225 M208:Q215 M217:Q225 CY67:DB67 BG215 BJ168 BY216 CT67:CX67 DC67 BL143:BL145 BS183 BG14:BG15 BT208:BT215 BT217:BT225 BO208:BO215 BO217:BO225 BJ208:BJ215 BJ217:BJ225 BE208:BE215 BE217:BE225 BA208:BB215 BA217:BB225 CY66:DB66 CP66:CQ66 CT66:CW66 BY72 BR132 BE14:BE15 BO181 BL218:BL219 BM168 BM208 BJ141:BJ150 BP181 CO130:CO132 CM130:CM132 BE232:BE233 BO72:BO74 BG208 BG210 BG212 BM95 BH208 BJ181 BL130:BL131 BC96 BT123 BK168 BO115:BO118 BL168 CP126:CS132 BY210:BY215 BV131:CD132 BO141:BO150 BN183 CX124:CX132 BT126:BT132 BO126:BO132 BQ168 BP168 CD118 BY89 BZ13:CC13 BS132 BV215 BY134 BU181 BQ72:BQ74 BQ143:BQ145 BT168 BS144:BS145 BQ181 BY168:BZ168 BX93 BO65 BO17 BP72:BP74 BG13:BO13 BO103 BO106 BQ95 BU130:BU132 BU144:BU145 BU218:BU219 BU208 BV121:BV122 BS130 BR143:BR145 CP70:CS70 BP93:BQ93 BT181 BV210 BT115:BT118 BW121:BW122 BV208 BW208 BT13 BT17 BV72:BX72 BT103 BY93 BY208 BV221 BL60:BL62 BK60 BF60:BI62 BJ61:BJ62 BV74 BX71 BY126 BY127 BY128 BY129 BY136 BY141 BY142 BY149 BY146 BY147 BY148 BX74 CI106 CE72:CS72 CH71 BV183:CX183 BZ182:CX182 BL183 BM183 BR183 BK183 BO183 BP183 BJ183 BU183 BQ183 BT183 BY74 CD115 CD116 CD117 CD123 BZ181 CD216 CN17 CD142 CC221 BY221:BY225 BZ215:CA215 BZ212:CA212 CA210 CB69:CC69 BZ74:CC74 CA73:CC73 CC71 CD126 CD127 CB128 CD129 CD134 CD136 CD137 CD141 CD146 CD147 CD148 CD149 CI67 CA121:CB122 BV130:BZ130 CB130:CD130 CE168 CE181 CB192 BZ219 CC219 CC218 CC208 CC215 CC212 CC210 CD74 CD128 CE192:CF192 CD89 CI216 CN67 CN216 CN75 CI123 CI141 CI142 CI146 CI147 CI148 CI149 CG89 CH97 CG13:CX13 CG168 CG181 CE74:CS74 CE73 CH73:CS73 CI90 CH192:CX192 CJ69:CS69 CI89 CI168 CI181:CX181 CP71:CR71 CS216 CP164:CQ164 CP90:CS90 CN89 CI115 CN115 CI116 CN116 CI117 CN117 CN118 CN123 CJ127 CN141 CN142 CN146 CN147 CN148 CN149 CN106 CJ97:CM97 CT164:CV164 CT178:CX178 CS75:DC75 CP161:CV161 CP162:CV162 CS163:CV163 CP165:CV165 CP166:CV166 CP167:CV167 CO168:CV168 CP169:CV169 CP170:CV170 CP171:CV171 CP175:CX175 CP176:CX176 CP177:CX177 CP178:CR178 CP179:CX179 CP180:CX180 CP184:CX184 CP185:DC185 CP186:CX186 CP187:CX187 CM210 CM212 CM215 CM221 CS67 CX216 CO221:CR221 CO210:CR210 CO212:CR212 CS115 CS116 CP17:DC17 CP89:CS89 CP115 CP116 CP117:CS117 CP118:CS118 CP123:DC123 CO127 CP141:CS141 CP142:CS142 CP146:CS146 CP147:CS147 CP148:CS148 CP149:CS149 CO215:CR215 CP213:CR213 CP214:CR214 CP217:CR217 CP225:CR225 CP222:CR222 CP223:CR223 CR224 CP106:DC106 CP103:CX103 CO97:CR97 CP96:CR96 CP99:CR99 CP98:CR98" formula="1"/>
    <ignoredError sqref="BO174 AU184 BJ5 BE168 BO172" formulaRange="1"/>
    <ignoredError sqref="L209:L225 BO168" formula="1" formulaRange="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N397"/>
  <sheetViews>
    <sheetView showGridLines="0" zoomScale="85" zoomScaleNormal="85" workbookViewId="0">
      <pane xSplit="1" ySplit="3" topLeftCell="AO4" activePane="bottomRight" state="frozen"/>
      <selection pane="topRight" activeCell="B1" sqref="B1"/>
      <selection pane="bottomLeft" activeCell="A4" sqref="A4"/>
      <selection pane="bottomRight" activeCell="AO4" sqref="AO4"/>
    </sheetView>
  </sheetViews>
  <sheetFormatPr defaultColWidth="9.140625" defaultRowHeight="12.75" outlineLevelRow="2" outlineLevelCol="2" x14ac:dyDescent="0.2"/>
  <cols>
    <col min="1" max="1" width="40.140625" style="21" customWidth="1"/>
    <col min="2" max="5" width="9.140625" style="21" hidden="1" customWidth="1" outlineLevel="1"/>
    <col min="6" max="6" width="11.28515625" style="21" hidden="1" customWidth="1" collapsed="1"/>
    <col min="7" max="7" width="11.28515625" style="21" hidden="1" customWidth="1" outlineLevel="1"/>
    <col min="8" max="10" width="9.140625" style="21" hidden="1" customWidth="1" outlineLevel="1"/>
    <col min="11" max="11" width="10.28515625" style="21" hidden="1" customWidth="1" collapsed="1"/>
    <col min="12" max="15" width="9.140625" style="21" hidden="1" customWidth="1" outlineLevel="1"/>
    <col min="16" max="16" width="10.42578125" style="21" hidden="1" customWidth="1" collapsed="1"/>
    <col min="17" max="20" width="9.140625" style="21" hidden="1" customWidth="1" outlineLevel="1"/>
    <col min="21" max="21" width="10.42578125" style="21" hidden="1" customWidth="1" collapsed="1"/>
    <col min="22" max="25" width="10.28515625" style="21" hidden="1" customWidth="1" outlineLevel="1"/>
    <col min="26" max="26" width="10.42578125" style="21" hidden="1" customWidth="1" collapsed="1"/>
    <col min="27" max="27" width="9.28515625" style="21" hidden="1" customWidth="1" outlineLevel="1"/>
    <col min="28" max="28" width="10.28515625" style="21" hidden="1" customWidth="1" outlineLevel="1"/>
    <col min="29" max="29" width="8.28515625" style="21" hidden="1" customWidth="1" outlineLevel="1"/>
    <col min="30" max="30" width="9.42578125" style="21" hidden="1" customWidth="1" outlineLevel="1"/>
    <col min="31" max="31" width="10.28515625" style="21" hidden="1" customWidth="1" collapsed="1"/>
    <col min="32" max="32" width="10.140625" style="21" hidden="1" customWidth="1" outlineLevel="1"/>
    <col min="33" max="33" width="8.7109375" style="21" hidden="1" customWidth="1" outlineLevel="1"/>
    <col min="34" max="34" width="8.85546875" style="21" hidden="1" customWidth="1" outlineLevel="1"/>
    <col min="35" max="35" width="9.28515625" style="21" hidden="1" customWidth="1" outlineLevel="1"/>
    <col min="36" max="36" width="10.28515625" style="21" hidden="1" customWidth="1" collapsed="1"/>
    <col min="37" max="37" width="9.5703125" style="21" hidden="1" customWidth="1" outlineLevel="1"/>
    <col min="38" max="38" width="10.28515625" style="21" hidden="1" customWidth="1" outlineLevel="1"/>
    <col min="39" max="39" width="8.28515625" style="21" hidden="1" customWidth="1" outlineLevel="1"/>
    <col min="40" max="40" width="10.7109375" style="21" hidden="1" customWidth="1" outlineLevel="1"/>
    <col min="41" max="41" width="10.28515625" style="21" customWidth="1" collapsed="1"/>
    <col min="42" max="42" width="10.42578125" style="21" hidden="1" customWidth="1" outlineLevel="1"/>
    <col min="43" max="43" width="10.28515625" style="21" hidden="1" customWidth="1" outlineLevel="1"/>
    <col min="44" max="44" width="9.5703125" style="21" hidden="1" customWidth="1" outlineLevel="1"/>
    <col min="45" max="45" width="10.28515625" style="21" hidden="1" customWidth="1" outlineLevel="1"/>
    <col min="46" max="46" width="10.28515625" style="21" customWidth="1" collapsed="1"/>
    <col min="47" max="47" width="9.5703125" style="21" hidden="1" customWidth="1" outlineLevel="1"/>
    <col min="48" max="48" width="10.28515625" style="21" hidden="1" customWidth="1" outlineLevel="1"/>
    <col min="49" max="49" width="8.28515625" style="21" hidden="1" customWidth="1" outlineLevel="1"/>
    <col min="50" max="50" width="10.28515625" style="21" hidden="1" customWidth="1" outlineLevel="1"/>
    <col min="51" max="51" width="10.28515625" style="21" customWidth="1" collapsed="1"/>
    <col min="52" max="52" width="9.5703125" style="21" hidden="1" customWidth="1" outlineLevel="1"/>
    <col min="53" max="53" width="10.28515625" style="21" hidden="1" customWidth="1" outlineLevel="1"/>
    <col min="54" max="54" width="8.28515625" style="21" hidden="1" customWidth="1" outlineLevel="1"/>
    <col min="55" max="55" width="9.140625" style="21" hidden="1" customWidth="1" outlineLevel="1"/>
    <col min="56" max="56" width="10.28515625" style="21" customWidth="1" collapsed="1"/>
    <col min="57" max="57" width="9.5703125" style="21" hidden="1" customWidth="1" outlineLevel="1"/>
    <col min="58" max="58" width="10.28515625" style="21" hidden="1" customWidth="1" outlineLevel="1"/>
    <col min="59" max="59" width="8.28515625" style="21" hidden="1" customWidth="1" outlineLevel="1"/>
    <col min="60" max="60" width="9.140625" style="21" hidden="1" customWidth="1" outlineLevel="1"/>
    <col min="61" max="61" width="10.28515625" style="21" customWidth="1" collapsed="1"/>
    <col min="62" max="62" width="9.5703125" style="21" customWidth="1" outlineLevel="1"/>
    <col min="63" max="63" width="10.28515625" style="21" customWidth="1" outlineLevel="1"/>
    <col min="64" max="64" width="8.28515625" style="21" customWidth="1" outlineLevel="1"/>
    <col min="65" max="65" width="9.140625" style="21" customWidth="1" outlineLevel="1"/>
    <col min="66" max="66" width="10.28515625" style="21" customWidth="1"/>
    <col min="67" max="67" width="9.5703125" style="21" customWidth="1" outlineLevel="1"/>
    <col min="68" max="68" width="10.28515625" style="21" customWidth="1" outlineLevel="1"/>
    <col min="69" max="69" width="8.28515625" style="21" customWidth="1" outlineLevel="1"/>
    <col min="70" max="70" width="9.140625" style="21" customWidth="1" outlineLevel="1"/>
    <col min="71" max="71" width="10.28515625" style="21" customWidth="1"/>
    <col min="72" max="72" width="9.5703125" style="21" hidden="1" customWidth="1" outlineLevel="2"/>
    <col min="73" max="73" width="10.28515625" style="21" hidden="1" customWidth="1" outlineLevel="2"/>
    <col min="74" max="74" width="8.28515625" style="21" hidden="1" customWidth="1" outlineLevel="2"/>
    <col min="75" max="75" width="9.140625" style="21" hidden="1" customWidth="1" outlineLevel="2"/>
    <col min="76" max="76" width="10.28515625" style="21" customWidth="1" collapsed="1"/>
    <col min="77" max="77" width="9.5703125" style="21" hidden="1" customWidth="1" outlineLevel="2"/>
    <col min="78" max="78" width="10.28515625" style="21" hidden="1" customWidth="1" outlineLevel="2"/>
    <col min="79" max="79" width="8.28515625" style="21" hidden="1" customWidth="1" outlineLevel="2"/>
    <col min="80" max="80" width="9.140625" style="21" hidden="1" customWidth="1" outlineLevel="2"/>
    <col min="81" max="81" width="10.28515625" style="21" hidden="1" customWidth="1" outlineLevel="1" collapsed="1"/>
    <col min="82" max="85" width="10.28515625" style="21" hidden="1" customWidth="1" outlineLevel="2"/>
    <col min="86" max="86" width="10.28515625" style="21" hidden="1" customWidth="1" outlineLevel="1" collapsed="1"/>
    <col min="87" max="90" width="10.28515625" style="21" hidden="1" customWidth="1" outlineLevel="2"/>
    <col min="91" max="91" width="10.28515625" style="21" hidden="1" customWidth="1" outlineLevel="1" collapsed="1"/>
    <col min="92" max="92" width="9.140625" style="21" collapsed="1"/>
    <col min="93" max="16384" width="9.140625" style="21"/>
  </cols>
  <sheetData>
    <row r="1" spans="1:91" x14ac:dyDescent="0.2">
      <c r="A1" s="48"/>
      <c r="B1" s="131"/>
      <c r="C1" s="131"/>
      <c r="D1" s="131"/>
      <c r="E1" s="131"/>
      <c r="F1" s="141"/>
      <c r="G1" s="141"/>
      <c r="H1" s="131"/>
      <c r="I1" s="131"/>
      <c r="J1" s="131"/>
      <c r="K1" s="131"/>
      <c r="L1" s="131"/>
      <c r="M1" s="131"/>
      <c r="N1" s="131"/>
      <c r="O1" s="131"/>
      <c r="P1" s="131"/>
      <c r="Q1" s="131"/>
      <c r="R1" s="131"/>
      <c r="S1" s="131"/>
      <c r="T1" s="131"/>
      <c r="U1" s="131"/>
      <c r="V1" s="131"/>
      <c r="W1" s="131"/>
      <c r="X1" s="131"/>
      <c r="Y1" s="53"/>
      <c r="Z1" s="53"/>
      <c r="AA1" s="40"/>
      <c r="AB1" s="40"/>
      <c r="AC1" s="40"/>
      <c r="AD1" s="40"/>
      <c r="AE1" s="40"/>
      <c r="AF1" s="40"/>
      <c r="AG1" s="40"/>
      <c r="AH1" s="40"/>
      <c r="AI1" s="40"/>
      <c r="AJ1" s="40"/>
      <c r="AK1" s="129">
        <f>AVERAGE(AK8,AF8)</f>
        <v>0.05</v>
      </c>
      <c r="AL1" s="129">
        <f>AVERAGE(AL8,AG8)</f>
        <v>4.4999999999999998E-2</v>
      </c>
      <c r="AM1" s="129">
        <f>AVERAGE(AM8,AH8)</f>
        <v>0.04</v>
      </c>
      <c r="AN1" s="129">
        <f>AVERAGE(AN8,AI8)</f>
        <v>0.03</v>
      </c>
      <c r="AO1"/>
      <c r="AP1"/>
      <c r="AQ1"/>
      <c r="AR1"/>
      <c r="AS1"/>
      <c r="AT1" s="821"/>
      <c r="AU1" s="821"/>
      <c r="AV1" s="821"/>
      <c r="AW1" s="821"/>
      <c r="AX1" s="821"/>
      <c r="AY1" s="821"/>
      <c r="AZ1" s="821"/>
      <c r="BA1" s="821"/>
      <c r="BB1" s="821"/>
      <c r="BC1" s="821"/>
      <c r="BD1" s="821"/>
      <c r="BE1" s="821"/>
      <c r="BF1" s="821"/>
      <c r="BG1" s="821"/>
      <c r="BH1" s="142"/>
      <c r="BI1" s="821"/>
      <c r="BJ1" s="821"/>
      <c r="BK1" s="821"/>
      <c r="BL1" s="821"/>
      <c r="BM1" s="667"/>
      <c r="BN1" s="821"/>
      <c r="BO1" s="821"/>
      <c r="BP1" s="821"/>
      <c r="BQ1" s="821"/>
      <c r="BR1" s="821"/>
      <c r="BS1" s="821"/>
      <c r="BT1" s="821"/>
      <c r="BU1" s="821"/>
      <c r="BV1" s="821"/>
      <c r="BW1" s="821"/>
      <c r="BX1" s="821"/>
      <c r="BY1" s="821"/>
      <c r="BZ1" s="821"/>
      <c r="CA1" s="821"/>
      <c r="CB1" s="821"/>
      <c r="CC1" s="821"/>
      <c r="CD1" s="821"/>
      <c r="CE1" s="821"/>
      <c r="CF1" s="821"/>
      <c r="CG1" s="821"/>
      <c r="CH1" s="821"/>
      <c r="CI1" s="821"/>
      <c r="CJ1" s="821"/>
      <c r="CK1" s="821"/>
      <c r="CL1" s="821"/>
      <c r="CM1" s="821"/>
    </row>
    <row r="2" spans="1:91" x14ac:dyDescent="0.2">
      <c r="A2" s="34" t="s">
        <v>180</v>
      </c>
      <c r="B2" s="40"/>
      <c r="C2" s="40"/>
      <c r="D2" s="40"/>
      <c r="E2" s="131"/>
      <c r="F2" s="14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t="e">
        <f>+AVERAGE(AK16,AF16)</f>
        <v>#DIV/0!</v>
      </c>
      <c r="AL2" s="191" t="e">
        <f>+AVERAGE(AL16,AG16)</f>
        <v>#DIV/0!</v>
      </c>
      <c r="AM2" s="191" t="e">
        <f>+AVERAGE(AM16,AH16)</f>
        <v>#DIV/0!</v>
      </c>
      <c r="AN2" s="191" t="e">
        <f>+AVERAGE(AN16,AI16)</f>
        <v>#DIV/0!</v>
      </c>
      <c r="AO2"/>
      <c r="AP2"/>
      <c r="AQ2"/>
      <c r="AR2"/>
      <c r="AS2"/>
      <c r="AT2" s="821"/>
      <c r="AU2" s="821"/>
      <c r="AV2" s="821"/>
      <c r="AW2" s="821"/>
      <c r="AX2" s="821"/>
      <c r="AY2" s="821"/>
      <c r="AZ2" s="821"/>
      <c r="BA2" s="821"/>
      <c r="BB2" s="821"/>
      <c r="BC2" s="821"/>
      <c r="BD2" s="821"/>
      <c r="BE2" s="142"/>
      <c r="BF2" s="821"/>
      <c r="BG2" s="821"/>
      <c r="BH2" s="142"/>
      <c r="BI2" s="821"/>
      <c r="BJ2" s="821"/>
      <c r="BK2" s="821"/>
      <c r="BL2" s="836"/>
      <c r="BM2" s="836"/>
      <c r="BN2" s="836"/>
      <c r="BO2" s="836"/>
      <c r="BP2" s="836"/>
      <c r="BQ2" s="836"/>
      <c r="BR2" s="836"/>
      <c r="BS2" s="836"/>
      <c r="BT2" s="821"/>
      <c r="BU2" s="821"/>
      <c r="BV2" s="821"/>
      <c r="BW2" s="821"/>
      <c r="BX2" s="821"/>
      <c r="BY2" s="821"/>
      <c r="BZ2" s="821"/>
      <c r="CA2" s="821"/>
      <c r="CB2" s="821"/>
      <c r="CC2" s="821"/>
      <c r="CD2" s="821"/>
      <c r="CE2" s="821"/>
      <c r="CF2" s="821"/>
      <c r="CG2" s="821"/>
      <c r="CH2" s="821"/>
      <c r="CI2" s="821"/>
      <c r="CJ2" s="821"/>
      <c r="CK2" s="821"/>
      <c r="CL2" s="821"/>
      <c r="CM2" s="821"/>
    </row>
    <row r="3" spans="1:91" x14ac:dyDescent="0.2">
      <c r="A3" s="60" t="s">
        <v>181</v>
      </c>
      <c r="B3" s="24">
        <v>38442</v>
      </c>
      <c r="C3" s="24">
        <v>38512</v>
      </c>
      <c r="D3" s="24">
        <v>38604</v>
      </c>
      <c r="E3" s="24">
        <v>38695</v>
      </c>
      <c r="F3" s="26" t="s">
        <v>18</v>
      </c>
      <c r="G3" s="24">
        <v>38807</v>
      </c>
      <c r="H3" s="24">
        <v>38877</v>
      </c>
      <c r="I3" s="24">
        <v>38969</v>
      </c>
      <c r="J3" s="24">
        <v>39060</v>
      </c>
      <c r="K3" s="26" t="s">
        <v>17</v>
      </c>
      <c r="L3" s="24">
        <v>39172</v>
      </c>
      <c r="M3" s="24">
        <v>39242</v>
      </c>
      <c r="N3" s="24">
        <v>39334</v>
      </c>
      <c r="O3" s="24">
        <v>39425</v>
      </c>
      <c r="P3" s="26" t="s">
        <v>16</v>
      </c>
      <c r="Q3" s="24">
        <v>39538</v>
      </c>
      <c r="R3" s="24">
        <v>39608</v>
      </c>
      <c r="S3" s="24">
        <v>39700</v>
      </c>
      <c r="T3" s="24">
        <v>39791</v>
      </c>
      <c r="U3" s="26" t="s">
        <v>15</v>
      </c>
      <c r="V3" s="24">
        <v>39903</v>
      </c>
      <c r="W3" s="24">
        <v>39973</v>
      </c>
      <c r="X3" s="24">
        <v>40065</v>
      </c>
      <c r="Y3" s="24">
        <v>40156</v>
      </c>
      <c r="Z3" s="26" t="s">
        <v>19</v>
      </c>
      <c r="AA3" s="24">
        <v>40247</v>
      </c>
      <c r="AB3" s="24">
        <v>40339</v>
      </c>
      <c r="AC3" s="24">
        <v>40431</v>
      </c>
      <c r="AD3" s="24">
        <v>40522</v>
      </c>
      <c r="AE3" s="26" t="s">
        <v>315</v>
      </c>
      <c r="AF3" s="24">
        <v>40613</v>
      </c>
      <c r="AG3" s="24">
        <v>40705</v>
      </c>
      <c r="AH3" s="24">
        <v>40797</v>
      </c>
      <c r="AI3" s="24">
        <v>40888</v>
      </c>
      <c r="AJ3" s="26" t="s">
        <v>265</v>
      </c>
      <c r="AK3" s="24">
        <v>40980</v>
      </c>
      <c r="AL3" s="24">
        <v>41072</v>
      </c>
      <c r="AM3" s="24">
        <v>41164</v>
      </c>
      <c r="AN3" s="24">
        <v>41274</v>
      </c>
      <c r="AO3" s="26" t="s">
        <v>340</v>
      </c>
      <c r="AP3" s="24">
        <v>41346</v>
      </c>
      <c r="AQ3" s="24">
        <v>41438</v>
      </c>
      <c r="AR3" s="24">
        <f>'Financial Statements'!BR4</f>
        <v>41530</v>
      </c>
      <c r="AS3" s="24">
        <f>'Financial Statements'!BS4</f>
        <v>41621</v>
      </c>
      <c r="AT3" s="26" t="str">
        <f>'Financial Statements'!BT4</f>
        <v>FY2013</v>
      </c>
      <c r="AU3" s="24">
        <f>'Financial Statements'!BU4</f>
        <v>41712</v>
      </c>
      <c r="AV3" s="24">
        <f>'Financial Statements'!BV4</f>
        <v>41804</v>
      </c>
      <c r="AW3" s="24">
        <f>'Financial Statements'!BW4</f>
        <v>41896</v>
      </c>
      <c r="AX3" s="24">
        <f>'Financial Statements'!BX4</f>
        <v>41987</v>
      </c>
      <c r="AY3" s="26" t="str">
        <f>'Financial Statements'!BY4</f>
        <v>FY2014</v>
      </c>
      <c r="AZ3" s="24">
        <f>'Financial Statements'!BZ4</f>
        <v>42078</v>
      </c>
      <c r="BA3" s="24">
        <f>'Financial Statements'!CA4</f>
        <v>42170</v>
      </c>
      <c r="BB3" s="24">
        <f>'Financial Statements'!CB4</f>
        <v>42262</v>
      </c>
      <c r="BC3" s="24">
        <f>'Financial Statements'!CC4</f>
        <v>42353</v>
      </c>
      <c r="BD3" s="26" t="str">
        <f>'Financial Statements'!CD4</f>
        <v>FY2015</v>
      </c>
      <c r="BE3" s="24">
        <f>'Financial Statements'!CE4</f>
        <v>42445</v>
      </c>
      <c r="BF3" s="24">
        <f>'Financial Statements'!CF4</f>
        <v>42537</v>
      </c>
      <c r="BG3" s="24">
        <f>'Financial Statements'!CG4</f>
        <v>42629</v>
      </c>
      <c r="BH3" s="24">
        <f>'Financial Statements'!CH4</f>
        <v>42720</v>
      </c>
      <c r="BI3" s="26" t="str">
        <f>'Financial Statements'!CI4</f>
        <v>FY2016</v>
      </c>
      <c r="BJ3" s="24">
        <f>'Financial Statements'!CJ4</f>
        <v>42811</v>
      </c>
      <c r="BK3" s="24">
        <f>'Financial Statements'!CK4</f>
        <v>42903</v>
      </c>
      <c r="BL3" s="24">
        <f>'Financial Statements'!CL4</f>
        <v>42995</v>
      </c>
      <c r="BM3" s="24">
        <f>'Financial Statements'!CM4</f>
        <v>43086</v>
      </c>
      <c r="BN3" s="26" t="str">
        <f>'Financial Statements'!CN4</f>
        <v>FY2017</v>
      </c>
      <c r="BO3" s="24">
        <f>'Financial Statements'!CO4</f>
        <v>43177</v>
      </c>
      <c r="BP3" s="24" t="str">
        <f>'Financial Statements'!CP4</f>
        <v>Jun-18 E</v>
      </c>
      <c r="BQ3" s="24" t="str">
        <f>'Financial Statements'!CQ4</f>
        <v>Sep-18 E</v>
      </c>
      <c r="BR3" s="24" t="str">
        <f>'Financial Statements'!CR4</f>
        <v>Dec-18 E</v>
      </c>
      <c r="BS3" s="26" t="str">
        <f>'Financial Statements'!CS4</f>
        <v>FY2018E</v>
      </c>
      <c r="BT3" s="24" t="str">
        <f>'Financial Statements'!CT4</f>
        <v>Mar-19 E</v>
      </c>
      <c r="BU3" s="24" t="str">
        <f>'Financial Statements'!CU4</f>
        <v>Jun-19 E</v>
      </c>
      <c r="BV3" s="24" t="str">
        <f>'Financial Statements'!CV4</f>
        <v>Sep-19 E</v>
      </c>
      <c r="BW3" s="24" t="str">
        <f>'Financial Statements'!CW4</f>
        <v>Dec-19 E</v>
      </c>
      <c r="BX3" s="26" t="str">
        <f>'Financial Statements'!CX4</f>
        <v>FY2019E</v>
      </c>
      <c r="BY3" s="24" t="str">
        <f>'Financial Statements'!CY4</f>
        <v>Mar-20 E</v>
      </c>
      <c r="BZ3" s="24" t="str">
        <f>'Financial Statements'!CZ4</f>
        <v>Jun-20 E</v>
      </c>
      <c r="CA3" s="24" t="str">
        <f>'Financial Statements'!DA4</f>
        <v>Sep-20 E</v>
      </c>
      <c r="CB3" s="24" t="str">
        <f>'Financial Statements'!DB4</f>
        <v>Dec-20 E</v>
      </c>
      <c r="CC3" s="26" t="str">
        <f>'Financial Statements'!DC4</f>
        <v>FY2020E</v>
      </c>
      <c r="CD3" s="24" t="str">
        <f>'Financial Statements'!DD4</f>
        <v>Mar-21 E</v>
      </c>
      <c r="CE3" s="24" t="str">
        <f>'Financial Statements'!DE4</f>
        <v>Jun-21 E</v>
      </c>
      <c r="CF3" s="24" t="str">
        <f>'Financial Statements'!DF4</f>
        <v>Sep-21 E</v>
      </c>
      <c r="CG3" s="24" t="str">
        <f>'Financial Statements'!DG4</f>
        <v>Dec-21 E</v>
      </c>
      <c r="CH3" s="26" t="str">
        <f>'Financial Statements'!DH4</f>
        <v>FY2021E</v>
      </c>
      <c r="CI3" s="24" t="str">
        <f>'Financial Statements'!DI4</f>
        <v>Mar-22 E</v>
      </c>
      <c r="CJ3" s="24" t="str">
        <f>'Financial Statements'!DJ4</f>
        <v>Jun-22 E</v>
      </c>
      <c r="CK3" s="24" t="str">
        <f>'Financial Statements'!DK4</f>
        <v>Sep-22 E</v>
      </c>
      <c r="CL3" s="24" t="str">
        <f>'Financial Statements'!DL4</f>
        <v>Dec-22 E</v>
      </c>
      <c r="CM3" s="26" t="str">
        <f>'Financial Statements'!DM4</f>
        <v>FY2022E</v>
      </c>
    </row>
    <row r="4" spans="1:91" x14ac:dyDescent="0.2">
      <c r="A4" s="52" t="s">
        <v>4</v>
      </c>
      <c r="B4" s="118">
        <f>SUM(B28,B59,B71,B82,B104,B115,B136)</f>
        <v>5489</v>
      </c>
      <c r="C4" s="118">
        <f>SUM(C28,C59,C71,C82,C104,C115,C136)</f>
        <v>6625</v>
      </c>
      <c r="D4" s="118">
        <f>SUM(D28,D59,D71,D82,D104,D115,D136)</f>
        <v>6297</v>
      </c>
      <c r="E4" s="118">
        <f>SUM(E28,E59,E71,E82,E104,E115,E136)</f>
        <v>5797</v>
      </c>
      <c r="F4" s="119">
        <f>SUM(B4:E4)</f>
        <v>24208</v>
      </c>
      <c r="G4" s="118">
        <f>SUM(G28,G59,G71,G82,G104,G115,G136)</f>
        <v>5461</v>
      </c>
      <c r="H4" s="118">
        <f>SUM(H28,H59,H71,H82,H104,H115,H136)</f>
        <v>6776</v>
      </c>
      <c r="I4" s="118">
        <f>SUM(I28,I59,I71,I82,I104,I115,I136)</f>
        <v>6783</v>
      </c>
      <c r="J4" s="118">
        <f>SUM(J28,J59,J71,J82,J104,J115,J136)</f>
        <v>6260</v>
      </c>
      <c r="K4" s="119">
        <f>SUM(G4:J4)</f>
        <v>25280</v>
      </c>
      <c r="L4" s="118">
        <f>SUM(L28,L59,L71,L82,L104,L115,L136)</f>
        <v>6429</v>
      </c>
      <c r="M4" s="118">
        <f>SUM(M28,M59,M71,M82,M104,M115,M136)</f>
        <v>8227</v>
      </c>
      <c r="N4" s="118">
        <f>SUM(N28,N59,N71,N82,N104,N115,N136)</f>
        <v>8190</v>
      </c>
      <c r="O4" s="118">
        <f>SUM(O28,O59,O71,O82,O104,O115,O136)</f>
        <v>7808</v>
      </c>
      <c r="P4" s="119">
        <f>SUM(L4:O4)</f>
        <v>30654</v>
      </c>
      <c r="Q4" s="118">
        <f>SUM(Q28,Q59,Q71,Q82,Q104,Q115,Q136)</f>
        <v>7835</v>
      </c>
      <c r="R4" s="118">
        <f>SUM(R28,R59,R71,R82,R104,R115,R136)</f>
        <v>9680</v>
      </c>
      <c r="S4" s="118">
        <f>SUM(S28,S59,S71,S82,S104,S115,S136)</f>
        <v>8925</v>
      </c>
      <c r="T4" s="118">
        <f>SUM(T28,T59,T71,T82,T104,T115,T136)</f>
        <v>7536</v>
      </c>
      <c r="U4" s="119">
        <f>SUM(Q4:T4)</f>
        <v>33976</v>
      </c>
      <c r="V4" s="118">
        <f>SUM(V28,V59,V71,V82,V104,V115,V136)</f>
        <v>7578</v>
      </c>
      <c r="W4" s="118">
        <f>SUM(W28,W59,W71,W82,W104,W115,W136)</f>
        <v>8775</v>
      </c>
      <c r="X4" s="118">
        <f>SUM(X28,X59,X71,X82,X104,X115,X136)</f>
        <v>8533</v>
      </c>
      <c r="Y4" s="118">
        <f>SUM(Y28,Y59,Y71,Y82,Y104,Y115,Y136)</f>
        <v>7950</v>
      </c>
      <c r="Z4" s="119">
        <f>SUM(V4:Y4)</f>
        <v>32836</v>
      </c>
      <c r="AA4" s="118">
        <f>SUM(AA28,AA59,AA71,AA82,AA104,AA115,AA136)</f>
        <v>7987</v>
      </c>
      <c r="AB4" s="118">
        <f>SUM(AB28,AB59,AB71,AB82,AB104,AB115,AB136)</f>
        <v>9136</v>
      </c>
      <c r="AC4" s="118">
        <f>SUM(AC28,AC59,AC71,AC82,AC104,AC115,AC136)</f>
        <v>8890</v>
      </c>
      <c r="AD4" s="118">
        <f>SUM(AD28,AD59,AD71,AD82,AD104,AD115,AD136)</f>
        <v>10794</v>
      </c>
      <c r="AE4" s="119">
        <f>SUM(AA4:AD4)</f>
        <v>36807</v>
      </c>
      <c r="AF4" s="118">
        <f>SUM(AF28,AF59,AF71,AF82,AF104,AF115,AF136)</f>
        <v>10913</v>
      </c>
      <c r="AG4" s="118">
        <f>SUM(AG28,AG59,AG71,AG82,AG104,AG115,AG136)</f>
        <v>13183</v>
      </c>
      <c r="AH4" s="118">
        <f>SUM(AH28,AH59,AH71,AH82,AH104,AH115,AH136)</f>
        <v>12678</v>
      </c>
      <c r="AI4" s="118">
        <f>SUM(AI28,AI59,AI71,AI82,AI104,AI115,AI136)</f>
        <v>11413</v>
      </c>
      <c r="AJ4" s="119">
        <f>SUM(AF4:AI4)</f>
        <v>48187</v>
      </c>
      <c r="AK4" s="118">
        <f>SUM(AK28,AK59,AK71,AK82,AK104,AK115,AK136)</f>
        <v>11507</v>
      </c>
      <c r="AL4" s="118">
        <f>SUM(AL28,AL59,AL71,AL82,AL104,AL115,AL136)</f>
        <v>13532</v>
      </c>
      <c r="AM4" s="118">
        <f>SUM(AM28,AM59,AM71,AM82,AM104,AM115,AM136)</f>
        <v>12767</v>
      </c>
      <c r="AN4" s="118">
        <f>SUM(AN28,AN59,AN71,AN82,AN104,AN115,AN136)</f>
        <v>11858</v>
      </c>
      <c r="AO4" s="119">
        <f>SUM(AK4:AN4)</f>
        <v>49664</v>
      </c>
      <c r="AP4" s="118">
        <f>SUM(AP28,AP59,AP71,AP82,AP104,AP115,AP136)</f>
        <v>11433</v>
      </c>
      <c r="AQ4" s="118">
        <f>SUM(AQ28,AQ59,AQ71,AQ82,AQ104,AQ115,AQ136)</f>
        <v>13182</v>
      </c>
      <c r="AR4" s="118">
        <f>SUM(AR28,AR59,AR71,AR82,AR104,AR115,AR136)</f>
        <v>12393</v>
      </c>
      <c r="AS4" s="118">
        <f>SUM(AS28,AS59,AS71,AS82,AS104,AS115,AS136)</f>
        <v>11317</v>
      </c>
      <c r="AT4" s="119">
        <f>SUM(AP4:AS4)</f>
        <v>48325</v>
      </c>
      <c r="AU4" s="118">
        <f>SUM(AU17,AU71,AU93,AU104,AU125,AU136)</f>
        <v>11844</v>
      </c>
      <c r="AV4" s="118">
        <f t="shared" ref="AV4:AX4" si="0">SUM(AV17,AV71,AV93,AV104,AV125,AV136)</f>
        <v>14150</v>
      </c>
      <c r="AW4" s="118">
        <f t="shared" si="0"/>
        <v>13540</v>
      </c>
      <c r="AX4" s="118">
        <f t="shared" si="0"/>
        <v>12193</v>
      </c>
      <c r="AY4" s="119">
        <f>SUM(AU4:AX4)</f>
        <v>51727</v>
      </c>
      <c r="AZ4" s="118">
        <f>SUM(AZ17,AZ71,AZ93,AZ104,AZ125,AZ136)</f>
        <v>12089</v>
      </c>
      <c r="BA4" s="118">
        <f>SUM(BA17,BA71,BA93,BA104,BA125,BA136)</f>
        <v>13728</v>
      </c>
      <c r="BB4" s="118">
        <f>SUM(BB17,BB71,BB93,BB104,BB125,BB136)</f>
        <v>12934</v>
      </c>
      <c r="BC4" s="118">
        <f>SUM(BC17,BC71,BC93,BC104,BC125,BC136)</f>
        <v>11231</v>
      </c>
      <c r="BD4" s="119">
        <f>SUM(AZ4:BC4)</f>
        <v>49982</v>
      </c>
      <c r="BE4" s="118">
        <f>SUM(BE17,BE71,BE93,BE104,BE125,BE136)</f>
        <v>11608</v>
      </c>
      <c r="BF4" s="118">
        <f>SUM(BF17,BF71,BF93,BF104,BF125,BF136)</f>
        <v>12900</v>
      </c>
      <c r="BG4" s="118">
        <f>SUM(BG17,BG71,BG93,BG104,BG125,BG136)</f>
        <v>11821</v>
      </c>
      <c r="BH4" s="118">
        <f>SUM(BH17,BH71,BH93,BH104,BH125,BH136)</f>
        <v>10280</v>
      </c>
      <c r="BI4" s="119">
        <f>SUM(BE4:BH4)</f>
        <v>46609</v>
      </c>
      <c r="BJ4" s="118">
        <f>SUM(BJ17,BJ71,BJ93,BJ104,BJ125,BJ136)</f>
        <v>10048</v>
      </c>
      <c r="BK4" s="118">
        <f>SUM(BK17,BK71,BK93,BK104,BK125,BK136)</f>
        <v>10440</v>
      </c>
      <c r="BL4" s="118">
        <f t="shared" ref="BL4" si="1">SUM(BL17,BL71,BL93,BL104,BL125,BL136)</f>
        <v>9647</v>
      </c>
      <c r="BM4" s="118">
        <f>SUM(BM17,BM71,BM93,BM104,BM125,BM136)</f>
        <v>7792</v>
      </c>
      <c r="BN4" s="119">
        <f>SUM(BJ4:BM4)</f>
        <v>37927</v>
      </c>
      <c r="BO4" s="118">
        <f>SUM(BO17,BO71,BO93,BO104,BO125,BO136)</f>
        <v>7806</v>
      </c>
      <c r="BP4" s="118">
        <f>SUM(BP17,BP71,BP93,BP104,BP125,BP136)</f>
        <v>8950.0331528641345</v>
      </c>
      <c r="BQ4" s="118">
        <f t="shared" ref="BQ4" si="2">SUM(BQ17,BQ71,BQ93,BQ104,BQ125,BQ136)</f>
        <v>8482.0142701397417</v>
      </c>
      <c r="BR4" s="118">
        <f>SUM(BR17,BR71,BR93,BR104,BR125,BR136)</f>
        <v>7477.3518729414382</v>
      </c>
      <c r="BS4" s="119">
        <f>SUM(BO4:BR4)</f>
        <v>32715.399295945313</v>
      </c>
      <c r="BT4" s="118">
        <f>SUM(BT17,BT71,BT93,BT104,BT125,BT136)</f>
        <v>8095.1130034748421</v>
      </c>
      <c r="BU4" s="118">
        <f>SUM(BU17,BU71,BU93,BU104,BU125,BU136)</f>
        <v>9311.0194963557824</v>
      </c>
      <c r="BV4" s="118">
        <f t="shared" ref="BV4" si="3">SUM(BV17,BV71,BV93,BV104,BV125,BV136)</f>
        <v>8833.4992456765467</v>
      </c>
      <c r="BW4" s="118">
        <f>SUM(BW17,BW71,BW93,BW104,BW125,BW136)</f>
        <v>7802.9226724659602</v>
      </c>
      <c r="BX4" s="119">
        <f>SUM(BT4:BW4)</f>
        <v>34042.55441797313</v>
      </c>
      <c r="BY4" s="118">
        <f>SUM(BY17,BY71,BY93,BY104,BY125,BY136)</f>
        <v>8423.1468533258048</v>
      </c>
      <c r="BZ4" s="118">
        <f>SUM(BZ17,BZ71,BZ93,BZ104,BZ125,BZ136)</f>
        <v>9684.5913165922357</v>
      </c>
      <c r="CA4" s="118">
        <f t="shared" ref="CA4" si="4">SUM(CA17,CA71,CA93,CA104,CA125,CA136)</f>
        <v>9197.3066228059342</v>
      </c>
      <c r="CB4" s="118">
        <f>SUM(CB17,CB71,CB93,CB104,CB125,CB136)</f>
        <v>8139.979515152736</v>
      </c>
      <c r="CC4" s="119">
        <f>SUM(BY4:CB4)</f>
        <v>35445.024307876709</v>
      </c>
      <c r="CD4" s="118">
        <f>SUM(CD17,CD71,CD93,CD104,CD125,CD136)</f>
        <v>8725.3529100875021</v>
      </c>
      <c r="CE4" s="118">
        <f>SUM(CE17,CE71,CE93,CE104,CE125,CE136)</f>
        <v>10030.837687331263</v>
      </c>
      <c r="CF4" s="118">
        <f t="shared" ref="CF4" si="5">SUM(CF17,CF71,CF93,CF104,CF125,CF136)</f>
        <v>9536.6664889089025</v>
      </c>
      <c r="CG4" s="118">
        <f>SUM(CG17,CG71,CG93,CG104,CG125,CG136)</f>
        <v>8457.8138585832639</v>
      </c>
      <c r="CH4" s="119">
        <f>SUM(CD4:CG4)</f>
        <v>36750.670944910933</v>
      </c>
      <c r="CI4" s="118">
        <f>SUM(CI17,CI71,CI93,CI104,CI125,CI136)</f>
        <v>9022.7912680709196</v>
      </c>
      <c r="CJ4" s="118">
        <f>SUM(CJ17,CJ71,CJ93,CJ104,CJ125,CJ136)</f>
        <v>10372.906974991434</v>
      </c>
      <c r="CK4" s="118">
        <f t="shared" ref="CK4" si="6">SUM(CK17,CK71,CK93,CK104,CK125,CK136)</f>
        <v>9870.5816173005896</v>
      </c>
      <c r="CL4" s="118">
        <f>SUM(CL17,CL71,CL93,CL104,CL125,CL136)</f>
        <v>8768.0558235789522</v>
      </c>
      <c r="CM4" s="119">
        <f>SUM(CI4:CL4)</f>
        <v>38034.335683941892</v>
      </c>
    </row>
    <row r="5" spans="1:91" x14ac:dyDescent="0.2">
      <c r="A5" s="45" t="s">
        <v>194</v>
      </c>
      <c r="B5" s="70">
        <v>-283</v>
      </c>
      <c r="C5" s="70">
        <v>-315</v>
      </c>
      <c r="D5" s="70">
        <v>-260</v>
      </c>
      <c r="E5" s="70">
        <v>-246</v>
      </c>
      <c r="F5" s="77">
        <f>SUM(B5:E5)</f>
        <v>-1104</v>
      </c>
      <c r="G5" s="116">
        <f>-267+32</f>
        <v>-235</v>
      </c>
      <c r="H5" s="116">
        <f>-338+38</f>
        <v>-300</v>
      </c>
      <c r="I5" s="116">
        <f>-371+42</f>
        <v>-329</v>
      </c>
      <c r="J5" s="54">
        <v>-328</v>
      </c>
      <c r="K5" s="77">
        <f>SUM(G5:J5)</f>
        <v>-1192</v>
      </c>
      <c r="L5" s="70">
        <f>SUM(L29,L60,L72,L83,L105,L116)</f>
        <v>-326</v>
      </c>
      <c r="M5" s="70">
        <f>SUM(M29,M60,M72,M83,M105,M116)</f>
        <v>-494</v>
      </c>
      <c r="N5" s="70">
        <f>SUM(N29,N60,N72,N83,N105,N116)</f>
        <v>-500</v>
      </c>
      <c r="O5" s="70">
        <f>SUM(O29,O60,O72,O83,O105,O116)</f>
        <v>-477</v>
      </c>
      <c r="P5" s="77">
        <f>SUM(L5:O5)</f>
        <v>-1797</v>
      </c>
      <c r="Q5" s="70">
        <f>SUM(Q29,Q60,Q72,Q83,Q105,Q116)</f>
        <v>-456</v>
      </c>
      <c r="R5" s="70">
        <f>SUM(R29,R60,R72,R83,R105,R116)</f>
        <v>-634</v>
      </c>
      <c r="S5" s="70">
        <f>SUM(S29,S60,S72,S83,S105,S116)</f>
        <v>-532</v>
      </c>
      <c r="T5" s="70">
        <f>SUM(T29,T60,T72,T83,T105,T116)</f>
        <v>-410</v>
      </c>
      <c r="U5" s="77">
        <f>SUM(Q5:T5)</f>
        <v>-2032</v>
      </c>
      <c r="V5" s="70">
        <f>SUM(V29,V60,V72,V83,V105,V116)</f>
        <v>-409</v>
      </c>
      <c r="W5" s="70">
        <f>SUM(W29,W60,W72,W83,W105,W116)</f>
        <v>-508</v>
      </c>
      <c r="X5" s="70">
        <f>SUM(X29,X60,X72,X83,X105,X116)</f>
        <v>-489</v>
      </c>
      <c r="Y5" s="70">
        <f>SUM(Y29,Y60,Y72,Y83,Y105,Y116)</f>
        <v>-440</v>
      </c>
      <c r="Z5" s="77">
        <f>SUM(V5:Y5)</f>
        <v>-1846</v>
      </c>
      <c r="AA5" s="70">
        <f>SUM(AA29,AA60,AA72,AA83,AA105,AA116)</f>
        <v>-462</v>
      </c>
      <c r="AB5" s="70">
        <f>SUM(AB29,AB60,AB72,AB83,AB105,AB116)</f>
        <v>-462</v>
      </c>
      <c r="AC5" s="70">
        <f>SUM(AC29,AC60,AC72,AC83,AC105,AC116)</f>
        <v>-464</v>
      </c>
      <c r="AD5" s="70">
        <f>SUM(AD29,AD60,AD72,AD83,AD105,AD116)</f>
        <v>-300</v>
      </c>
      <c r="AE5" s="77">
        <f>SUM(AA5:AD5)</f>
        <v>-1688</v>
      </c>
      <c r="AF5" s="70">
        <f>SUM(AF29,AF60,AF72,AF83,AF105,AF116)</f>
        <v>-368</v>
      </c>
      <c r="AG5" s="70">
        <f>SUM(AG29,AG60,AG72,AG83,AG105,AG116)</f>
        <v>-446</v>
      </c>
      <c r="AH5" s="70">
        <f>SUM(AH29,AH60,AH72,AH83,AH105,AH116)</f>
        <v>-435</v>
      </c>
      <c r="AI5" s="70">
        <f>SUM(AI29,AI60,AI72,AI83,AI105,AI116)</f>
        <v>-373</v>
      </c>
      <c r="AJ5" s="77">
        <f>SUM(AF5:AI5)</f>
        <v>-1622</v>
      </c>
      <c r="AK5" s="70">
        <f>SUM(AK29,AK60,AK72,AK83,AK105,AK116)</f>
        <v>-370</v>
      </c>
      <c r="AL5" s="70">
        <f>SUM(AL29,AL60,AL72,AL83,AL105,AL116)</f>
        <v>-448</v>
      </c>
      <c r="AM5" s="70">
        <f>SUM(AM29,AM60,AM72,AM83,AM105,AM116)</f>
        <v>-423</v>
      </c>
      <c r="AN5" s="70">
        <f>SUM(AN29,AN60,AN72,AN83,AN105,AN116)</f>
        <v>-403</v>
      </c>
      <c r="AO5" s="77">
        <f>SUM(AK5:AN5)</f>
        <v>-1644</v>
      </c>
      <c r="AP5" s="70">
        <f>SUM(AP29,AP60,AP72,AP83,AP105,AP116)</f>
        <v>-398</v>
      </c>
      <c r="AQ5" s="70">
        <f ca="1">SUM(AQ29,AQ60,AQ72,AQ83,AQ105,AQ116)</f>
        <v>-433</v>
      </c>
      <c r="AR5" s="70">
        <f ca="1">SUM(AR29,AR60,AR72,AR83,AR105,AR116)</f>
        <v>-363</v>
      </c>
      <c r="AS5" s="70">
        <f>SUM(AS29,AS60,AS72,AS83,AS105,AS116)</f>
        <v>-277</v>
      </c>
      <c r="AT5" s="77">
        <f ca="1">SUM(AP5:AS5)</f>
        <v>-1471</v>
      </c>
      <c r="AU5" s="70">
        <f>SUM(AU18,AU72,AU94,AU105,AU126)</f>
        <v>-1268</v>
      </c>
      <c r="AV5" s="70">
        <f>SUM(AV18,AV72,AV94,AV105,AV126)</f>
        <v>-1576</v>
      </c>
      <c r="AW5" s="70">
        <f>SUM(AW18,AW72,AW94,AW105,AW126)</f>
        <v>-1564</v>
      </c>
      <c r="AX5" s="70">
        <f>SUM(AX18,AX72,AX94,AX105,AX126)</f>
        <v>-1321</v>
      </c>
      <c r="AY5" s="77">
        <f>SUM(AU5:AX5)</f>
        <v>-5729</v>
      </c>
      <c r="AZ5" s="70">
        <f>SUM(AZ18,AZ72,AZ94,AZ105,AZ126)</f>
        <v>-1378</v>
      </c>
      <c r="BA5" s="70">
        <f>SUM(BA18,BA72,BA94,BA105,BA126)</f>
        <v>-1572</v>
      </c>
      <c r="BB5" s="70">
        <f>SUM(BB18,BB72,BB94,BB105,BB126)</f>
        <v>-1507</v>
      </c>
      <c r="BC5" s="70">
        <f>SUM(BC18,BC72,BC94,BC105,BC126)-10</f>
        <v>-1231</v>
      </c>
      <c r="BD5" s="77">
        <f>SUM(AZ5:BC5)</f>
        <v>-5688</v>
      </c>
      <c r="BE5" s="70">
        <f>SUM(BE18,BE72,BE94,BE105,BE126)-3</f>
        <v>-1279</v>
      </c>
      <c r="BF5" s="70">
        <f>SUM(BF18,BF72,BF94,BF105,BF126)-2</f>
        <v>-1376</v>
      </c>
      <c r="BG5" s="70">
        <f>SUM(BG18,BG72,BG94,BG105,BG126)</f>
        <v>-1195</v>
      </c>
      <c r="BH5" s="70">
        <f>SUM(BH18,BH72,BH94,BH105,BH126)</f>
        <v>-905</v>
      </c>
      <c r="BI5" s="77">
        <f>SUM(BE5:BH5)</f>
        <v>-4755</v>
      </c>
      <c r="BJ5" s="70">
        <f>SUM(BJ18,BJ72,BJ94,BJ105,BJ126)</f>
        <v>-930</v>
      </c>
      <c r="BK5" s="70">
        <f>SUM(BK18,BK72,BK94,BK105,BK126)</f>
        <v>-738</v>
      </c>
      <c r="BL5" s="70">
        <f>SUM(BL18,BL72,BL94,BL105,BL126)</f>
        <v>-569</v>
      </c>
      <c r="BM5" s="70">
        <f>SUM(BM18,BM72,BM94,BM105,BM126)</f>
        <v>-322</v>
      </c>
      <c r="BN5" s="77">
        <f>SUM(BJ5:BM5)</f>
        <v>-2559</v>
      </c>
      <c r="BO5" s="70">
        <f>SUM(BO18,BO72,BO94,BO105,BO126)</f>
        <v>-182</v>
      </c>
      <c r="BP5" s="70">
        <f>SUM(BP18,BP72,BP94,BP105,BP126)</f>
        <v>-213.9653923953106</v>
      </c>
      <c r="BQ5" s="70">
        <f>SUM(BQ18,BQ72,BQ94,BQ105,BQ126)</f>
        <v>-182.72168781050544</v>
      </c>
      <c r="BR5" s="70">
        <f>SUM(BR18,BR72,BR94,BR105,BR126)</f>
        <v>-153.30933749612737</v>
      </c>
      <c r="BS5" s="77">
        <f>SUM(BO5:BR5)</f>
        <v>-731.99641770194341</v>
      </c>
      <c r="BT5" s="70">
        <f>SUM(BT18,BT72,BT94,BT105,BT126)</f>
        <v>-188.82699281378819</v>
      </c>
      <c r="BU5" s="70">
        <f>SUM(BU18,BU72,BU94,BU105,BU126)</f>
        <v>-222.04116235763726</v>
      </c>
      <c r="BV5" s="70">
        <f>SUM(BV18,BV72,BV94,BV105,BV126)</f>
        <v>-190.42065577168353</v>
      </c>
      <c r="BW5" s="70">
        <f>SUM(BW18,BW72,BW94,BW105,BW126)</f>
        <v>-159.5902787914743</v>
      </c>
      <c r="BX5" s="77">
        <f>SUM(BT5:BW5)</f>
        <v>-760.8790897345832</v>
      </c>
      <c r="BY5" s="70">
        <f>SUM(BY18,BY72,BY94,BY105,BY126)</f>
        <v>-196.29552534829259</v>
      </c>
      <c r="BZ5" s="70">
        <f>SUM(BZ18,BZ72,BZ94,BZ105,BZ126)</f>
        <v>-230.39155552334705</v>
      </c>
      <c r="CA5" s="70">
        <f>SUM(CA18,CA72,CA94,CA105,CA126)</f>
        <v>-198.38407829470248</v>
      </c>
      <c r="CB5" s="70">
        <f>SUM(CB18,CB72,CB94,CB105,CB126)</f>
        <v>-166.08573539927144</v>
      </c>
      <c r="CC5" s="77">
        <f>SUM(BY5:CB5)</f>
        <v>-791.15689456561358</v>
      </c>
      <c r="CD5" s="70">
        <f>SUM(CD18,CD72,CD94,CD105,CD126)</f>
        <v>-203.86895347122083</v>
      </c>
      <c r="CE5" s="70">
        <f>SUM(CE18,CE72,CE94,CE105,CE126)</f>
        <v>-238.7956652566711</v>
      </c>
      <c r="CF5" s="70">
        <f>SUM(CF18,CF72,CF94,CF105,CF126)</f>
        <v>-206.38669877617809</v>
      </c>
      <c r="CG5" s="70">
        <f>SUM(CG18,CG72,CG94,CG105,CG126)</f>
        <v>-172.61604184676702</v>
      </c>
      <c r="CH5" s="77">
        <f>SUM(CD5:CG5)</f>
        <v>-821.66735935083716</v>
      </c>
      <c r="CI5" s="70">
        <f>SUM(CI18,CI72,CI94,CI105,CI126)</f>
        <v>-211.42582664858037</v>
      </c>
      <c r="CJ5" s="70">
        <f>SUM(CJ18,CJ72,CJ94,CJ105,CJ126)</f>
        <v>-247.24088435408856</v>
      </c>
      <c r="CK5" s="70">
        <f>SUM(CK18,CK72,CK94,CK105,CK126)</f>
        <v>-214.24845965702175</v>
      </c>
      <c r="CL5" s="70">
        <f>SUM(CL18,CL72,CL94,CL105,CL126)</f>
        <v>-179.06061947681968</v>
      </c>
      <c r="CM5" s="77">
        <f>SUM(CI5:CL5)</f>
        <v>-851.97579013651034</v>
      </c>
    </row>
    <row r="6" spans="1:91" hidden="1" outlineLevel="1" x14ac:dyDescent="0.2">
      <c r="A6" s="45" t="s">
        <v>196</v>
      </c>
      <c r="B6" s="36">
        <f t="shared" ref="B6:P6" si="7">-B5/B4</f>
        <v>5.155766077609765E-2</v>
      </c>
      <c r="C6" s="36">
        <f t="shared" si="7"/>
        <v>4.7547169811320754E-2</v>
      </c>
      <c r="D6" s="36">
        <f t="shared" si="7"/>
        <v>4.1289502937906938E-2</v>
      </c>
      <c r="E6" s="36">
        <f t="shared" si="7"/>
        <v>4.2435742625495945E-2</v>
      </c>
      <c r="F6" s="27">
        <f t="shared" si="7"/>
        <v>4.5604758757435561E-2</v>
      </c>
      <c r="G6" s="36">
        <f t="shared" si="7"/>
        <v>4.3032411646218641E-2</v>
      </c>
      <c r="H6" s="36">
        <f t="shared" si="7"/>
        <v>4.4273907910271547E-2</v>
      </c>
      <c r="I6" s="36">
        <f t="shared" si="7"/>
        <v>4.8503611971104234E-2</v>
      </c>
      <c r="J6" s="36">
        <f t="shared" si="7"/>
        <v>5.2396166134185303E-2</v>
      </c>
      <c r="K6" s="27">
        <f t="shared" si="7"/>
        <v>4.7151898734177217E-2</v>
      </c>
      <c r="L6" s="36">
        <f t="shared" si="7"/>
        <v>5.0707730595738063E-2</v>
      </c>
      <c r="M6" s="36">
        <f t="shared" si="7"/>
        <v>6.0046189376443418E-2</v>
      </c>
      <c r="N6" s="36">
        <f t="shared" si="7"/>
        <v>6.1050061050061048E-2</v>
      </c>
      <c r="O6" s="36">
        <f t="shared" si="7"/>
        <v>6.1091188524590161E-2</v>
      </c>
      <c r="P6" s="27">
        <f t="shared" si="7"/>
        <v>5.8622039538070075E-2</v>
      </c>
      <c r="Q6" s="36">
        <f t="shared" ref="Q6:V6" si="8">-Q5/Q4</f>
        <v>5.8200382897255903E-2</v>
      </c>
      <c r="R6" s="36">
        <f t="shared" si="8"/>
        <v>6.5495867768595048E-2</v>
      </c>
      <c r="S6" s="36">
        <f t="shared" si="8"/>
        <v>5.9607843137254903E-2</v>
      </c>
      <c r="T6" s="36">
        <f t="shared" si="8"/>
        <v>5.4405520169851382E-2</v>
      </c>
      <c r="U6" s="27">
        <f>-U5/U4</f>
        <v>5.9806922533553096E-2</v>
      </c>
      <c r="V6" s="36">
        <f t="shared" si="8"/>
        <v>5.397202428081288E-2</v>
      </c>
      <c r="W6" s="36">
        <f t="shared" ref="W6:AD6" si="9">-W5/W4</f>
        <v>5.7891737891737891E-2</v>
      </c>
      <c r="X6" s="36">
        <f t="shared" si="9"/>
        <v>5.73069260517989E-2</v>
      </c>
      <c r="Y6" s="36">
        <f t="shared" si="9"/>
        <v>5.5345911949685536E-2</v>
      </c>
      <c r="Z6" s="27">
        <f>-Z5/Z4</f>
        <v>5.6218784261176755E-2</v>
      </c>
      <c r="AA6" s="36">
        <f t="shared" si="9"/>
        <v>5.7843996494303246E-2</v>
      </c>
      <c r="AB6" s="36">
        <f t="shared" si="9"/>
        <v>5.0569176882661999E-2</v>
      </c>
      <c r="AC6" s="36">
        <f t="shared" si="9"/>
        <v>5.2193475815523062E-2</v>
      </c>
      <c r="AD6" s="36">
        <f t="shared" si="9"/>
        <v>2.7793218454697052E-2</v>
      </c>
      <c r="AE6" s="27">
        <f t="shared" ref="AE6:BI6" si="10">-AE5/AE4</f>
        <v>4.5860841687722441E-2</v>
      </c>
      <c r="AF6" s="36">
        <f t="shared" si="10"/>
        <v>3.3721249885457709E-2</v>
      </c>
      <c r="AG6" s="36">
        <f t="shared" si="10"/>
        <v>3.3831449594174313E-2</v>
      </c>
      <c r="AH6" s="36">
        <f t="shared" si="10"/>
        <v>3.4311405584477046E-2</v>
      </c>
      <c r="AI6" s="36">
        <f t="shared" si="10"/>
        <v>3.2682029264873388E-2</v>
      </c>
      <c r="AJ6" s="27">
        <f t="shared" si="10"/>
        <v>3.3660530848569119E-2</v>
      </c>
      <c r="AK6" s="36">
        <f t="shared" si="10"/>
        <v>3.215434083601286E-2</v>
      </c>
      <c r="AL6" s="36">
        <f t="shared" si="10"/>
        <v>3.3106710020691696E-2</v>
      </c>
      <c r="AM6" s="36">
        <f t="shared" si="10"/>
        <v>3.3132294195973994E-2</v>
      </c>
      <c r="AN6" s="36">
        <f t="shared" si="10"/>
        <v>3.3985495024456067E-2</v>
      </c>
      <c r="AO6" s="27">
        <f t="shared" si="10"/>
        <v>3.3102448453608248E-2</v>
      </c>
      <c r="AP6" s="36">
        <f t="shared" si="10"/>
        <v>3.4811510539665878E-2</v>
      </c>
      <c r="AQ6" s="36">
        <f t="shared" ca="1" si="10"/>
        <v>3.2847822788651192E-2</v>
      </c>
      <c r="AR6" s="36">
        <f t="shared" ca="1" si="10"/>
        <v>2.9290728637133865E-2</v>
      </c>
      <c r="AS6" s="36">
        <f>-AS5/AS4</f>
        <v>2.447645135636653E-2</v>
      </c>
      <c r="AT6" s="27">
        <f t="shared" ca="1" si="10"/>
        <v>3.0439730988101397E-2</v>
      </c>
      <c r="AU6" s="36">
        <f>-AU5/AU4</f>
        <v>0.10705842620736238</v>
      </c>
      <c r="AV6" s="36">
        <f>-AV5/AV4</f>
        <v>0.11137809187279152</v>
      </c>
      <c r="AW6" s="36">
        <f>-AW5/AW4</f>
        <v>0.11550960118168389</v>
      </c>
      <c r="AX6" s="36">
        <f>-AX5/AX4</f>
        <v>0.10834085130812761</v>
      </c>
      <c r="AY6" s="27">
        <f t="shared" si="10"/>
        <v>0.11075453824888357</v>
      </c>
      <c r="AZ6" s="36">
        <f>-AZ5/AZ4</f>
        <v>0.11398792290512036</v>
      </c>
      <c r="BA6" s="36">
        <f>-BA5/BA4</f>
        <v>0.1145104895104895</v>
      </c>
      <c r="BB6" s="36">
        <f>-BB5/BB4</f>
        <v>0.11651461264883253</v>
      </c>
      <c r="BC6" s="36">
        <f>-BC5/BC4</f>
        <v>0.10960733683554448</v>
      </c>
      <c r="BD6" s="27">
        <f t="shared" si="10"/>
        <v>0.11380096834860549</v>
      </c>
      <c r="BE6" s="36">
        <f t="shared" si="10"/>
        <v>0.11018263266712612</v>
      </c>
      <c r="BF6" s="36">
        <f t="shared" si="10"/>
        <v>0.10666666666666667</v>
      </c>
      <c r="BG6" s="36">
        <f t="shared" ref="BG6:BH6" si="11">-BG5/BG4</f>
        <v>0.10109127823365198</v>
      </c>
      <c r="BH6" s="36">
        <f t="shared" si="11"/>
        <v>8.8035019455252925E-2</v>
      </c>
      <c r="BI6" s="27">
        <f t="shared" si="10"/>
        <v>0.10201892338389582</v>
      </c>
      <c r="BJ6" s="36">
        <f t="shared" ref="BJ6:CM6" si="12">-BJ5/BJ4</f>
        <v>9.2555732484076433E-2</v>
      </c>
      <c r="BK6" s="36">
        <f t="shared" si="12"/>
        <v>7.0689655172413796E-2</v>
      </c>
      <c r="BL6" s="36">
        <f t="shared" si="12"/>
        <v>5.8982066963822952E-2</v>
      </c>
      <c r="BM6" s="36">
        <f t="shared" si="12"/>
        <v>4.1324435318275156E-2</v>
      </c>
      <c r="BN6" s="27">
        <f t="shared" si="12"/>
        <v>6.7471721992248268E-2</v>
      </c>
      <c r="BO6" s="36">
        <f t="shared" si="12"/>
        <v>2.3315398411478349E-2</v>
      </c>
      <c r="BP6" s="36">
        <f t="shared" si="12"/>
        <v>2.3906659197886738E-2</v>
      </c>
      <c r="BQ6" s="36">
        <f t="shared" si="12"/>
        <v>2.1542251874506112E-2</v>
      </c>
      <c r="BR6" s="36">
        <f t="shared" si="12"/>
        <v>2.0503159420772129E-2</v>
      </c>
      <c r="BS6" s="27">
        <f t="shared" si="12"/>
        <v>2.2374674723675641E-2</v>
      </c>
      <c r="BT6" s="36">
        <f t="shared" si="12"/>
        <v>2.3326047793617442E-2</v>
      </c>
      <c r="BU6" s="36">
        <f t="shared" si="12"/>
        <v>2.384713751749112E-2</v>
      </c>
      <c r="BV6" s="36">
        <f t="shared" si="12"/>
        <v>2.1556650481957384E-2</v>
      </c>
      <c r="BW6" s="36">
        <f t="shared" si="12"/>
        <v>2.0452628520159222E-2</v>
      </c>
      <c r="BX6" s="27">
        <f t="shared" si="12"/>
        <v>2.2350822455698829E-2</v>
      </c>
      <c r="BY6" s="36">
        <f t="shared" si="12"/>
        <v>2.3304298116420354E-2</v>
      </c>
      <c r="BZ6" s="36">
        <f t="shared" si="12"/>
        <v>2.3789496943317175E-2</v>
      </c>
      <c r="CA6" s="36">
        <f t="shared" si="12"/>
        <v>2.1569801511540674E-2</v>
      </c>
      <c r="CB6" s="36">
        <f t="shared" si="12"/>
        <v>2.0403704344722183E-2</v>
      </c>
      <c r="CC6" s="27">
        <f t="shared" si="12"/>
        <v>2.2320675751089841E-2</v>
      </c>
      <c r="CD6" s="36">
        <f t="shared" si="12"/>
        <v>2.3365124089768919E-2</v>
      </c>
      <c r="CE6" s="36">
        <f t="shared" si="12"/>
        <v>2.3806153852759974E-2</v>
      </c>
      <c r="CF6" s="36">
        <f t="shared" si="12"/>
        <v>2.1641387901758423E-2</v>
      </c>
      <c r="CG6" s="36">
        <f t="shared" si="12"/>
        <v>2.0409061340548498E-2</v>
      </c>
      <c r="CH6" s="27">
        <f t="shared" si="12"/>
        <v>2.2357887304493361E-2</v>
      </c>
      <c r="CI6" s="36">
        <f t="shared" si="12"/>
        <v>2.3432419122534284E-2</v>
      </c>
      <c r="CJ6" s="36">
        <f t="shared" si="12"/>
        <v>2.3835255145946466E-2</v>
      </c>
      <c r="CK6" s="36">
        <f t="shared" si="12"/>
        <v>2.1705758380184945E-2</v>
      </c>
      <c r="CL6" s="36">
        <f t="shared" si="12"/>
        <v>2.0421929681981719E-2</v>
      </c>
      <c r="CM6" s="27">
        <f t="shared" si="12"/>
        <v>2.2400175389318416E-2</v>
      </c>
    </row>
    <row r="7" spans="1:91" collapsed="1" x14ac:dyDescent="0.2">
      <c r="A7" s="58" t="s">
        <v>198</v>
      </c>
      <c r="B7" s="53">
        <f>SUM(B4,B5)</f>
        <v>5206</v>
      </c>
      <c r="C7" s="53">
        <f>SUM(C4,C5)</f>
        <v>6310</v>
      </c>
      <c r="D7" s="53">
        <f>SUM(D4,D5)</f>
        <v>6037</v>
      </c>
      <c r="E7" s="53">
        <f>SUM(E4,E5)</f>
        <v>5551</v>
      </c>
      <c r="F7" s="65">
        <f>SUM(B7:E7)</f>
        <v>23104</v>
      </c>
      <c r="G7" s="53">
        <f>SUM(G4,G5)</f>
        <v>5226</v>
      </c>
      <c r="H7" s="53">
        <f>SUM(H4,H5)</f>
        <v>6476</v>
      </c>
      <c r="I7" s="53">
        <f>SUM(I4,I5)</f>
        <v>6454</v>
      </c>
      <c r="J7" s="53">
        <f>SUM(J4,J5)</f>
        <v>5932</v>
      </c>
      <c r="K7" s="65">
        <f>SUM(G7:J7)</f>
        <v>24088</v>
      </c>
      <c r="L7" s="53">
        <f t="shared" ref="L7:Q7" si="13">SUM(L4,L5)</f>
        <v>6103</v>
      </c>
      <c r="M7" s="53">
        <f t="shared" si="13"/>
        <v>7733</v>
      </c>
      <c r="N7" s="53">
        <f t="shared" si="13"/>
        <v>7690</v>
      </c>
      <c r="O7" s="53">
        <f t="shared" si="13"/>
        <v>7331</v>
      </c>
      <c r="P7" s="65">
        <f>SUM(L7:O7)</f>
        <v>28857</v>
      </c>
      <c r="Q7" s="53">
        <f t="shared" si="13"/>
        <v>7379</v>
      </c>
      <c r="R7" s="53">
        <f t="shared" ref="R7:AC7" si="14">SUM(R4,R5)</f>
        <v>9046</v>
      </c>
      <c r="S7" s="53">
        <f t="shared" si="14"/>
        <v>8393</v>
      </c>
      <c r="T7" s="53">
        <f t="shared" si="14"/>
        <v>7126</v>
      </c>
      <c r="U7" s="65">
        <f>SUM(Q7:T7)</f>
        <v>31944</v>
      </c>
      <c r="V7" s="53">
        <f t="shared" si="14"/>
        <v>7169</v>
      </c>
      <c r="W7" s="53">
        <f t="shared" si="14"/>
        <v>8267</v>
      </c>
      <c r="X7" s="53">
        <f t="shared" si="14"/>
        <v>8044</v>
      </c>
      <c r="Y7" s="53">
        <f t="shared" si="14"/>
        <v>7510</v>
      </c>
      <c r="Z7" s="65">
        <f>SUM(V7:Y7)</f>
        <v>30990</v>
      </c>
      <c r="AA7" s="53">
        <f t="shared" si="14"/>
        <v>7525</v>
      </c>
      <c r="AB7" s="53">
        <f t="shared" si="14"/>
        <v>8674</v>
      </c>
      <c r="AC7" s="53">
        <f t="shared" si="14"/>
        <v>8426</v>
      </c>
      <c r="AD7" s="53">
        <f>SUM(AD4,AD5)</f>
        <v>10494</v>
      </c>
      <c r="AE7" s="65">
        <f>SUM(AA7:AD7)</f>
        <v>35119</v>
      </c>
      <c r="AF7" s="53">
        <f>SUM(AF4,AF5)</f>
        <v>10545</v>
      </c>
      <c r="AG7" s="53">
        <f>SUM(AG4,AG5)</f>
        <v>12737</v>
      </c>
      <c r="AH7" s="53">
        <f>SUM(AH4,AH5)</f>
        <v>12243</v>
      </c>
      <c r="AI7" s="53">
        <f>SUM(AI4,AI5)</f>
        <v>11040</v>
      </c>
      <c r="AJ7" s="65">
        <f>SUM(AF7:AI7)</f>
        <v>46565</v>
      </c>
      <c r="AK7" s="53">
        <f>SUM(AK4,AK5)</f>
        <v>11137</v>
      </c>
      <c r="AL7" s="53">
        <f>SUM(AL4,AL5)</f>
        <v>13084</v>
      </c>
      <c r="AM7" s="53">
        <f>SUM(AM4,AM5)</f>
        <v>12344</v>
      </c>
      <c r="AN7" s="53">
        <f>SUM(AN4,AN5)</f>
        <v>11455</v>
      </c>
      <c r="AO7" s="65">
        <f>SUM(AK7:AN7)</f>
        <v>48020</v>
      </c>
      <c r="AP7" s="53">
        <f>SUM(AP4,AP5)</f>
        <v>11035</v>
      </c>
      <c r="AQ7" s="53">
        <f ca="1">SUM(AQ4,AQ5)</f>
        <v>12749</v>
      </c>
      <c r="AR7" s="53">
        <f ca="1">SUM(AR4,AR5)</f>
        <v>12030</v>
      </c>
      <c r="AS7" s="53">
        <f>SUM(AS4,AS5)</f>
        <v>11040</v>
      </c>
      <c r="AT7" s="65">
        <f ca="1">SUM(AP7:AS7)</f>
        <v>46854</v>
      </c>
      <c r="AU7" s="53">
        <f>SUM(AU4,AU5)</f>
        <v>10576</v>
      </c>
      <c r="AV7" s="53">
        <f>SUM(AV4,AV5)</f>
        <v>12574</v>
      </c>
      <c r="AW7" s="53">
        <f>SUM(AW4,AW5)</f>
        <v>11976</v>
      </c>
      <c r="AX7" s="53">
        <f>SUM(AX4,AX5)</f>
        <v>10872</v>
      </c>
      <c r="AY7" s="65">
        <f>SUM(AU7:AX7)</f>
        <v>45998</v>
      </c>
      <c r="AZ7" s="53">
        <f>SUM(AZ4,AZ5)</f>
        <v>10711</v>
      </c>
      <c r="BA7" s="53">
        <f>SUM(BA4,BA5)</f>
        <v>12156</v>
      </c>
      <c r="BB7" s="53">
        <f>SUM(BB4,BB5)</f>
        <v>11427</v>
      </c>
      <c r="BC7" s="53">
        <f>SUM(BC4,BC5)</f>
        <v>10000</v>
      </c>
      <c r="BD7" s="65">
        <f>SUM(AZ7:BC7)</f>
        <v>44294</v>
      </c>
      <c r="BE7" s="53">
        <f>SUM(BE4,BE5)</f>
        <v>10329</v>
      </c>
      <c r="BF7" s="53">
        <f>SUM(BF4,BF5)</f>
        <v>11524</v>
      </c>
      <c r="BG7" s="53">
        <f>SUM(BG4,BG5)</f>
        <v>10626</v>
      </c>
      <c r="BH7" s="53">
        <f>SUM(BH4,BH5)</f>
        <v>9375</v>
      </c>
      <c r="BI7" s="65">
        <f>SUM(BE7:BH7)</f>
        <v>41854</v>
      </c>
      <c r="BJ7" s="53">
        <f t="shared" ref="BJ7" si="15">SUM(BJ4,BJ5)</f>
        <v>9118</v>
      </c>
      <c r="BK7" s="53">
        <f>SUM(BK4,BK5)</f>
        <v>9702</v>
      </c>
      <c r="BL7" s="53">
        <f>SUM(BL4,BL5)</f>
        <v>9078</v>
      </c>
      <c r="BM7" s="53">
        <f>SUM(BM4,BM5)</f>
        <v>7470</v>
      </c>
      <c r="BN7" s="65">
        <f>SUM(BJ7:BM7)</f>
        <v>35368</v>
      </c>
      <c r="BO7" s="53">
        <f t="shared" ref="BO7" si="16">SUM(BO4,BO5)</f>
        <v>7624</v>
      </c>
      <c r="BP7" s="53">
        <f>SUM(BP4,BP5)</f>
        <v>8736.0677604688244</v>
      </c>
      <c r="BQ7" s="53">
        <f>SUM(BQ4,BQ5)</f>
        <v>8299.2925823292371</v>
      </c>
      <c r="BR7" s="53">
        <f>SUM(BR4,BR5)</f>
        <v>7324.0425354453109</v>
      </c>
      <c r="BS7" s="65">
        <f>SUM(BO7:BR7)</f>
        <v>31983.402878243374</v>
      </c>
      <c r="BT7" s="53">
        <f t="shared" ref="BT7" si="17">SUM(BT4,BT5)</f>
        <v>7906.2860106610542</v>
      </c>
      <c r="BU7" s="53">
        <f>SUM(BU4,BU5)</f>
        <v>9088.9783339981459</v>
      </c>
      <c r="BV7" s="53">
        <f>SUM(BV4,BV5)</f>
        <v>8643.0785899048624</v>
      </c>
      <c r="BW7" s="53">
        <f>SUM(BW4,BW5)</f>
        <v>7643.3323936744855</v>
      </c>
      <c r="BX7" s="65">
        <f>SUM(BT7:BW7)</f>
        <v>33281.675328238547</v>
      </c>
      <c r="BY7" s="53">
        <f t="shared" ref="BY7" si="18">SUM(BY4,BY5)</f>
        <v>8226.8513279775125</v>
      </c>
      <c r="BZ7" s="53">
        <f>SUM(BZ4,BZ5)</f>
        <v>9454.1997610688886</v>
      </c>
      <c r="CA7" s="53">
        <f>SUM(CA4,CA5)</f>
        <v>8998.9225445112315</v>
      </c>
      <c r="CB7" s="53">
        <f>SUM(CB4,CB5)</f>
        <v>7973.8937797534645</v>
      </c>
      <c r="CC7" s="65">
        <f>SUM(BY7:CB7)</f>
        <v>34653.867413311098</v>
      </c>
      <c r="CD7" s="53">
        <f t="shared" ref="CD7" si="19">SUM(CD4,CD5)</f>
        <v>8521.4839566162809</v>
      </c>
      <c r="CE7" s="53">
        <f>SUM(CE4,CE5)</f>
        <v>9792.0420220745909</v>
      </c>
      <c r="CF7" s="53">
        <f>SUM(CF4,CF5)</f>
        <v>9330.2797901327249</v>
      </c>
      <c r="CG7" s="53">
        <f>SUM(CG4,CG5)</f>
        <v>8285.1978167364978</v>
      </c>
      <c r="CH7" s="65">
        <f>SUM(CD7:CG7)</f>
        <v>35929.003585560095</v>
      </c>
      <c r="CI7" s="53">
        <f t="shared" ref="CI7" si="20">SUM(CI4,CI5)</f>
        <v>8811.3654414223383</v>
      </c>
      <c r="CJ7" s="53">
        <f>SUM(CJ4,CJ5)</f>
        <v>10125.666090637345</v>
      </c>
      <c r="CK7" s="53">
        <f>SUM(CK4,CK5)</f>
        <v>9656.3331576435685</v>
      </c>
      <c r="CL7" s="53">
        <f>SUM(CL4,CL5)</f>
        <v>8588.9952041021334</v>
      </c>
      <c r="CM7" s="65">
        <f>SUM(CI7:CL7)</f>
        <v>37182.359893805384</v>
      </c>
    </row>
    <row r="8" spans="1:91" x14ac:dyDescent="0.2">
      <c r="A8" s="25" t="s">
        <v>191</v>
      </c>
      <c r="B8" s="36">
        <v>2.5000000000000001E-2</v>
      </c>
      <c r="C8" s="36">
        <v>0.05</v>
      </c>
      <c r="D8" s="36">
        <v>0.05</v>
      </c>
      <c r="E8" s="36">
        <v>0.04</v>
      </c>
      <c r="F8" s="27">
        <v>0.04</v>
      </c>
      <c r="G8" s="36">
        <v>0.05</v>
      </c>
      <c r="H8" s="36">
        <v>0.04</v>
      </c>
      <c r="I8" s="36">
        <v>0.05</v>
      </c>
      <c r="J8" s="36">
        <v>0.04</v>
      </c>
      <c r="K8" s="27">
        <v>0.04</v>
      </c>
      <c r="L8" s="36">
        <v>0.06</v>
      </c>
      <c r="M8" s="36">
        <v>0.06</v>
      </c>
      <c r="N8" s="36">
        <v>0.06</v>
      </c>
      <c r="O8" s="36">
        <v>0.05</v>
      </c>
      <c r="P8" s="27">
        <v>0.06</v>
      </c>
      <c r="Q8" s="36">
        <v>0.06</v>
      </c>
      <c r="R8" s="36">
        <v>0.03</v>
      </c>
      <c r="S8" s="36">
        <v>0.05</v>
      </c>
      <c r="T8" s="36">
        <v>0.04</v>
      </c>
      <c r="U8" s="27">
        <v>0.05</v>
      </c>
      <c r="V8" s="36">
        <v>0.02</v>
      </c>
      <c r="W8" s="36">
        <v>0.04</v>
      </c>
      <c r="X8" s="36">
        <v>0.02</v>
      </c>
      <c r="Y8" s="36">
        <v>0.05</v>
      </c>
      <c r="Z8" s="27">
        <v>0.03</v>
      </c>
      <c r="AA8" s="36">
        <v>0.03</v>
      </c>
      <c r="AB8" s="36">
        <v>0.05</v>
      </c>
      <c r="AC8" s="36">
        <v>0.05</v>
      </c>
      <c r="AD8" s="36">
        <v>0.05</v>
      </c>
      <c r="AE8" s="27">
        <v>0.05</v>
      </c>
      <c r="AF8" s="36">
        <v>0.05</v>
      </c>
      <c r="AG8" s="36">
        <v>0.05</v>
      </c>
      <c r="AH8" s="36">
        <v>0.04</v>
      </c>
      <c r="AI8" s="36">
        <v>0.03</v>
      </c>
      <c r="AJ8" s="27">
        <v>0.04</v>
      </c>
      <c r="AK8" s="43">
        <v>0.05</v>
      </c>
      <c r="AL8" s="43">
        <v>0.04</v>
      </c>
      <c r="AM8" s="36">
        <v>0.04</v>
      </c>
      <c r="AN8" s="36">
        <v>0.03</v>
      </c>
      <c r="AO8" s="27">
        <v>0.04</v>
      </c>
      <c r="AP8" s="36">
        <v>0.04</v>
      </c>
      <c r="AQ8" s="36">
        <v>0.01</v>
      </c>
      <c r="AR8" s="36">
        <v>0.02</v>
      </c>
      <c r="AS8" s="36">
        <v>0.01</v>
      </c>
      <c r="AT8" s="27">
        <v>0.02</v>
      </c>
      <c r="AU8" s="36">
        <v>0.02</v>
      </c>
      <c r="AV8" s="36">
        <v>0.03</v>
      </c>
      <c r="AW8" s="36">
        <v>0.01</v>
      </c>
      <c r="AX8" s="36">
        <v>0.01</v>
      </c>
      <c r="AY8" s="27">
        <v>0.02</v>
      </c>
      <c r="AZ8" s="36">
        <v>0.01</v>
      </c>
      <c r="BA8" s="36">
        <v>0.02</v>
      </c>
      <c r="BB8" s="36">
        <v>0.03</v>
      </c>
      <c r="BC8" s="36">
        <v>0.03</v>
      </c>
      <c r="BD8" s="27">
        <v>0.02</v>
      </c>
      <c r="BE8" s="36">
        <v>0.02</v>
      </c>
      <c r="BF8" s="36">
        <v>0</v>
      </c>
      <c r="BG8" s="36">
        <v>0.01</v>
      </c>
      <c r="BH8" s="36">
        <v>-0.01</v>
      </c>
      <c r="BI8" s="27">
        <v>0.01</v>
      </c>
      <c r="BJ8" s="543">
        <v>0</v>
      </c>
      <c r="BK8" s="543">
        <v>0</v>
      </c>
      <c r="BL8" s="543">
        <v>0</v>
      </c>
      <c r="BM8" s="543">
        <v>0</v>
      </c>
      <c r="BN8" s="27">
        <v>0</v>
      </c>
      <c r="BO8" s="543">
        <v>0.03</v>
      </c>
      <c r="BP8" s="36">
        <f t="shared" ref="BP8:BR8" si="21">((BP21*BK20)+(BP75*BK74)+(BP97*BK96)+(BP108*BK107)+(BP130*BK128))/BK7</f>
        <v>9.4734075448361169E-3</v>
      </c>
      <c r="BQ8" s="36">
        <f t="shared" si="21"/>
        <v>7.2315487992949982E-3</v>
      </c>
      <c r="BR8" s="36">
        <f t="shared" si="21"/>
        <v>7.7978552845134755E-3</v>
      </c>
      <c r="BS8" s="27">
        <f>SUMPRODUCT(BJ7:BM7,BO8:BR8)/BN7</f>
        <v>1.3835924535606075E-2</v>
      </c>
      <c r="BT8" s="36">
        <f t="shared" ref="BT8" si="22">((BT21*BO20)+(BT75*BO74)+(BT97*BO96)+(BT108*BO107)+(BT130*BO128))/BO7</f>
        <v>1.8539480587618049E-2</v>
      </c>
      <c r="BU8" s="36">
        <f t="shared" ref="BU8" si="23">((BU21*BP20)+(BU75*BP74)+(BU97*BP96)+(BU108*BP107)+(BU130*BP128))/BP7</f>
        <v>1.8796298193598723E-2</v>
      </c>
      <c r="BV8" s="36">
        <f t="shared" ref="BV8" si="24">((BV21*BQ20)+(BV75*BQ74)+(BV97*BQ96)+(BV108*BQ107)+(BV130*BQ128))/BQ7</f>
        <v>1.9598639934458418E-2</v>
      </c>
      <c r="BW8" s="36">
        <f t="shared" ref="BW8" si="25">((BW21*BR20)+(BW75*BR74)+(BW97*BR96)+(BW108*BR107)+(BW130*BR128))/BR7</f>
        <v>2.1017363902647471E-2</v>
      </c>
      <c r="BX8" s="27">
        <f>SUMPRODUCT(BO7:BR7,BT8:BW8)/BS7</f>
        <v>1.9451890446784789E-2</v>
      </c>
      <c r="BY8" s="36">
        <f t="shared" ref="BY8" si="26">((BY21*BT20)+(BY75*BT74)+(BY97*BT96)+(BY108*BT107)+(BY130*BT128))/BT7</f>
        <v>1.8135375584448693E-2</v>
      </c>
      <c r="BZ8" s="36">
        <f t="shared" ref="BZ8" si="27">((BZ21*BU20)+(BZ75*BU74)+(BZ97*BU96)+(BZ108*BU107)+(BZ130*BU128))/BU7</f>
        <v>1.8457068687221131E-2</v>
      </c>
      <c r="CA8" s="36">
        <f t="shared" ref="CA8" si="28">((CA21*BV20)+(CA75*BV74)+(CA97*BV96)+(CA108*BV107)+(CA130*BV128))/BV7</f>
        <v>1.9205580065298437E-2</v>
      </c>
      <c r="CB8" s="36">
        <f t="shared" ref="CB8" si="29">((CB21*BW20)+(CB75*BW74)+(CB97*BW96)+(CB108*BW107)+(CB130*BW128))/BW7</f>
        <v>2.0500700923159376E-2</v>
      </c>
      <c r="CC8" s="27">
        <f>SUMPRODUCT(BT7:BW7,BY8:CB8)/BX7</f>
        <v>1.9044365007641159E-2</v>
      </c>
      <c r="CD8" s="36">
        <f t="shared" ref="CD8" si="30">((CD21*BY20)+(CD75*BY74)+(CD97*BY96)+(CD108*BY107)+(CD130*BY128))/BY7</f>
        <v>1.7201014857113679E-2</v>
      </c>
      <c r="CE8" s="36">
        <f t="shared" ref="CE8" si="31">((CE21*BZ20)+(CE75*BZ74)+(CE97*BZ96)+(CE108*BZ107)+(CE130*BZ128))/BZ7</f>
        <v>1.7509910586558458E-2</v>
      </c>
      <c r="CF8" s="36">
        <f t="shared" ref="CF8" si="32">((CF21*CA20)+(CF75*CA74)+(CF97*CA96)+(CF108*CA107)+(CF130*CA128))/CA7</f>
        <v>1.8267035449349045E-2</v>
      </c>
      <c r="CG8" s="36">
        <f t="shared" ref="CG8" si="33">((CG21*CB20)+(CG75*CB74)+(CG97*CB96)+(CG108*CB107)+(CG130*CB128))/CB7</f>
        <v>1.9585397997044372E-2</v>
      </c>
      <c r="CH8" s="27">
        <f>SUMPRODUCT(BY7:CB7,CD8:CG8)/CC7</f>
        <v>1.8110760836802652E-2</v>
      </c>
      <c r="CI8" s="36">
        <f t="shared" ref="CI8" si="34">((CI21*CD20)+(CI75*CD74)+(CI97*CD96)+(CI108*CD107)+(CI130*CD128))/CD7</f>
        <v>1.5296715896319996E-2</v>
      </c>
      <c r="CJ8" s="36">
        <f t="shared" ref="CJ8" si="35">((CJ21*CE20)+(CJ75*CE74)+(CJ97*CE96)+(CJ108*CE107)+(CJ130*CE128))/CE7</f>
        <v>1.5743576388654656E-2</v>
      </c>
      <c r="CK8" s="36">
        <f t="shared" ref="CK8" si="36">((CK21*CF20)+(CK75*CF74)+(CK97*CF96)+(CK108*CF107)+(CK130*CF128))/CF7</f>
        <v>1.6275535600242395E-2</v>
      </c>
      <c r="CL8" s="36">
        <f t="shared" ref="CL8" si="37">((CL21*CG20)+(CL75*CG74)+(CL97*CG96)+(CL108*CG107)+(CL130*CG128))/CG7</f>
        <v>1.7073235023600909E-2</v>
      </c>
      <c r="CM8" s="27">
        <f>SUMPRODUCT(CD7:CG7,CI8:CL8)/CH7</f>
        <v>1.6082352791263552E-2</v>
      </c>
    </row>
    <row r="9" spans="1:91" x14ac:dyDescent="0.2">
      <c r="A9" s="45" t="s">
        <v>192</v>
      </c>
      <c r="B9" s="41">
        <f t="shared" ref="B9:K9" si="38">B8</f>
        <v>2.5000000000000001E-2</v>
      </c>
      <c r="C9" s="41">
        <f t="shared" si="38"/>
        <v>0.05</v>
      </c>
      <c r="D9" s="41">
        <f t="shared" si="38"/>
        <v>0.05</v>
      </c>
      <c r="E9" s="41">
        <f t="shared" si="38"/>
        <v>0.04</v>
      </c>
      <c r="F9" s="44">
        <f t="shared" si="38"/>
        <v>0.04</v>
      </c>
      <c r="G9" s="41">
        <f t="shared" si="38"/>
        <v>0.05</v>
      </c>
      <c r="H9" s="41">
        <f t="shared" si="38"/>
        <v>0.04</v>
      </c>
      <c r="I9" s="41">
        <f t="shared" si="38"/>
        <v>0.05</v>
      </c>
      <c r="J9" s="41">
        <f t="shared" si="38"/>
        <v>0.04</v>
      </c>
      <c r="K9" s="44">
        <f t="shared" si="38"/>
        <v>0.04</v>
      </c>
      <c r="L9" s="36">
        <v>0.06</v>
      </c>
      <c r="M9" s="36">
        <v>7.0000000000000007E-2</v>
      </c>
      <c r="N9" s="36">
        <v>0.06</v>
      </c>
      <c r="O9" s="36">
        <v>0.06</v>
      </c>
      <c r="P9" s="27">
        <v>0.06</v>
      </c>
      <c r="Q9" s="36">
        <v>0.05</v>
      </c>
      <c r="R9" s="36">
        <v>0.03</v>
      </c>
      <c r="S9" s="36">
        <v>0.03</v>
      </c>
      <c r="T9" s="36">
        <v>0.04</v>
      </c>
      <c r="U9" s="27">
        <v>0.04</v>
      </c>
      <c r="V9" s="36">
        <v>7.0000000000000007E-2</v>
      </c>
      <c r="W9" s="36">
        <v>0.03</v>
      </c>
      <c r="X9" s="36">
        <v>0.02</v>
      </c>
      <c r="Y9" s="36">
        <v>0.01</v>
      </c>
      <c r="Z9" s="27">
        <v>0.03</v>
      </c>
      <c r="AA9" s="36">
        <v>0.03</v>
      </c>
      <c r="AB9" s="36">
        <v>0.05</v>
      </c>
      <c r="AC9" s="36">
        <v>7.0000000000000007E-2</v>
      </c>
      <c r="AD9" s="36">
        <v>0.06</v>
      </c>
      <c r="AE9" s="27">
        <v>0.05</v>
      </c>
      <c r="AF9" s="36">
        <v>0.04</v>
      </c>
      <c r="AG9" s="36">
        <v>0.06</v>
      </c>
      <c r="AH9" s="36">
        <v>0.05</v>
      </c>
      <c r="AI9" s="36">
        <v>0.05</v>
      </c>
      <c r="AJ9" s="27">
        <v>0.05</v>
      </c>
      <c r="AK9" s="36">
        <v>0.03</v>
      </c>
      <c r="AL9" s="36">
        <v>0.03</v>
      </c>
      <c r="AM9" s="36">
        <v>0.05</v>
      </c>
      <c r="AN9" s="36">
        <v>0.04</v>
      </c>
      <c r="AO9" s="27">
        <v>0.04</v>
      </c>
      <c r="AP9" s="36">
        <v>0.02</v>
      </c>
      <c r="AQ9" s="36">
        <v>0.01</v>
      </c>
      <c r="AR9" s="36">
        <v>0.01</v>
      </c>
      <c r="AS9" s="36">
        <v>0.02</v>
      </c>
      <c r="AT9" s="27">
        <v>0.02</v>
      </c>
      <c r="AU9" s="36">
        <v>0</v>
      </c>
      <c r="AV9" s="156">
        <v>0.02</v>
      </c>
      <c r="AW9" s="36">
        <v>0.01</v>
      </c>
      <c r="AX9" s="36">
        <v>0.03</v>
      </c>
      <c r="AY9" s="27">
        <v>0.01</v>
      </c>
      <c r="AZ9" s="36">
        <v>0.05</v>
      </c>
      <c r="BA9" s="36">
        <v>0.03</v>
      </c>
      <c r="BB9" s="36">
        <v>0</v>
      </c>
      <c r="BC9" s="36">
        <v>-0.03</v>
      </c>
      <c r="BD9" s="27">
        <v>0.01</v>
      </c>
      <c r="BE9" s="36">
        <v>0.01</v>
      </c>
      <c r="BF9" s="36">
        <v>0</v>
      </c>
      <c r="BG9" s="36">
        <v>0.01</v>
      </c>
      <c r="BH9" s="36">
        <v>0</v>
      </c>
      <c r="BI9" s="27">
        <v>0.01</v>
      </c>
      <c r="BJ9" s="543">
        <v>-0.03</v>
      </c>
      <c r="BK9" s="543">
        <v>0</v>
      </c>
      <c r="BL9" s="543">
        <v>0.01</v>
      </c>
      <c r="BM9" s="543">
        <v>1.4999999999999999E-2</v>
      </c>
      <c r="BN9" s="27">
        <v>0</v>
      </c>
      <c r="BO9" s="543">
        <v>0.04</v>
      </c>
      <c r="BP9" s="36">
        <f t="shared" ref="BP9:BR9" si="39">((BP22*BK20)+(BP76*BK74)+(BP98*BK96)+(BP109*BK107)+(BP130*BK128))/BK7</f>
        <v>6.9539270253555965E-3</v>
      </c>
      <c r="BQ9" s="36">
        <f t="shared" si="39"/>
        <v>4.6419916281119182E-3</v>
      </c>
      <c r="BR9" s="36">
        <f t="shared" si="39"/>
        <v>1.614055943444654E-2</v>
      </c>
      <c r="BS9" s="27">
        <f>SUMPRODUCT(BJ7:BM7,BO9:BR9)/BN7</f>
        <v>1.6820204110362915E-2</v>
      </c>
      <c r="BT9" s="36">
        <f t="shared" ref="BT9" si="40">((BT22*BO20)+(BT76*BO74)+(BT98*BO96)+(BT109*BO107)+(BT130*BO128))/BO7</f>
        <v>1.8539480587618049E-2</v>
      </c>
      <c r="BU9" s="36">
        <f t="shared" ref="BU9" si="41">((BU22*BP20)+(BU76*BP74)+(BU98*BP96)+(BU109*BP107)+(BU130*BP128))/BP7</f>
        <v>1.8796298193598723E-2</v>
      </c>
      <c r="BV9" s="36">
        <f t="shared" ref="BV9" si="42">((BV22*BQ20)+(BV76*BQ74)+(BV98*BQ96)+(BV109*BQ107)+(BV130*BQ128))/BQ7</f>
        <v>1.9598639934458418E-2</v>
      </c>
      <c r="BW9" s="36">
        <f t="shared" ref="BW9" si="43">((BW22*BR20)+(BW76*BR74)+(BW98*BR96)+(BW109*BR107)+(BW130*BR128))/BR7</f>
        <v>2.1017363902647471E-2</v>
      </c>
      <c r="BX9" s="27">
        <f>SUMPRODUCT(BO7:BR7,BT9:BW9)/BS7</f>
        <v>1.9451890446784789E-2</v>
      </c>
      <c r="BY9" s="36">
        <f t="shared" ref="BY9" si="44">((BY22*BT20)+(BY76*BT74)+(BY98*BT96)+(BY109*BT107)+(BY130*BT128))/BT7</f>
        <v>1.8135375584448693E-2</v>
      </c>
      <c r="BZ9" s="36">
        <f t="shared" ref="BZ9" si="45">((BZ22*BU20)+(BZ76*BU74)+(BZ98*BU96)+(BZ109*BU107)+(BZ130*BU128))/BU7</f>
        <v>1.8457068687221131E-2</v>
      </c>
      <c r="CA9" s="36">
        <f t="shared" ref="CA9" si="46">((CA22*BV20)+(CA76*BV74)+(CA98*BV96)+(CA109*BV107)+(CA130*BV128))/BV7</f>
        <v>1.9205580065298437E-2</v>
      </c>
      <c r="CB9" s="36">
        <f t="shared" ref="CB9" si="47">((CB22*BW20)+(CB76*BW74)+(CB98*BW96)+(CB109*BW107)+(CB130*BW128))/BW7</f>
        <v>2.0500700923159376E-2</v>
      </c>
      <c r="CC9" s="27">
        <f>SUMPRODUCT(BT7:BW7,BY9:CB9)/BX7</f>
        <v>1.9044365007641159E-2</v>
      </c>
      <c r="CD9" s="36">
        <f t="shared" ref="CD9" si="48">((CD22*BY20)+(CD76*BY74)+(CD98*BY96)+(CD109*BY107)+(CD130*BY128))/BY7</f>
        <v>1.7201014857113679E-2</v>
      </c>
      <c r="CE9" s="36">
        <f t="shared" ref="CE9" si="49">((CE22*BZ20)+(CE76*BZ74)+(CE98*BZ96)+(CE109*BZ107)+(CE130*BZ128))/BZ7</f>
        <v>1.7509910586558458E-2</v>
      </c>
      <c r="CF9" s="36">
        <f t="shared" ref="CF9" si="50">((CF22*CA20)+(CF76*CA74)+(CF98*CA96)+(CF109*CA107)+(CF130*CA128))/CA7</f>
        <v>1.8267035449349045E-2</v>
      </c>
      <c r="CG9" s="36">
        <f t="shared" ref="CG9" si="51">((CG22*CB20)+(CG76*CB74)+(CG98*CB96)+(CG109*CB107)+(CG130*CB128))/CB7</f>
        <v>1.9585397997044372E-2</v>
      </c>
      <c r="CH9" s="27">
        <f>SUMPRODUCT(BY7:CB7,CD9:CG9)/CC7</f>
        <v>1.8110760836802652E-2</v>
      </c>
      <c r="CI9" s="36">
        <f t="shared" ref="CI9" si="52">((CI22*CD20)+(CI76*CD74)+(CI98*CD96)+(CI109*CD107)+(CI130*CD128))/CD7</f>
        <v>1.5296715896319996E-2</v>
      </c>
      <c r="CJ9" s="36">
        <f t="shared" ref="CJ9" si="53">((CJ22*CE20)+(CJ76*CE74)+(CJ98*CE96)+(CJ109*CE107)+(CJ130*CE128))/CE7</f>
        <v>1.5743576388654656E-2</v>
      </c>
      <c r="CK9" s="36">
        <f t="shared" ref="CK9" si="54">((CK22*CF20)+(CK76*CF74)+(CK98*CF96)+(CK109*CF107)+(CK130*CF128))/CF7</f>
        <v>1.6275535600242395E-2</v>
      </c>
      <c r="CL9" s="36">
        <f t="shared" ref="CL9" si="55">((CL22*CG20)+(CL76*CG74)+(CL98*CG96)+(CL109*CG107)+(CL130*CG128))/CG7</f>
        <v>1.7073235023600909E-2</v>
      </c>
      <c r="CM9" s="27">
        <f>SUMPRODUCT(CD7:CG7,CI9:CL9)/CH7</f>
        <v>1.6082352791263552E-2</v>
      </c>
    </row>
    <row r="10" spans="1:91" x14ac:dyDescent="0.2">
      <c r="A10" s="25" t="s">
        <v>188</v>
      </c>
      <c r="B10" s="36">
        <v>5.0000000000000001E-3</v>
      </c>
      <c r="C10" s="36">
        <v>1.6999999999999998E-2</v>
      </c>
      <c r="D10" s="36">
        <v>8.9999999999999993E-3</v>
      </c>
      <c r="E10" s="36">
        <v>0.03</v>
      </c>
      <c r="F10" s="27">
        <v>0.01</v>
      </c>
      <c r="G10" s="36">
        <v>0.01</v>
      </c>
      <c r="H10" s="36">
        <v>0</v>
      </c>
      <c r="I10" s="36">
        <v>0.04</v>
      </c>
      <c r="J10" s="36">
        <v>0.03</v>
      </c>
      <c r="K10" s="27">
        <v>0.02</v>
      </c>
      <c r="L10" s="36">
        <v>0.03</v>
      </c>
      <c r="M10" s="36">
        <v>0.02</v>
      </c>
      <c r="N10" s="36">
        <v>0.01</v>
      </c>
      <c r="O10" s="36">
        <v>0.02</v>
      </c>
      <c r="P10" s="27">
        <v>0.02</v>
      </c>
      <c r="Q10" s="36">
        <v>0.02</v>
      </c>
      <c r="R10" s="36">
        <v>0.03</v>
      </c>
      <c r="S10" s="36">
        <v>0.01</v>
      </c>
      <c r="T10" s="36">
        <v>0.04</v>
      </c>
      <c r="U10" s="27">
        <v>0.03</v>
      </c>
      <c r="V10" s="36">
        <v>0.02</v>
      </c>
      <c r="W10" s="36">
        <v>-0.01</v>
      </c>
      <c r="X10" s="36">
        <v>0.01</v>
      </c>
      <c r="Y10" s="36">
        <v>-0.01</v>
      </c>
      <c r="Z10" s="27">
        <v>0</v>
      </c>
      <c r="AA10" s="36">
        <v>-0.02</v>
      </c>
      <c r="AB10" s="36">
        <v>0</v>
      </c>
      <c r="AC10" s="36">
        <v>0.01</v>
      </c>
      <c r="AD10" s="36">
        <v>0.02</v>
      </c>
      <c r="AE10" s="27">
        <v>0.01</v>
      </c>
      <c r="AF10" s="41">
        <v>1.4999999999999999E-2</v>
      </c>
      <c r="AG10" s="41">
        <v>0.02</v>
      </c>
      <c r="AH10" s="36">
        <v>0.02</v>
      </c>
      <c r="AI10" s="36">
        <v>0.01</v>
      </c>
      <c r="AJ10" s="27">
        <v>1.4999999999999999E-2</v>
      </c>
      <c r="AK10" s="36">
        <v>0.03</v>
      </c>
      <c r="AL10" s="36">
        <v>0.03</v>
      </c>
      <c r="AM10" s="36">
        <v>0</v>
      </c>
      <c r="AN10" s="36">
        <v>0</v>
      </c>
      <c r="AO10" s="27">
        <v>0.01</v>
      </c>
      <c r="AP10" s="36">
        <v>0</v>
      </c>
      <c r="AQ10" s="36">
        <v>0</v>
      </c>
      <c r="AR10" s="36">
        <v>0.02</v>
      </c>
      <c r="AS10" s="36">
        <v>0.01</v>
      </c>
      <c r="AT10" s="27">
        <v>0.01</v>
      </c>
      <c r="AU10" s="36">
        <v>1.35E-2</v>
      </c>
      <c r="AV10" s="36">
        <v>1.7999999999999999E-2</v>
      </c>
      <c r="AW10" s="36">
        <v>0.01</v>
      </c>
      <c r="AX10" s="36">
        <v>0.01</v>
      </c>
      <c r="AY10" s="27">
        <v>0.01</v>
      </c>
      <c r="AZ10" s="36">
        <v>0.03</v>
      </c>
      <c r="BA10" s="36">
        <v>0.01</v>
      </c>
      <c r="BB10" s="36">
        <v>0.03</v>
      </c>
      <c r="BC10" s="36">
        <v>0.02</v>
      </c>
      <c r="BD10" s="27">
        <v>0.02</v>
      </c>
      <c r="BE10" s="36">
        <v>0.01</v>
      </c>
      <c r="BF10" s="36">
        <v>0.03</v>
      </c>
      <c r="BG10" s="36">
        <v>0.01</v>
      </c>
      <c r="BH10" s="36">
        <v>0.06</v>
      </c>
      <c r="BI10" s="27">
        <v>0.03</v>
      </c>
      <c r="BJ10" s="543">
        <v>0.03</v>
      </c>
      <c r="BK10" s="543">
        <v>0.03</v>
      </c>
      <c r="BL10" s="543">
        <v>0.03</v>
      </c>
      <c r="BM10" s="543">
        <v>4.4999999999999998E-2</v>
      </c>
      <c r="BN10" s="27">
        <v>0.03</v>
      </c>
      <c r="BO10" s="543">
        <v>0.01</v>
      </c>
      <c r="BP10" s="36">
        <f t="shared" ref="BP10" si="56">((BP23*BK20)+(BP77*BK74)+(BP99*BK96)+(BP110*BK107)+(BP131*BK128))/BK7</f>
        <v>2.7643784786641933E-2</v>
      </c>
      <c r="BQ10" s="36">
        <f t="shared" ref="BQ10" si="57">((BQ23*BL20)+(BQ77*BL74)+(BQ99*BL96)+(BQ110*BL107)+(BQ131*BL128))/BL7</f>
        <v>2.7981714033928178E-2</v>
      </c>
      <c r="BR10" s="36">
        <f t="shared" ref="BR10:BS10" si="58">((BR23*BM20)+(BR77*BM74)+(BR99*BM96)+(BR110*BM107)+(BR131*BM128))/BM7</f>
        <v>2.5804095323929035E-2</v>
      </c>
      <c r="BS10" s="27">
        <f t="shared" si="58"/>
        <v>2.2042043655281614E-2</v>
      </c>
      <c r="BT10" s="36">
        <f>((BT23*BO20)+(BT77*BO74)+(BT99*BO96)+(BT110*BO107)+(BT131*BO128))/BO7</f>
        <v>2.2188483735571876E-2</v>
      </c>
      <c r="BU10" s="36">
        <f>((BU23*BP20)+(BU77*BP74)+(BU99*BP96)+(BU110*BP107)+(BU131*BP128))/BP7</f>
        <v>2.1330230485078816E-2</v>
      </c>
      <c r="BV10" s="36">
        <f>((BV23*BQ20)+(BV77*BQ74)+(BV99*BQ96)+(BV110*BQ107)+(BV131*BQ128))/BQ7</f>
        <v>2.1521251211715445E-2</v>
      </c>
      <c r="BW10" s="36">
        <f>((BW23*BR20)+(BW77*BR74)+(BW99*BR96)+(BW110*BR107)+(BW131*BR128))/BR7</f>
        <v>2.2462702834814913E-2</v>
      </c>
      <c r="BX10" s="27">
        <f>SUMPRODUCT(BO7:BR7,BT10:BW10)/BS7</f>
        <v>2.1843713537636058E-2</v>
      </c>
      <c r="BY10" s="36">
        <f>((BY23*BT20)+(BY77*BT74)+(BY99*BT96)+(BY110*BT107)+(BY131*BT128))/BT7</f>
        <v>2.2290725480637066E-2</v>
      </c>
      <c r="BZ10" s="36">
        <f>((BZ23*BU20)+(BZ77*BU74)+(BZ99*BU96)+(BZ110*BU107)+(BZ131*BU128))/BU7</f>
        <v>2.1452895748922347E-2</v>
      </c>
      <c r="CA10" s="36">
        <f>((CA23*BV20)+(CA77*BV74)+(CA99*BV96)+(CA110*BV107)+(CA131*BV128))/BV7</f>
        <v>2.1659251942466127E-2</v>
      </c>
      <c r="CB10" s="36">
        <f>((CB23*BW20)+(CB77*BW74)+(CB99*BW96)+(CB110*BW107)+(CB131*BW128))/BW7</f>
        <v>2.2632237577829714E-2</v>
      </c>
      <c r="CC10" s="27">
        <f>SUMPRODUCT(BT7:BW7,BY10:CB10)/BX7</f>
        <v>2.1976360259580729E-2</v>
      </c>
      <c r="CD10" s="36">
        <f>((CD23*BY20)+(CD77*BY74)+(CD99*BY96)+(CD110*BY107)+(CD131*BY128))/BY7</f>
        <v>1.8491909073597095E-2</v>
      </c>
      <c r="CE10" s="36">
        <f>((CE23*BZ20)+(CE77*BZ74)+(CE99*BZ96)+(CE110*BZ107)+(CE131*BZ128))/BZ7</f>
        <v>1.7949209511174631E-2</v>
      </c>
      <c r="CF10" s="36">
        <f>((CF23*CA20)+(CF77*CA74)+(CF99*CA96)+(CF110*CA107)+(CF131*CA128))/CA7</f>
        <v>1.8246107540408559E-2</v>
      </c>
      <c r="CG10" s="36">
        <f>((CG23*CB20)+(CG77*CB74)+(CG99*CB96)+(CG110*CB107)+(CG131*CB128))/CB7</f>
        <v>1.9338864798017566E-2</v>
      </c>
      <c r="CH10" s="27">
        <f>SUMPRODUCT(BY7:CB7,CD10:CG10)/CC7</f>
        <v>1.8474906525449666E-2</v>
      </c>
      <c r="CI10" s="36">
        <f>((CI23*CD20)+(CI77*CD74)+(CI99*CD96)+(CI110*CD107)+(CI131*CD128))/CD7</f>
        <v>1.8598744539511276E-2</v>
      </c>
      <c r="CJ10" s="36">
        <f>((CJ23*CE20)+(CJ77*CE74)+(CJ99*CE96)+(CJ110*CE107)+(CJ131*CE128))/CE7</f>
        <v>1.8048065717692408E-2</v>
      </c>
      <c r="CK10" s="36">
        <f>((CK23*CF20)+(CK77*CF74)+(CK99*CF96)+(CK110*CF107)+(CK131*CF128))/CF7</f>
        <v>1.8357525763316885E-2</v>
      </c>
      <c r="CL10" s="36">
        <f>((CL23*CG20)+(CL77*CG74)+(CL99*CG96)+(CL110*CG107)+(CL131*CG128))/CG7</f>
        <v>1.9476885934756064E-2</v>
      </c>
      <c r="CM10" s="27">
        <f>SUMPRODUCT(CD7:CG7,CI10:CL10)/CH7</f>
        <v>1.8588520663836542E-2</v>
      </c>
    </row>
    <row r="11" spans="1:91" x14ac:dyDescent="0.2">
      <c r="A11" s="25" t="s">
        <v>189</v>
      </c>
      <c r="B11" s="36">
        <v>0.04</v>
      </c>
      <c r="C11" s="36">
        <v>0.03</v>
      </c>
      <c r="D11" s="36">
        <v>0.02</v>
      </c>
      <c r="E11" s="36">
        <v>-0.01</v>
      </c>
      <c r="F11" s="27">
        <v>0.02</v>
      </c>
      <c r="G11" s="36">
        <v>-0.03</v>
      </c>
      <c r="H11" s="36">
        <v>0</v>
      </c>
      <c r="I11" s="36">
        <v>0.01</v>
      </c>
      <c r="J11" s="36">
        <v>0.01</v>
      </c>
      <c r="K11" s="27">
        <v>0</v>
      </c>
      <c r="L11" s="36">
        <v>0.03</v>
      </c>
      <c r="M11" s="36">
        <v>0.03</v>
      </c>
      <c r="N11" s="36">
        <v>0.04</v>
      </c>
      <c r="O11" s="36">
        <v>0.08</v>
      </c>
      <c r="P11" s="27">
        <v>0.04</v>
      </c>
      <c r="Q11" s="36">
        <v>0.09</v>
      </c>
      <c r="R11" s="36">
        <v>0.09</v>
      </c>
      <c r="S11" s="36">
        <v>0.06</v>
      </c>
      <c r="T11" s="36">
        <v>-7.0000000000000007E-2</v>
      </c>
      <c r="U11" s="27">
        <v>0.04</v>
      </c>
      <c r="V11" s="36">
        <v>-0.1</v>
      </c>
      <c r="W11" s="36">
        <v>-0.09</v>
      </c>
      <c r="X11" s="36">
        <v>-0.06</v>
      </c>
      <c r="Y11" s="36">
        <v>0.05</v>
      </c>
      <c r="Z11" s="27">
        <v>-0.05</v>
      </c>
      <c r="AA11" s="36">
        <v>0.06</v>
      </c>
      <c r="AB11" s="36">
        <v>0.02</v>
      </c>
      <c r="AC11" s="36">
        <v>0</v>
      </c>
      <c r="AD11" s="36">
        <v>0</v>
      </c>
      <c r="AE11" s="27">
        <v>0.02</v>
      </c>
      <c r="AF11" s="36">
        <v>0.02</v>
      </c>
      <c r="AG11" s="36">
        <v>0.06</v>
      </c>
      <c r="AH11" s="36">
        <v>0.05</v>
      </c>
      <c r="AI11" s="36">
        <v>-0.01</v>
      </c>
      <c r="AJ11" s="27">
        <v>0.03</v>
      </c>
      <c r="AK11" s="36">
        <v>-0.01</v>
      </c>
      <c r="AL11" s="36">
        <v>-0.04</v>
      </c>
      <c r="AM11" s="36">
        <v>-0.05</v>
      </c>
      <c r="AN11" s="36">
        <v>-0.01</v>
      </c>
      <c r="AO11" s="27">
        <v>-0.03</v>
      </c>
      <c r="AP11" s="36">
        <v>-0.02</v>
      </c>
      <c r="AQ11" s="36">
        <v>-0.02</v>
      </c>
      <c r="AR11" s="36">
        <v>-0.02</v>
      </c>
      <c r="AS11" s="36">
        <v>-0.02</v>
      </c>
      <c r="AT11" s="27">
        <v>-0.02</v>
      </c>
      <c r="AU11" s="36">
        <v>-0.04</v>
      </c>
      <c r="AV11" s="36">
        <v>-0.02</v>
      </c>
      <c r="AW11" s="36">
        <v>-0.01</v>
      </c>
      <c r="AX11" s="36">
        <v>-0.04</v>
      </c>
      <c r="AY11" s="27">
        <v>-0.02</v>
      </c>
      <c r="AZ11" s="36">
        <v>-0.06</v>
      </c>
      <c r="BA11" s="36">
        <v>-7.0000000000000007E-2</v>
      </c>
      <c r="BB11" s="36">
        <v>-0.08</v>
      </c>
      <c r="BC11" s="36">
        <v>-7.0000000000000007E-2</v>
      </c>
      <c r="BD11" s="27">
        <v>-7.0000000000000007E-2</v>
      </c>
      <c r="BE11" s="36">
        <v>-0.05</v>
      </c>
      <c r="BF11" s="36">
        <v>-0.03</v>
      </c>
      <c r="BG11" s="36">
        <v>-0.02</v>
      </c>
      <c r="BH11" s="36">
        <v>-0.02</v>
      </c>
      <c r="BI11" s="27">
        <v>-0.03</v>
      </c>
      <c r="BJ11" s="543">
        <v>-0.01</v>
      </c>
      <c r="BK11" s="543">
        <v>-0.02</v>
      </c>
      <c r="BL11" s="543">
        <v>0</v>
      </c>
      <c r="BM11" s="543">
        <v>0</v>
      </c>
      <c r="BN11" s="27">
        <v>-0.01</v>
      </c>
      <c r="BO11" s="543">
        <v>0.02</v>
      </c>
      <c r="BP11" s="36">
        <f t="shared" ref="BP11:BR11" si="59">((BP24*BK20)+(BP78*BK74)+(BP100*BK96)+(BP111*BK107)+(BP132*BK128))/BK7</f>
        <v>7.2499831065567285E-3</v>
      </c>
      <c r="BQ11" s="36">
        <f t="shared" si="59"/>
        <v>-2.393163835224278E-3</v>
      </c>
      <c r="BR11" s="36">
        <f t="shared" si="59"/>
        <v>-8.7181373659813192E-4</v>
      </c>
      <c r="BS11" s="27">
        <f>SUMPRODUCT(BJ7:BM7,BO11:BR11)/BN7</f>
        <v>6.3464642103387061E-3</v>
      </c>
      <c r="BT11" s="36">
        <f t="shared" ref="BT11:BW11" si="60">((BT24*BO20)+(BT78*BO74)+(BT100*BO96)+(BT111*BO107)+(BT132*BO128))/BO7</f>
        <v>-3.8200405743632898E-3</v>
      </c>
      <c r="BU11" s="36">
        <f t="shared" si="60"/>
        <v>0</v>
      </c>
      <c r="BV11" s="36">
        <f t="shared" si="60"/>
        <v>0</v>
      </c>
      <c r="BW11" s="36">
        <f t="shared" si="60"/>
        <v>0</v>
      </c>
      <c r="BX11" s="27">
        <f>SUMPRODUCT(BO7:BR7,BT11:BW11)/BS7</f>
        <v>-9.1059695710981518E-4</v>
      </c>
      <c r="BY11" s="36">
        <f t="shared" ref="BY11:CB11" si="61">((BY24*BT20)+(BY78*BT74)+(BY100*BT96)+(BY111*BT107)+(BY132*BT128))/BT7</f>
        <v>0</v>
      </c>
      <c r="BZ11" s="36">
        <f t="shared" si="61"/>
        <v>0</v>
      </c>
      <c r="CA11" s="36">
        <f t="shared" si="61"/>
        <v>0</v>
      </c>
      <c r="CB11" s="36">
        <f t="shared" si="61"/>
        <v>0</v>
      </c>
      <c r="CC11" s="27">
        <f>SUMPRODUCT(BT7:BW7,BY11:CB11)/BX7</f>
        <v>0</v>
      </c>
      <c r="CD11" s="36">
        <f t="shared" ref="CD11:CG11" si="62">((CD24*BY20)+(CD78*BY74)+(CD100*BY96)+(CD111*BY107)+(CD132*BY128))/BY7</f>
        <v>0</v>
      </c>
      <c r="CE11" s="36">
        <f t="shared" si="62"/>
        <v>0</v>
      </c>
      <c r="CF11" s="36">
        <f t="shared" si="62"/>
        <v>0</v>
      </c>
      <c r="CG11" s="36">
        <f t="shared" si="62"/>
        <v>0</v>
      </c>
      <c r="CH11" s="27">
        <f>SUMPRODUCT(BY7:CB7,CD11:CG11)/CC7</f>
        <v>0</v>
      </c>
      <c r="CI11" s="36">
        <f t="shared" ref="CI11:CL11" si="63">((CI24*CD20)+(CI78*CD74)+(CI100*CD96)+(CI111*CD107)+(CI132*CD128))/CD7</f>
        <v>0</v>
      </c>
      <c r="CJ11" s="36">
        <f t="shared" si="63"/>
        <v>0</v>
      </c>
      <c r="CK11" s="36">
        <f t="shared" si="63"/>
        <v>0</v>
      </c>
      <c r="CL11" s="36">
        <f t="shared" si="63"/>
        <v>0</v>
      </c>
      <c r="CM11" s="27">
        <f>SUMPRODUCT(CD7:CG7,CI11:CL11)/CH7</f>
        <v>0</v>
      </c>
    </row>
    <row r="12" spans="1:91" x14ac:dyDescent="0.2">
      <c r="A12" s="30" t="s">
        <v>193</v>
      </c>
      <c r="B12" s="36">
        <v>-0.01</v>
      </c>
      <c r="C12" s="36">
        <v>0</v>
      </c>
      <c r="D12" s="36">
        <v>0</v>
      </c>
      <c r="E12" s="36">
        <v>0.01</v>
      </c>
      <c r="F12" s="27">
        <v>0</v>
      </c>
      <c r="G12" s="36">
        <v>-0.02</v>
      </c>
      <c r="H12" s="36">
        <v>-0.02</v>
      </c>
      <c r="I12" s="36">
        <v>-0.02</v>
      </c>
      <c r="J12" s="36">
        <v>0</v>
      </c>
      <c r="K12" s="27">
        <v>-0.02</v>
      </c>
      <c r="L12" s="36">
        <v>0.05</v>
      </c>
      <c r="M12" s="36">
        <v>7.0000000000000007E-2</v>
      </c>
      <c r="N12" s="36">
        <v>0.08</v>
      </c>
      <c r="O12" s="36">
        <v>0.08</v>
      </c>
      <c r="P12" s="27">
        <v>0.08</v>
      </c>
      <c r="Q12" s="36">
        <v>0.05</v>
      </c>
      <c r="R12" s="36">
        <v>0.02</v>
      </c>
      <c r="S12" s="36">
        <v>-0.01</v>
      </c>
      <c r="T12" s="36">
        <v>-0.04</v>
      </c>
      <c r="U12" s="27">
        <v>0</v>
      </c>
      <c r="V12" s="36">
        <v>-0.02</v>
      </c>
      <c r="W12" s="36">
        <v>-0.02</v>
      </c>
      <c r="X12" s="36">
        <v>-0.01</v>
      </c>
      <c r="Y12" s="36">
        <v>0</v>
      </c>
      <c r="Z12" s="27">
        <v>-0.01</v>
      </c>
      <c r="AA12" s="36">
        <v>-0.02</v>
      </c>
      <c r="AB12" s="36">
        <v>-0.02</v>
      </c>
      <c r="AC12" s="36">
        <v>-0.03</v>
      </c>
      <c r="AD12" s="36">
        <v>0.32</v>
      </c>
      <c r="AE12" s="27">
        <v>0.05</v>
      </c>
      <c r="AF12" s="36">
        <f>AF13-AF9-AF10-AF11</f>
        <v>0.32632890365448514</v>
      </c>
      <c r="AG12" s="36">
        <f>AG13-AG9-AG10-AG11</f>
        <v>0.32841134424717555</v>
      </c>
      <c r="AH12" s="36">
        <f>AH13-AH9-AH10-AH11</f>
        <v>0.33300261096605743</v>
      </c>
      <c r="AI12" s="36">
        <v>0</v>
      </c>
      <c r="AJ12" s="27">
        <f>SUMPRODUCT(AA7:AD7,AF12:AI12)/AE7</f>
        <v>0.23093325550271937</v>
      </c>
      <c r="AK12" s="36">
        <v>0.01</v>
      </c>
      <c r="AL12" s="36">
        <v>0.01</v>
      </c>
      <c r="AM12" s="36">
        <v>0.01</v>
      </c>
      <c r="AN12" s="36">
        <v>0.01</v>
      </c>
      <c r="AO12" s="27">
        <v>0.01</v>
      </c>
      <c r="AP12" s="36">
        <v>-0.01</v>
      </c>
      <c r="AQ12" s="36">
        <v>-0.02</v>
      </c>
      <c r="AR12" s="36">
        <v>-0.04</v>
      </c>
      <c r="AS12" s="36">
        <v>-0.05</v>
      </c>
      <c r="AT12" s="27">
        <v>-0.03</v>
      </c>
      <c r="AU12" s="36">
        <v>-0.02</v>
      </c>
      <c r="AV12" s="36">
        <v>-0.03</v>
      </c>
      <c r="AW12" s="36">
        <v>-0.01</v>
      </c>
      <c r="AX12" s="36">
        <v>-0.02</v>
      </c>
      <c r="AY12" s="27">
        <v>-0.02</v>
      </c>
      <c r="AZ12" s="36">
        <v>-0.01</v>
      </c>
      <c r="BA12" s="36">
        <v>0</v>
      </c>
      <c r="BB12" s="36">
        <v>0</v>
      </c>
      <c r="BC12" s="36">
        <v>0</v>
      </c>
      <c r="BD12" s="27">
        <v>0</v>
      </c>
      <c r="BE12" s="36">
        <v>-0.01</v>
      </c>
      <c r="BF12" s="36">
        <v>-0.05</v>
      </c>
      <c r="BG12" s="36">
        <v>-0.08</v>
      </c>
      <c r="BH12" s="36">
        <v>-0.1</v>
      </c>
      <c r="BI12" s="27">
        <v>-0.06</v>
      </c>
      <c r="BJ12" s="543">
        <v>-0.1</v>
      </c>
      <c r="BK12" s="543">
        <v>-0.17</v>
      </c>
      <c r="BL12" s="543">
        <v>-0.18</v>
      </c>
      <c r="BM12" s="543">
        <v>-0.26</v>
      </c>
      <c r="BN12" s="27">
        <v>-0.17</v>
      </c>
      <c r="BO12" s="543">
        <f>-0.26+0.03</f>
        <v>-0.23</v>
      </c>
      <c r="BP12" s="36">
        <f>BP13-BP9-BP10-BP11</f>
        <v>-0.14140781031034724</v>
      </c>
      <c r="BQ12" s="36">
        <f>BQ13-BQ9-BQ10-BQ11</f>
        <v>-0.11601016483527168</v>
      </c>
      <c r="BR12" s="36">
        <f>BR13-BR9-BR10-BR11</f>
        <v>-6.061199290326192E-2</v>
      </c>
      <c r="BS12" s="27">
        <f>SUMPRODUCT(BJ7:BM7,BO12:BR12)/BN7</f>
        <v>-0.14066360662160574</v>
      </c>
      <c r="BT12" s="36">
        <f>BT13-BT9-BT10-BT11</f>
        <v>1.1804826862531204E-4</v>
      </c>
      <c r="BU12" s="36">
        <f>BU13-BU9-BU10-BU11</f>
        <v>2.7043059472238451E-4</v>
      </c>
      <c r="BV12" s="36">
        <f>BV13-BV9-BV10-BV11</f>
        <v>3.0364033741437507E-4</v>
      </c>
      <c r="BW12" s="36">
        <f>BW13-BW9-BW10-BW11</f>
        <v>1.1469075936323611E-4</v>
      </c>
      <c r="BX12" s="27">
        <f>SUMPRODUCT(BO7:BR7,BT12:BW12)/BS7</f>
        <v>2.0706051902003473E-4</v>
      </c>
      <c r="BY12" s="36">
        <f>BY13-BY9-BY10-BY11</f>
        <v>1.1952514729757571E-4</v>
      </c>
      <c r="BZ12" s="36">
        <f>BZ13-BZ9-BZ10-BZ11</f>
        <v>2.7292671506528796E-4</v>
      </c>
      <c r="CA12" s="36">
        <f>CA13-CA9-CA10-CA11</f>
        <v>3.061409163963788E-4</v>
      </c>
      <c r="CB12" s="36">
        <f>CB13-CB9-CB10-CB11</f>
        <v>1.1539469364563529E-4</v>
      </c>
      <c r="CC12" s="27">
        <f>SUMPRODUCT(BT7:BW7,BY12:CB12)/BX7</f>
        <v>2.0893254114819106E-4</v>
      </c>
      <c r="CD12" s="36">
        <f>CD13-CD9-CD10-CD11</f>
        <v>1.206111500552387E-4</v>
      </c>
      <c r="CE12" s="36">
        <f>CE13-CE9-CE10-CE11</f>
        <v>2.7550256138311052E-4</v>
      </c>
      <c r="CF12" s="36">
        <f>CF13-CF9-CF10-CF11</f>
        <v>3.087369611483072E-4</v>
      </c>
      <c r="CG12" s="36">
        <f>CG13-CG9-CG10-CG11</f>
        <v>1.1614150195366976E-4</v>
      </c>
      <c r="CH12" s="27">
        <f>SUMPRODUCT(BY7:CB7,CD12:CG12)/CC7</f>
        <v>2.1069239294195893E-4</v>
      </c>
      <c r="CI12" s="36">
        <f>CI13-CI9-CI10-CI11</f>
        <v>1.2226303602800095E-4</v>
      </c>
      <c r="CJ12" s="36">
        <f>CJ13-CJ9-CJ10-CJ11</f>
        <v>2.7929711252610082E-4</v>
      </c>
      <c r="CK12" s="36">
        <f>CK13-CK9-CK10-CK11</f>
        <v>3.1266104185687787E-4</v>
      </c>
      <c r="CL12" s="36">
        <f>CL13-CL9-CL10-CL11</f>
        <v>1.1736653988369747E-4</v>
      </c>
      <c r="CM12" s="27">
        <f>SUMPRODUCT(CD7:CG7,CI12:CL12)/CH7</f>
        <v>2.1337556841075336E-4</v>
      </c>
    </row>
    <row r="13" spans="1:91" x14ac:dyDescent="0.2">
      <c r="A13" s="33" t="s">
        <v>190</v>
      </c>
      <c r="B13" s="80" t="s">
        <v>169</v>
      </c>
      <c r="C13" s="80" t="s">
        <v>169</v>
      </c>
      <c r="D13" s="80" t="s">
        <v>169</v>
      </c>
      <c r="E13" s="80" t="s">
        <v>169</v>
      </c>
      <c r="F13" s="35" t="s">
        <v>169</v>
      </c>
      <c r="G13" s="80">
        <f t="shared" ref="G13:AJ13" si="64">G7/B7-1</f>
        <v>3.8417210910488553E-3</v>
      </c>
      <c r="H13" s="80">
        <f t="shared" si="64"/>
        <v>2.6307448494453212E-2</v>
      </c>
      <c r="I13" s="80">
        <f t="shared" si="64"/>
        <v>6.9074043399039331E-2</v>
      </c>
      <c r="J13" s="80">
        <f t="shared" si="64"/>
        <v>6.8636281751035755E-2</v>
      </c>
      <c r="K13" s="35">
        <f t="shared" si="64"/>
        <v>4.259002770083109E-2</v>
      </c>
      <c r="L13" s="80">
        <f t="shared" si="64"/>
        <v>0.16781477229238417</v>
      </c>
      <c r="M13" s="80">
        <f t="shared" si="64"/>
        <v>0.19410129709697355</v>
      </c>
      <c r="N13" s="80">
        <f t="shared" si="64"/>
        <v>0.19150914161760157</v>
      </c>
      <c r="O13" s="80">
        <f t="shared" si="64"/>
        <v>0.23583951449763996</v>
      </c>
      <c r="P13" s="35">
        <f t="shared" si="64"/>
        <v>0.19798239787446037</v>
      </c>
      <c r="Q13" s="80">
        <f t="shared" si="64"/>
        <v>0.20907750286744231</v>
      </c>
      <c r="R13" s="80">
        <f t="shared" si="64"/>
        <v>0.16979180137074867</v>
      </c>
      <c r="S13" s="80">
        <f t="shared" si="64"/>
        <v>9.141742522756835E-2</v>
      </c>
      <c r="T13" s="80">
        <f t="shared" si="64"/>
        <v>-2.7963442913654379E-2</v>
      </c>
      <c r="U13" s="35">
        <f t="shared" si="64"/>
        <v>0.10697577710780748</v>
      </c>
      <c r="V13" s="80">
        <f t="shared" si="64"/>
        <v>-2.8459140804987126E-2</v>
      </c>
      <c r="W13" s="80">
        <f t="shared" si="64"/>
        <v>-8.6115410126022529E-2</v>
      </c>
      <c r="X13" s="80">
        <f t="shared" si="64"/>
        <v>-4.1582270940069055E-2</v>
      </c>
      <c r="Y13" s="80">
        <f t="shared" si="64"/>
        <v>5.3887173730002846E-2</v>
      </c>
      <c r="Z13" s="35">
        <f t="shared" si="64"/>
        <v>-2.9864763335837763E-2</v>
      </c>
      <c r="AA13" s="80">
        <f t="shared" si="64"/>
        <v>4.965825080206443E-2</v>
      </c>
      <c r="AB13" s="80">
        <f t="shared" si="64"/>
        <v>4.9231885811056086E-2</v>
      </c>
      <c r="AC13" s="80">
        <f t="shared" si="64"/>
        <v>4.7488811536549047E-2</v>
      </c>
      <c r="AD13" s="80">
        <f t="shared" si="64"/>
        <v>0.39733688415446067</v>
      </c>
      <c r="AE13" s="35">
        <f t="shared" si="64"/>
        <v>0.13323652791222984</v>
      </c>
      <c r="AF13" s="80">
        <f>AF7/AA7-1</f>
        <v>0.40132890365448515</v>
      </c>
      <c r="AG13" s="80">
        <f>AG7/AB7-1</f>
        <v>0.46841134424717557</v>
      </c>
      <c r="AH13" s="80">
        <f>AH7/AC7-1</f>
        <v>0.45300261096605743</v>
      </c>
      <c r="AI13" s="80">
        <f>AI7/AD7-1</f>
        <v>5.2029731275014202E-2</v>
      </c>
      <c r="AJ13" s="35">
        <f t="shared" si="64"/>
        <v>0.32592044192602287</v>
      </c>
      <c r="AK13" s="80">
        <f t="shared" ref="AK13:CC13" si="65">AK7/AF7-1</f>
        <v>5.6140350877192935E-2</v>
      </c>
      <c r="AL13" s="80">
        <f t="shared" si="65"/>
        <v>2.7243463924000899E-2</v>
      </c>
      <c r="AM13" s="80">
        <f t="shared" si="65"/>
        <v>8.2496120231969616E-3</v>
      </c>
      <c r="AN13" s="80">
        <f t="shared" si="65"/>
        <v>3.7590579710145011E-2</v>
      </c>
      <c r="AO13" s="35">
        <f t="shared" si="65"/>
        <v>3.1246644475464436E-2</v>
      </c>
      <c r="AP13" s="190">
        <f t="shared" si="65"/>
        <v>-9.1586603214510731E-3</v>
      </c>
      <c r="AQ13" s="80">
        <f ca="1">AQ7/AL7-1</f>
        <v>-2.5603790889636158E-2</v>
      </c>
      <c r="AR13" s="80">
        <f ca="1">AR7/AM7-1</f>
        <v>-2.5437459494491277E-2</v>
      </c>
      <c r="AS13" s="80">
        <f>AS7/AN7-1</f>
        <v>-3.6228721082496751E-2</v>
      </c>
      <c r="AT13" s="35">
        <f t="shared" ca="1" si="65"/>
        <v>-2.4281549354435605E-2</v>
      </c>
      <c r="AU13" s="80">
        <f>AU7/AP7-1</f>
        <v>-4.1594925237879443E-2</v>
      </c>
      <c r="AV13" s="80">
        <f ca="1">AV7/AQ7-1</f>
        <v>-1.3726566789552086E-2</v>
      </c>
      <c r="AW13" s="80">
        <f ca="1">AW7/AR7-1</f>
        <v>-4.4887780548628076E-3</v>
      </c>
      <c r="AX13" s="80">
        <f>AX7/AS7-1</f>
        <v>-1.5217391304347849E-2</v>
      </c>
      <c r="AY13" s="35">
        <f ca="1">AY7/AT7-1</f>
        <v>-1.8269518077432045E-2</v>
      </c>
      <c r="AZ13" s="80">
        <f t="shared" si="65"/>
        <v>1.2764750378214895E-2</v>
      </c>
      <c r="BA13" s="80">
        <f t="shared" si="65"/>
        <v>-3.3243200254493344E-2</v>
      </c>
      <c r="BB13" s="80">
        <f t="shared" si="65"/>
        <v>-4.5841683366733443E-2</v>
      </c>
      <c r="BC13" s="80">
        <f t="shared" si="65"/>
        <v>-8.0206033848417957E-2</v>
      </c>
      <c r="BD13" s="35">
        <f t="shared" si="65"/>
        <v>-3.7045088916909386E-2</v>
      </c>
      <c r="BE13" s="80">
        <f>BE7/AZ7-1</f>
        <v>-3.5664270376248752E-2</v>
      </c>
      <c r="BF13" s="80">
        <f>BF7/BA7-1</f>
        <v>-5.1990786442908887E-2</v>
      </c>
      <c r="BG13" s="80">
        <f>BG7/BB7-1</f>
        <v>-7.009713835652398E-2</v>
      </c>
      <c r="BH13" s="80">
        <f t="shared" si="65"/>
        <v>-6.25E-2</v>
      </c>
      <c r="BI13" s="35">
        <f t="shared" si="65"/>
        <v>-5.5086467693141294E-2</v>
      </c>
      <c r="BJ13" s="80">
        <f>BJ7/BE7-1</f>
        <v>-0.11724271468680414</v>
      </c>
      <c r="BK13" s="80">
        <f>BK7/BF7-1</f>
        <v>-0.15810482471364107</v>
      </c>
      <c r="BL13" s="80">
        <f>BL7/BG7-1</f>
        <v>-0.14568040654997172</v>
      </c>
      <c r="BM13" s="80">
        <f t="shared" si="65"/>
        <v>-0.20320000000000005</v>
      </c>
      <c r="BN13" s="35">
        <f t="shared" si="65"/>
        <v>-0.15496726716681797</v>
      </c>
      <c r="BO13" s="849">
        <f t="shared" si="65"/>
        <v>-0.1638517218688309</v>
      </c>
      <c r="BP13" s="80">
        <f t="shared" si="65"/>
        <v>-9.9560115391792992E-2</v>
      </c>
      <c r="BQ13" s="80">
        <f t="shared" si="65"/>
        <v>-8.5779623008455874E-2</v>
      </c>
      <c r="BR13" s="80">
        <f t="shared" si="65"/>
        <v>-1.9539151881484473E-2</v>
      </c>
      <c r="BS13" s="35">
        <f t="shared" si="65"/>
        <v>-9.5696593580542499E-2</v>
      </c>
      <c r="BT13" s="80">
        <f t="shared" si="65"/>
        <v>3.7025972017451947E-2</v>
      </c>
      <c r="BU13" s="80">
        <f t="shared" si="65"/>
        <v>4.0396959273399924E-2</v>
      </c>
      <c r="BV13" s="80">
        <f t="shared" si="65"/>
        <v>4.1423531483588238E-2</v>
      </c>
      <c r="BW13" s="80">
        <f t="shared" si="65"/>
        <v>4.359475749682562E-2</v>
      </c>
      <c r="BX13" s="35">
        <f t="shared" si="65"/>
        <v>4.0592067546330934E-2</v>
      </c>
      <c r="BY13" s="80">
        <f t="shared" si="65"/>
        <v>4.0545626212383334E-2</v>
      </c>
      <c r="BZ13" s="80">
        <f t="shared" si="65"/>
        <v>4.0182891151208766E-2</v>
      </c>
      <c r="CA13" s="80">
        <f t="shared" si="65"/>
        <v>4.1170972924160942E-2</v>
      </c>
      <c r="CB13" s="80">
        <f t="shared" si="65"/>
        <v>4.3248333194634725E-2</v>
      </c>
      <c r="CC13" s="35">
        <f t="shared" si="65"/>
        <v>4.1229657808370179E-2</v>
      </c>
      <c r="CD13" s="80">
        <f t="shared" ref="CD13:CM13" si="66">CD7/BY7-1</f>
        <v>3.5813535080766012E-2</v>
      </c>
      <c r="CE13" s="80">
        <f t="shared" si="66"/>
        <v>3.57346226591162E-2</v>
      </c>
      <c r="CF13" s="80">
        <f t="shared" si="66"/>
        <v>3.6821879950905911E-2</v>
      </c>
      <c r="CG13" s="80">
        <f t="shared" si="66"/>
        <v>3.9040404297015607E-2</v>
      </c>
      <c r="CH13" s="35">
        <f t="shared" si="66"/>
        <v>3.679635975519413E-2</v>
      </c>
      <c r="CI13" s="80">
        <f t="shared" si="66"/>
        <v>3.4017723471859274E-2</v>
      </c>
      <c r="CJ13" s="80">
        <f t="shared" si="66"/>
        <v>3.4070939218873164E-2</v>
      </c>
      <c r="CK13" s="80">
        <f t="shared" si="66"/>
        <v>3.4945722405416157E-2</v>
      </c>
      <c r="CL13" s="80">
        <f t="shared" si="66"/>
        <v>3.666748749824067E-2</v>
      </c>
      <c r="CM13" s="35">
        <f t="shared" si="66"/>
        <v>3.4884249023510838E-2</v>
      </c>
    </row>
    <row r="14" spans="1:91" hidden="1" outlineLevel="1" x14ac:dyDescent="0.2">
      <c r="A14" s="30" t="s">
        <v>316</v>
      </c>
      <c r="B14" s="41">
        <v>0</v>
      </c>
      <c r="C14" s="41">
        <v>0</v>
      </c>
      <c r="D14" s="41">
        <v>0</v>
      </c>
      <c r="E14" s="41">
        <v>0</v>
      </c>
      <c r="F14" s="44">
        <v>0</v>
      </c>
      <c r="G14" s="41">
        <v>0</v>
      </c>
      <c r="H14" s="41">
        <v>0</v>
      </c>
      <c r="I14" s="41">
        <v>0</v>
      </c>
      <c r="J14" s="41">
        <v>0</v>
      </c>
      <c r="K14" s="44">
        <v>0</v>
      </c>
      <c r="L14" s="36">
        <v>0.01</v>
      </c>
      <c r="M14" s="36">
        <v>0.01</v>
      </c>
      <c r="N14" s="36">
        <v>0.01</v>
      </c>
      <c r="O14" s="36">
        <v>0.01</v>
      </c>
      <c r="P14" s="27">
        <v>0.01</v>
      </c>
      <c r="Q14" s="36">
        <v>0.02</v>
      </c>
      <c r="R14" s="36">
        <v>0.01</v>
      </c>
      <c r="S14" s="36">
        <v>0.02</v>
      </c>
      <c r="T14" s="36">
        <v>0.01</v>
      </c>
      <c r="U14" s="27">
        <v>0.02</v>
      </c>
      <c r="V14" s="36">
        <v>0.01</v>
      </c>
      <c r="W14" s="36">
        <v>0.01</v>
      </c>
      <c r="X14" s="36">
        <v>0</v>
      </c>
      <c r="Y14" s="36">
        <v>0.01</v>
      </c>
      <c r="Z14" s="27">
        <v>0.01</v>
      </c>
      <c r="AA14" s="36">
        <v>0</v>
      </c>
      <c r="AB14" s="36">
        <v>0</v>
      </c>
      <c r="AC14" s="36">
        <v>0</v>
      </c>
      <c r="AD14" s="36">
        <v>0</v>
      </c>
      <c r="AE14" s="27">
        <v>0</v>
      </c>
      <c r="AF14" s="36">
        <v>0</v>
      </c>
      <c r="AG14" s="36">
        <v>0</v>
      </c>
      <c r="AH14" s="36">
        <v>0</v>
      </c>
      <c r="AI14" s="36">
        <v>0</v>
      </c>
      <c r="AJ14" s="27">
        <v>0</v>
      </c>
      <c r="AK14" s="36">
        <v>0</v>
      </c>
      <c r="AL14" s="36">
        <v>0</v>
      </c>
      <c r="AM14" s="36">
        <v>0</v>
      </c>
      <c r="AN14" s="36">
        <v>0</v>
      </c>
      <c r="AO14" s="27">
        <f>SUMPRODUCT(AK14:AN14,AF7:AI7)/AJ7</f>
        <v>0</v>
      </c>
      <c r="AP14" s="36">
        <v>0</v>
      </c>
      <c r="AQ14" s="36">
        <v>0</v>
      </c>
      <c r="AR14" s="36">
        <v>0</v>
      </c>
      <c r="AS14" s="36">
        <v>0</v>
      </c>
      <c r="AT14" s="27">
        <f>SUMPRODUCT(AP14:AS14,AK7:AN7)/AO7</f>
        <v>0</v>
      </c>
      <c r="AU14" s="36">
        <v>0</v>
      </c>
      <c r="AV14" s="36">
        <v>0</v>
      </c>
      <c r="AW14" s="36">
        <v>0</v>
      </c>
      <c r="AX14" s="36">
        <v>0</v>
      </c>
      <c r="AY14" s="27">
        <f ca="1">SUMPRODUCT(AU14:AX14,AP7:AS7)/AT7</f>
        <v>0</v>
      </c>
      <c r="AZ14" s="36">
        <v>0</v>
      </c>
      <c r="BA14" s="36">
        <v>0</v>
      </c>
      <c r="BB14" s="36">
        <v>0</v>
      </c>
      <c r="BC14" s="36">
        <v>0</v>
      </c>
      <c r="BD14" s="27">
        <f>SUMPRODUCT(AZ14:BC14,AU7:AX7)/AY7</f>
        <v>0</v>
      </c>
      <c r="BE14" s="36">
        <v>0</v>
      </c>
      <c r="BF14" s="36">
        <v>0</v>
      </c>
      <c r="BG14" s="36">
        <v>0</v>
      </c>
      <c r="BH14" s="36">
        <v>0</v>
      </c>
      <c r="BI14" s="27">
        <f>SUMPRODUCT(BE14:BH14,AZ7:BC7)/BD7</f>
        <v>0</v>
      </c>
      <c r="BJ14" s="36">
        <v>0</v>
      </c>
      <c r="BK14" s="36">
        <v>0</v>
      </c>
      <c r="BL14" s="36">
        <v>0</v>
      </c>
      <c r="BM14" s="36">
        <v>0</v>
      </c>
      <c r="BN14" s="27">
        <f>SUMPRODUCT(BJ14:BM14,BE7:BH7)/BI7</f>
        <v>0</v>
      </c>
      <c r="BO14" s="36">
        <v>0</v>
      </c>
      <c r="BP14" s="36">
        <v>0</v>
      </c>
      <c r="BQ14" s="36">
        <v>0</v>
      </c>
      <c r="BR14" s="36">
        <v>0</v>
      </c>
      <c r="BS14" s="27">
        <f>SUMPRODUCT(BO14:BR14,BJ7:BM7)/BN7</f>
        <v>0</v>
      </c>
      <c r="BT14" s="36">
        <v>0</v>
      </c>
      <c r="BU14" s="36">
        <v>0</v>
      </c>
      <c r="BV14" s="36">
        <v>0</v>
      </c>
      <c r="BW14" s="36">
        <v>0</v>
      </c>
      <c r="BX14" s="27">
        <f>SUMPRODUCT(BT14:BW14,BO7:BR7)/BS7</f>
        <v>0</v>
      </c>
      <c r="BY14" s="36">
        <v>0</v>
      </c>
      <c r="BZ14" s="36">
        <v>0</v>
      </c>
      <c r="CA14" s="36">
        <v>0</v>
      </c>
      <c r="CB14" s="36">
        <v>0</v>
      </c>
      <c r="CC14" s="27">
        <f>SUMPRODUCT(BY14:CB14,BT7:BW7)/BX7</f>
        <v>0</v>
      </c>
      <c r="CD14" s="36">
        <v>0</v>
      </c>
      <c r="CE14" s="36">
        <v>0</v>
      </c>
      <c r="CF14" s="36">
        <v>0</v>
      </c>
      <c r="CG14" s="36">
        <v>0</v>
      </c>
      <c r="CH14" s="27">
        <f>SUMPRODUCT(CD14:CG14,BY7:CB7)/CC7</f>
        <v>0</v>
      </c>
      <c r="CI14" s="36">
        <v>0</v>
      </c>
      <c r="CJ14" s="36">
        <v>0</v>
      </c>
      <c r="CK14" s="36">
        <v>0</v>
      </c>
      <c r="CL14" s="36">
        <v>0</v>
      </c>
      <c r="CM14" s="27">
        <f>SUMPRODUCT(CI14:CL14,CD7:CG7)/CH7</f>
        <v>0</v>
      </c>
    </row>
    <row r="15" spans="1:91" hidden="1" outlineLevel="1" x14ac:dyDescent="0.2">
      <c r="A15" s="33" t="s">
        <v>317</v>
      </c>
      <c r="B15" s="80">
        <f t="shared" ref="B15:AD15" si="67">B9+B10-B14</f>
        <v>3.0000000000000002E-2</v>
      </c>
      <c r="C15" s="80">
        <f t="shared" si="67"/>
        <v>6.7000000000000004E-2</v>
      </c>
      <c r="D15" s="80">
        <f t="shared" si="67"/>
        <v>5.9000000000000004E-2</v>
      </c>
      <c r="E15" s="80">
        <f t="shared" si="67"/>
        <v>7.0000000000000007E-2</v>
      </c>
      <c r="F15" s="35">
        <f t="shared" si="67"/>
        <v>0.05</v>
      </c>
      <c r="G15" s="80">
        <f t="shared" si="67"/>
        <v>6.0000000000000005E-2</v>
      </c>
      <c r="H15" s="80">
        <f t="shared" si="67"/>
        <v>0.04</v>
      </c>
      <c r="I15" s="80">
        <f t="shared" si="67"/>
        <v>0.09</v>
      </c>
      <c r="J15" s="80">
        <f t="shared" si="67"/>
        <v>7.0000000000000007E-2</v>
      </c>
      <c r="K15" s="35">
        <f t="shared" si="67"/>
        <v>0.06</v>
      </c>
      <c r="L15" s="80">
        <f t="shared" si="67"/>
        <v>0.08</v>
      </c>
      <c r="M15" s="80">
        <f t="shared" si="67"/>
        <v>8.0000000000000016E-2</v>
      </c>
      <c r="N15" s="80">
        <f t="shared" si="67"/>
        <v>5.9999999999999991E-2</v>
      </c>
      <c r="O15" s="80">
        <f t="shared" si="67"/>
        <v>7.0000000000000007E-2</v>
      </c>
      <c r="P15" s="35">
        <f t="shared" si="67"/>
        <v>7.0000000000000007E-2</v>
      </c>
      <c r="Q15" s="80">
        <f t="shared" si="67"/>
        <v>0.05</v>
      </c>
      <c r="R15" s="80">
        <f t="shared" si="67"/>
        <v>4.9999999999999996E-2</v>
      </c>
      <c r="S15" s="80">
        <f t="shared" si="67"/>
        <v>0.02</v>
      </c>
      <c r="T15" s="80">
        <f t="shared" si="67"/>
        <v>7.0000000000000007E-2</v>
      </c>
      <c r="U15" s="35">
        <f t="shared" si="67"/>
        <v>0.05</v>
      </c>
      <c r="V15" s="80">
        <f t="shared" si="67"/>
        <v>8.0000000000000016E-2</v>
      </c>
      <c r="W15" s="80">
        <f t="shared" si="67"/>
        <v>9.9999999999999967E-3</v>
      </c>
      <c r="X15" s="80">
        <f t="shared" si="67"/>
        <v>0.03</v>
      </c>
      <c r="Y15" s="80">
        <f t="shared" si="67"/>
        <v>-0.01</v>
      </c>
      <c r="Z15" s="35">
        <f t="shared" si="67"/>
        <v>1.9999999999999997E-2</v>
      </c>
      <c r="AA15" s="80">
        <f t="shared" si="67"/>
        <v>9.9999999999999985E-3</v>
      </c>
      <c r="AB15" s="80">
        <f t="shared" si="67"/>
        <v>0.05</v>
      </c>
      <c r="AC15" s="80">
        <f t="shared" si="67"/>
        <v>0.08</v>
      </c>
      <c r="AD15" s="80">
        <f t="shared" si="67"/>
        <v>0.08</v>
      </c>
      <c r="AE15" s="35">
        <v>0.06</v>
      </c>
      <c r="AF15" s="80">
        <f t="shared" ref="AF15:AN15" si="68">AF9+AF10-AF14</f>
        <v>5.5E-2</v>
      </c>
      <c r="AG15" s="80">
        <f t="shared" si="68"/>
        <v>0.08</v>
      </c>
      <c r="AH15" s="80">
        <f t="shared" si="68"/>
        <v>7.0000000000000007E-2</v>
      </c>
      <c r="AI15" s="80">
        <f t="shared" si="68"/>
        <v>6.0000000000000005E-2</v>
      </c>
      <c r="AJ15" s="35">
        <f t="shared" si="68"/>
        <v>6.5000000000000002E-2</v>
      </c>
      <c r="AK15" s="80">
        <f t="shared" si="68"/>
        <v>0.06</v>
      </c>
      <c r="AL15" s="80">
        <f t="shared" si="68"/>
        <v>0.06</v>
      </c>
      <c r="AM15" s="80">
        <f t="shared" si="68"/>
        <v>0.05</v>
      </c>
      <c r="AN15" s="80">
        <f t="shared" si="68"/>
        <v>0.04</v>
      </c>
      <c r="AO15" s="35">
        <f>SUMPRODUCT(AK15:AN15,AF7:AI7)/AJ7</f>
        <v>5.2629013207344574E-2</v>
      </c>
      <c r="AP15" s="80">
        <f>AP9+AP10-AP14</f>
        <v>0.02</v>
      </c>
      <c r="AQ15" s="80">
        <f>AQ9+AQ10-AQ14</f>
        <v>0.01</v>
      </c>
      <c r="AR15" s="80">
        <f>AR9+AR10-AR14</f>
        <v>0.03</v>
      </c>
      <c r="AS15" s="80">
        <f>AS9+AS10-AS14</f>
        <v>0.03</v>
      </c>
      <c r="AT15" s="35">
        <f>SUMPRODUCT(AP15:AS15,AK7:AN7)/AO7</f>
        <v>2.2231361932528119E-2</v>
      </c>
      <c r="AU15" s="80">
        <f>AU9+AU10-AU14</f>
        <v>1.35E-2</v>
      </c>
      <c r="AV15" s="80">
        <f>AV9+AV10-AV14</f>
        <v>3.7999999999999999E-2</v>
      </c>
      <c r="AW15" s="80">
        <f>AW9+AW10-AW14</f>
        <v>0.02</v>
      </c>
      <c r="AX15" s="80">
        <f>AX9+AX10-AX14</f>
        <v>0.04</v>
      </c>
      <c r="AY15" s="35">
        <f ca="1">SUMPRODUCT(AU15:AX15,AP7:AS7)/AT7</f>
        <v>2.8079448926452387E-2</v>
      </c>
      <c r="AZ15" s="80">
        <f>AZ9+AZ10-AZ14</f>
        <v>0.08</v>
      </c>
      <c r="BA15" s="80">
        <f>BA9+BA10-BA14</f>
        <v>0.04</v>
      </c>
      <c r="BB15" s="80">
        <f>BB9+BB10-BB14</f>
        <v>0.03</v>
      </c>
      <c r="BC15" s="80">
        <f>BC9+BC10-BC14</f>
        <v>-9.9999999999999985E-3</v>
      </c>
      <c r="BD15" s="35">
        <f>SUMPRODUCT(AZ15:BC15,AU7:AX7)/AY7</f>
        <v>3.4775425018479064E-2</v>
      </c>
      <c r="BE15" s="80">
        <f>BE9+BE10-BE14</f>
        <v>0.02</v>
      </c>
      <c r="BF15" s="80">
        <f>BF9+BF10-BF14</f>
        <v>0.03</v>
      </c>
      <c r="BG15" s="80">
        <f>BG9+BG10-BG14</f>
        <v>0.02</v>
      </c>
      <c r="BH15" s="80">
        <f>BH9+BH10-BH14</f>
        <v>0.06</v>
      </c>
      <c r="BI15" s="35">
        <f>SUMPRODUCT(BE15:BH15,AZ7:BC7)/BD7</f>
        <v>3.1774958233620809E-2</v>
      </c>
      <c r="BJ15" s="80">
        <f>BJ9+BJ10-BJ14</f>
        <v>0</v>
      </c>
      <c r="BK15" s="80">
        <f>BK9+BK10-BK14</f>
        <v>0.03</v>
      </c>
      <c r="BL15" s="80">
        <f>BL9+BL10-BL14</f>
        <v>0.04</v>
      </c>
      <c r="BM15" s="80">
        <f>BM9+BM10-BM14</f>
        <v>0.06</v>
      </c>
      <c r="BN15" s="35">
        <f>SUMPRODUCT(BJ15:BM15,BE7:BH7)/BI7</f>
        <v>3.1855019830840541E-2</v>
      </c>
      <c r="BO15" s="80">
        <f>BO9+BO10-BO14</f>
        <v>0.05</v>
      </c>
      <c r="BP15" s="80">
        <f>BP9+BP10-BP14</f>
        <v>3.4597711811997528E-2</v>
      </c>
      <c r="BQ15" s="80">
        <f>BQ9+BQ10-BQ14</f>
        <v>3.2623705662040092E-2</v>
      </c>
      <c r="BR15" s="80">
        <f>BR9+BR10-BR14</f>
        <v>4.1944654758375575E-2</v>
      </c>
      <c r="BS15" s="35">
        <f>SUMPRODUCT(BO15:BR15,BJ7:BM7)/BN7</f>
        <v>3.9613536842486585E-2</v>
      </c>
      <c r="BT15" s="80">
        <f>BT9+BT10-BT14</f>
        <v>4.0727964323189925E-2</v>
      </c>
      <c r="BU15" s="80">
        <f>BU9+BU10-BU14</f>
        <v>4.0126528678677539E-2</v>
      </c>
      <c r="BV15" s="80">
        <f>BV9+BV10-BV14</f>
        <v>4.1119891146173863E-2</v>
      </c>
      <c r="BW15" s="80">
        <f>BW9+BW10-BW14</f>
        <v>4.3480066737462381E-2</v>
      </c>
      <c r="BX15" s="35">
        <f>SUMPRODUCT(BT15:BW15,BO7:BR7)/BS7</f>
        <v>4.1295603984420844E-2</v>
      </c>
      <c r="BY15" s="80">
        <f>BY9+BY10-BY14</f>
        <v>4.0426101065085762E-2</v>
      </c>
      <c r="BZ15" s="80">
        <f>BZ9+BZ10-BZ14</f>
        <v>3.9909964436143475E-2</v>
      </c>
      <c r="CA15" s="80">
        <f>CA9+CA10-CA14</f>
        <v>4.0864832007764564E-2</v>
      </c>
      <c r="CB15" s="80">
        <f>CB9+CB10-CB14</f>
        <v>4.3132938500989093E-2</v>
      </c>
      <c r="CC15" s="35">
        <f>SUMPRODUCT(BY15:CB15,BT7:BW7)/BX7</f>
        <v>4.1020725267221891E-2</v>
      </c>
      <c r="CD15" s="80">
        <f>CD9+CD10-CD14</f>
        <v>3.5692923930710774E-2</v>
      </c>
      <c r="CE15" s="80">
        <f>CE9+CE10-CE14</f>
        <v>3.5459120097733089E-2</v>
      </c>
      <c r="CF15" s="80">
        <f>CF9+CF10-CF14</f>
        <v>3.6513142989757608E-2</v>
      </c>
      <c r="CG15" s="80">
        <f>CG9+CG10-CG14</f>
        <v>3.8924262795061934E-2</v>
      </c>
      <c r="CH15" s="35">
        <f>SUMPRODUCT(CD15:CG15,BY7:CB7)/CC7</f>
        <v>3.6585667362252314E-2</v>
      </c>
      <c r="CI15" s="80">
        <f>CI9+CI10-CI14</f>
        <v>3.3895460435831276E-2</v>
      </c>
      <c r="CJ15" s="80">
        <f>CJ9+CJ10-CJ14</f>
        <v>3.3791642106347067E-2</v>
      </c>
      <c r="CK15" s="80">
        <f>CK9+CK10-CK14</f>
        <v>3.463306136355928E-2</v>
      </c>
      <c r="CL15" s="80">
        <f>CL9+CL10-CL14</f>
        <v>3.6550120958356969E-2</v>
      </c>
      <c r="CM15" s="35">
        <f>SUMPRODUCT(CI15:CL15,CD7:CG7)/CH7</f>
        <v>3.4670873455100094E-2</v>
      </c>
    </row>
    <row r="16" spans="1:91" ht="12" customHeight="1" collapsed="1" x14ac:dyDescent="0.2">
      <c r="A16" s="63"/>
      <c r="B16" s="49"/>
      <c r="C16" s="49"/>
      <c r="D16" s="49"/>
      <c r="E16" s="49"/>
      <c r="F16" s="66"/>
      <c r="G16" s="62"/>
      <c r="H16" s="62"/>
      <c r="I16" s="62"/>
      <c r="J16" s="62"/>
      <c r="K16" s="143"/>
      <c r="L16" s="62"/>
      <c r="M16" s="62"/>
      <c r="N16" s="62"/>
      <c r="O16" s="62"/>
      <c r="P16" s="149"/>
      <c r="Q16" s="62"/>
      <c r="R16" s="62"/>
      <c r="S16" s="62"/>
      <c r="T16" s="62"/>
      <c r="U16" s="149"/>
      <c r="V16" s="62"/>
      <c r="W16" s="62"/>
      <c r="X16" s="62"/>
      <c r="Y16" s="62"/>
      <c r="Z16" s="149"/>
      <c r="AA16" s="62"/>
      <c r="AB16" s="62"/>
      <c r="AC16" s="62"/>
      <c r="AD16" s="62"/>
      <c r="AE16" s="149"/>
      <c r="AF16" s="62"/>
      <c r="AG16" s="62"/>
      <c r="AH16" s="62"/>
      <c r="AI16" s="62"/>
      <c r="AJ16" s="149"/>
      <c r="AK16" s="62"/>
      <c r="AL16" s="62"/>
      <c r="AM16" s="62"/>
      <c r="AN16" s="62"/>
      <c r="AO16" s="149"/>
      <c r="AP16" s="62"/>
      <c r="AQ16" s="62"/>
      <c r="AR16" s="62"/>
      <c r="AS16" s="62"/>
      <c r="AT16" s="149"/>
      <c r="AU16" s="62"/>
      <c r="AV16" s="62"/>
      <c r="AW16" s="62"/>
      <c r="AX16" s="62"/>
      <c r="AY16" s="149"/>
      <c r="AZ16" s="62"/>
      <c r="BA16" s="62"/>
      <c r="BB16" s="62"/>
      <c r="BC16" s="62"/>
      <c r="BD16" s="149"/>
      <c r="BE16" s="62"/>
      <c r="BF16" s="62"/>
      <c r="BG16" s="801"/>
      <c r="BH16" s="36"/>
      <c r="BI16" s="27"/>
      <c r="BJ16" s="36"/>
      <c r="BK16" s="36"/>
      <c r="BL16" s="36"/>
      <c r="BM16" s="36"/>
      <c r="BN16" s="27"/>
      <c r="BO16" s="36"/>
      <c r="BP16" s="36"/>
      <c r="BQ16" s="36"/>
      <c r="BR16" s="36"/>
      <c r="BS16" s="27"/>
      <c r="BT16" s="36"/>
      <c r="BU16" s="36"/>
      <c r="BV16" s="36"/>
      <c r="BW16" s="36"/>
      <c r="BX16" s="27"/>
      <c r="BY16" s="36"/>
      <c r="BZ16" s="36"/>
      <c r="CA16" s="36"/>
      <c r="CB16" s="36"/>
      <c r="CC16" s="27"/>
      <c r="CD16" s="36"/>
      <c r="CE16" s="36"/>
      <c r="CF16" s="36"/>
      <c r="CG16" s="36"/>
      <c r="CH16" s="27"/>
      <c r="CI16" s="36"/>
      <c r="CJ16" s="36"/>
      <c r="CK16" s="36"/>
      <c r="CL16" s="36"/>
      <c r="CM16" s="27"/>
    </row>
    <row r="17" spans="1:91" ht="12" customHeight="1" x14ac:dyDescent="0.2">
      <c r="A17" s="58" t="s">
        <v>386</v>
      </c>
      <c r="B17" s="49"/>
      <c r="C17" s="49"/>
      <c r="D17" s="49"/>
      <c r="E17" s="49"/>
      <c r="F17" s="66"/>
      <c r="G17" s="62"/>
      <c r="H17" s="62"/>
      <c r="I17" s="62"/>
      <c r="J17" s="62"/>
      <c r="K17" s="143"/>
      <c r="L17" s="62"/>
      <c r="M17" s="62"/>
      <c r="N17" s="62"/>
      <c r="O17" s="62"/>
      <c r="P17" s="149"/>
      <c r="Q17" s="62"/>
      <c r="R17" s="62"/>
      <c r="S17" s="62"/>
      <c r="T17" s="62"/>
      <c r="U17" s="149"/>
      <c r="V17" s="62"/>
      <c r="W17" s="62"/>
      <c r="X17" s="62"/>
      <c r="Y17" s="62"/>
      <c r="Z17" s="149"/>
      <c r="AA17" s="62"/>
      <c r="AB17" s="62"/>
      <c r="AC17" s="62"/>
      <c r="AD17" s="62"/>
      <c r="AE17" s="149"/>
      <c r="AF17" s="62"/>
      <c r="AG17" s="62"/>
      <c r="AH17" s="62"/>
      <c r="AI17" s="62"/>
      <c r="AJ17" s="149"/>
      <c r="AK17" s="62"/>
      <c r="AL17" s="62"/>
      <c r="AM17" s="62"/>
      <c r="AN17" s="62"/>
      <c r="AO17" s="149"/>
      <c r="AP17" s="62"/>
      <c r="AQ17" s="62"/>
      <c r="AR17" s="62"/>
      <c r="AS17" s="62"/>
      <c r="AT17" s="65">
        <f>+AT28+AT59</f>
        <v>8097</v>
      </c>
      <c r="AU17" s="547">
        <f>+AU28+AU59</f>
        <v>1951</v>
      </c>
      <c r="AV17" s="547">
        <f>+AV28+AV59</f>
        <v>2301</v>
      </c>
      <c r="AW17" s="547">
        <f>+AW28+AW59</f>
        <v>2138</v>
      </c>
      <c r="AX17" s="547">
        <f>+AX28+AX59</f>
        <v>1876</v>
      </c>
      <c r="AY17" s="65">
        <f t="shared" ref="AY17" si="69">+AY28+AY59</f>
        <v>8266</v>
      </c>
      <c r="AZ17" s="547">
        <f t="shared" ref="AZ17:BD18" si="70">+AZ28+AZ59</f>
        <v>1850</v>
      </c>
      <c r="BA17" s="547">
        <f t="shared" si="70"/>
        <v>2093</v>
      </c>
      <c r="BB17" s="547">
        <f t="shared" si="70"/>
        <v>1933</v>
      </c>
      <c r="BC17" s="547">
        <f t="shared" si="70"/>
        <v>1711</v>
      </c>
      <c r="BD17" s="65">
        <f t="shared" si="70"/>
        <v>7587</v>
      </c>
      <c r="BE17" s="547">
        <f t="shared" ref="BE17" si="71">+BE28+BE59</f>
        <v>1750</v>
      </c>
      <c r="BF17" s="53">
        <f>+BF28+BF59</f>
        <v>2031</v>
      </c>
      <c r="BG17" s="53">
        <v>1852</v>
      </c>
      <c r="BH17" s="53">
        <v>1645</v>
      </c>
      <c r="BI17" s="65">
        <f>SUM(BE17:BH17)</f>
        <v>7278</v>
      </c>
      <c r="BJ17" s="53">
        <v>1632</v>
      </c>
      <c r="BK17" s="53">
        <v>2037</v>
      </c>
      <c r="BL17" s="53">
        <v>1959</v>
      </c>
      <c r="BM17" s="53">
        <v>1746</v>
      </c>
      <c r="BN17" s="65">
        <f>SUM(BJ17:BM17)</f>
        <v>7374</v>
      </c>
      <c r="BO17" s="797">
        <v>1841</v>
      </c>
      <c r="BP17" s="797">
        <f>BK17*(1+BP26)</f>
        <v>2076.2909894192176</v>
      </c>
      <c r="BQ17" s="797">
        <f>BL17*(1+BQ26)</f>
        <v>1989.0448508672232</v>
      </c>
      <c r="BR17" s="797">
        <f>BM17*(1+BR26)</f>
        <v>1786.7426872126241</v>
      </c>
      <c r="BS17" s="65">
        <f>SUM(BO17:BR17)</f>
        <v>7693.0785274990649</v>
      </c>
      <c r="BT17" s="797">
        <f>BO17*(1+BT26)</f>
        <v>1900.1793214869467</v>
      </c>
      <c r="BU17" s="797">
        <f>BP17*(1+BU26)</f>
        <v>2159.3426289959862</v>
      </c>
      <c r="BV17" s="797">
        <f>BQ17*(1+BV26)</f>
        <v>2068.6066449019122</v>
      </c>
      <c r="BW17" s="797">
        <f>BR17*(1+BW26)</f>
        <v>1858.2123947011291</v>
      </c>
      <c r="BX17" s="65">
        <f>SUM(BT17:BW17)</f>
        <v>7986.3409900859751</v>
      </c>
      <c r="BY17" s="797">
        <f>BT17*(1+BY26)</f>
        <v>1976.1864943464248</v>
      </c>
      <c r="BZ17" s="797">
        <f>BU17*(1+BZ26)</f>
        <v>2245.7163341558257</v>
      </c>
      <c r="CA17" s="797">
        <f>BV17*(1+CA26)</f>
        <v>2151.3509106979886</v>
      </c>
      <c r="CB17" s="797">
        <f>BW17*(1+CB26)</f>
        <v>1932.5408904891744</v>
      </c>
      <c r="CC17" s="65">
        <f>SUM(BY17:CB17)</f>
        <v>8305.7946296894133</v>
      </c>
      <c r="CD17" s="797">
        <f>BY17*(1+CD26)</f>
        <v>2035.4720891768175</v>
      </c>
      <c r="CE17" s="797">
        <f>BZ17*(1+CE26)</f>
        <v>2313.0878241805008</v>
      </c>
      <c r="CF17" s="797">
        <f>CA17*(1+CF26)</f>
        <v>2215.8914380189285</v>
      </c>
      <c r="CG17" s="797">
        <f>CB17*(1+CG26)</f>
        <v>1990.5171172038497</v>
      </c>
      <c r="CH17" s="65">
        <f>SUM(CD17:CG17)</f>
        <v>8554.9684685800967</v>
      </c>
      <c r="CI17" s="797">
        <f>CD17*(1+CI26)</f>
        <v>2096.5362518521219</v>
      </c>
      <c r="CJ17" s="797">
        <f>CE17*(1+CJ26)</f>
        <v>2382.4804589059158</v>
      </c>
      <c r="CK17" s="797">
        <f>CF17*(1+CK26)</f>
        <v>2282.3681811594965</v>
      </c>
      <c r="CL17" s="797">
        <f>CG17*(1+CL26)</f>
        <v>2050.2326307199651</v>
      </c>
      <c r="CM17" s="65">
        <f>SUM(CI17:CL17)</f>
        <v>8811.6175226374999</v>
      </c>
    </row>
    <row r="18" spans="1:91" ht="12" customHeight="1" x14ac:dyDescent="0.2">
      <c r="A18" s="45" t="s">
        <v>194</v>
      </c>
      <c r="B18" s="49"/>
      <c r="C18" s="49"/>
      <c r="D18" s="49"/>
      <c r="E18" s="49"/>
      <c r="F18" s="66"/>
      <c r="G18" s="62"/>
      <c r="H18" s="62"/>
      <c r="I18" s="62"/>
      <c r="J18" s="62"/>
      <c r="K18" s="143"/>
      <c r="L18" s="62"/>
      <c r="M18" s="62"/>
      <c r="N18" s="62"/>
      <c r="O18" s="62"/>
      <c r="P18" s="149"/>
      <c r="Q18" s="62"/>
      <c r="R18" s="62"/>
      <c r="S18" s="62"/>
      <c r="T18" s="62"/>
      <c r="U18" s="149"/>
      <c r="V18" s="62"/>
      <c r="W18" s="62"/>
      <c r="X18" s="62"/>
      <c r="Y18" s="62"/>
      <c r="Z18" s="149"/>
      <c r="AA18" s="62"/>
      <c r="AB18" s="62"/>
      <c r="AC18" s="62"/>
      <c r="AD18" s="62"/>
      <c r="AE18" s="149"/>
      <c r="AF18" s="62"/>
      <c r="AG18" s="62"/>
      <c r="AH18" s="62"/>
      <c r="AI18" s="62"/>
      <c r="AJ18" s="149"/>
      <c r="AK18" s="62"/>
      <c r="AL18" s="62"/>
      <c r="AM18" s="62"/>
      <c r="AN18" s="62"/>
      <c r="AO18" s="149"/>
      <c r="AP18" s="62"/>
      <c r="AQ18" s="62"/>
      <c r="AR18" s="62"/>
      <c r="AS18" s="62"/>
      <c r="AT18" s="77">
        <f ca="1">+AT29+AT60</f>
        <v>-689</v>
      </c>
      <c r="AU18" s="70">
        <f t="shared" ref="AU18:AY18" si="72">+AU29+AU60</f>
        <v>-159</v>
      </c>
      <c r="AV18" s="70">
        <f t="shared" si="72"/>
        <v>-184</v>
      </c>
      <c r="AW18" s="70">
        <f t="shared" si="72"/>
        <v>-187</v>
      </c>
      <c r="AX18" s="70">
        <f t="shared" si="72"/>
        <v>-162</v>
      </c>
      <c r="AY18" s="77">
        <f t="shared" si="72"/>
        <v>-692</v>
      </c>
      <c r="AZ18" s="70">
        <f t="shared" si="70"/>
        <v>-144</v>
      </c>
      <c r="BA18" s="70">
        <f t="shared" si="70"/>
        <v>-158</v>
      </c>
      <c r="BB18" s="70">
        <f t="shared" si="70"/>
        <v>-169</v>
      </c>
      <c r="BC18" s="70">
        <f t="shared" si="70"/>
        <v>-150</v>
      </c>
      <c r="BD18" s="77">
        <f t="shared" si="70"/>
        <v>-621</v>
      </c>
      <c r="BE18" s="70">
        <f>+BE29+BE60</f>
        <v>-141</v>
      </c>
      <c r="BF18" s="70">
        <f>+BF29+BF60</f>
        <v>-123</v>
      </c>
      <c r="BG18" s="70">
        <v>0</v>
      </c>
      <c r="BH18" s="70">
        <v>0</v>
      </c>
      <c r="BI18" s="77">
        <f>SUM(BE18:BH18)</f>
        <v>-264</v>
      </c>
      <c r="BJ18" s="70">
        <v>0</v>
      </c>
      <c r="BK18" s="70">
        <v>0</v>
      </c>
      <c r="BL18" s="70">
        <v>0</v>
      </c>
      <c r="BM18" s="70">
        <v>-42</v>
      </c>
      <c r="BN18" s="77">
        <f>SUM(BJ18:BM18)</f>
        <v>-42</v>
      </c>
      <c r="BO18" s="70">
        <v>-2</v>
      </c>
      <c r="BP18" s="70">
        <f>-BP19*BP17</f>
        <v>0</v>
      </c>
      <c r="BQ18" s="70">
        <f>-BQ19*BQ17</f>
        <v>0</v>
      </c>
      <c r="BR18" s="70">
        <f>-BR19*BR17</f>
        <v>0</v>
      </c>
      <c r="BS18" s="77">
        <f>SUM(BO18:BR18)</f>
        <v>-2</v>
      </c>
      <c r="BT18" s="798">
        <f>-BT19*BT17</f>
        <v>-2.0642904090026577</v>
      </c>
      <c r="BU18" s="798">
        <f>-BU19*BU17</f>
        <v>0</v>
      </c>
      <c r="BV18" s="798">
        <f>-BV19*BV17</f>
        <v>0</v>
      </c>
      <c r="BW18" s="798">
        <f>-BW19*BW17</f>
        <v>0</v>
      </c>
      <c r="BX18" s="77">
        <f>SUM(BT18:BW18)</f>
        <v>-2.0642904090026577</v>
      </c>
      <c r="BY18" s="798">
        <f>-BY19*BY17</f>
        <v>-2.1468620253627644</v>
      </c>
      <c r="BZ18" s="798">
        <f>-BZ19*BZ17</f>
        <v>0</v>
      </c>
      <c r="CA18" s="798">
        <f>-CA19*CA17</f>
        <v>0</v>
      </c>
      <c r="CB18" s="798">
        <f>-CB19*CB17</f>
        <v>0</v>
      </c>
      <c r="CC18" s="77">
        <f>SUM(BY18:CB18)</f>
        <v>-2.1468620253627644</v>
      </c>
      <c r="CD18" s="798">
        <f>-CD19*CD17</f>
        <v>-2.2112678861236472</v>
      </c>
      <c r="CE18" s="798">
        <f>-CE19*CE17</f>
        <v>0</v>
      </c>
      <c r="CF18" s="798">
        <f>-CF19*CF17</f>
        <v>0</v>
      </c>
      <c r="CG18" s="798">
        <f>-CG19*CG17</f>
        <v>0</v>
      </c>
      <c r="CH18" s="77">
        <f>SUM(CD18:CG18)</f>
        <v>-2.2112678861236472</v>
      </c>
      <c r="CI18" s="798">
        <f>-CI19*CI17</f>
        <v>-2.2776059227073566</v>
      </c>
      <c r="CJ18" s="798">
        <f>-CJ19*CJ17</f>
        <v>0</v>
      </c>
      <c r="CK18" s="798">
        <f>-CK19*CK17</f>
        <v>0</v>
      </c>
      <c r="CL18" s="798">
        <f>-CL19*CL17</f>
        <v>0</v>
      </c>
      <c r="CM18" s="77">
        <f>SUM(CI18:CL18)</f>
        <v>-2.2776059227073566</v>
      </c>
    </row>
    <row r="19" spans="1:91" ht="12" customHeight="1" x14ac:dyDescent="0.2">
      <c r="A19" s="45" t="s">
        <v>196</v>
      </c>
      <c r="B19" s="49"/>
      <c r="C19" s="49"/>
      <c r="D19" s="49"/>
      <c r="E19" s="49"/>
      <c r="F19" s="66"/>
      <c r="G19" s="62"/>
      <c r="H19" s="62"/>
      <c r="I19" s="62"/>
      <c r="J19" s="62"/>
      <c r="K19" s="143"/>
      <c r="L19" s="62"/>
      <c r="M19" s="62"/>
      <c r="N19" s="62"/>
      <c r="O19" s="62"/>
      <c r="P19" s="149"/>
      <c r="Q19" s="62"/>
      <c r="R19" s="62"/>
      <c r="S19" s="62"/>
      <c r="T19" s="62"/>
      <c r="U19" s="149"/>
      <c r="V19" s="62"/>
      <c r="W19" s="62"/>
      <c r="X19" s="62"/>
      <c r="Y19" s="62"/>
      <c r="Z19" s="149"/>
      <c r="AA19" s="62"/>
      <c r="AB19" s="62"/>
      <c r="AC19" s="62"/>
      <c r="AD19" s="62"/>
      <c r="AE19" s="149"/>
      <c r="AF19" s="62"/>
      <c r="AG19" s="62"/>
      <c r="AH19" s="62"/>
      <c r="AI19" s="62"/>
      <c r="AJ19" s="149"/>
      <c r="AK19" s="62"/>
      <c r="AL19" s="62"/>
      <c r="AM19" s="62"/>
      <c r="AN19" s="62"/>
      <c r="AO19" s="149"/>
      <c r="AP19" s="62"/>
      <c r="AQ19" s="62"/>
      <c r="AR19" s="62"/>
      <c r="AS19" s="62"/>
      <c r="AT19" s="27">
        <f ca="1">-AT18/AT17</f>
        <v>8.5093244411510435E-2</v>
      </c>
      <c r="AU19" s="36">
        <f t="shared" ref="AU19" si="73">-AU18/AU17</f>
        <v>8.1496668375192205E-2</v>
      </c>
      <c r="AV19" s="36">
        <f t="shared" ref="AV19" si="74">-AV18/AV17</f>
        <v>7.9965232507605385E-2</v>
      </c>
      <c r="AW19" s="36">
        <f t="shared" ref="AW19" si="75">-AW18/AW17</f>
        <v>8.7464920486435921E-2</v>
      </c>
      <c r="AX19" s="36">
        <f t="shared" ref="AX19" si="76">-AX18/AX17</f>
        <v>8.6353944562899784E-2</v>
      </c>
      <c r="AY19" s="27">
        <f t="shared" ref="AY19" si="77">-AY18/AY17</f>
        <v>8.3716428744253571E-2</v>
      </c>
      <c r="AZ19" s="36">
        <f t="shared" ref="AZ19:BD19" si="78">-AZ18/AZ17</f>
        <v>7.7837837837837834E-2</v>
      </c>
      <c r="BA19" s="36">
        <f t="shared" si="78"/>
        <v>7.5489727663640704E-2</v>
      </c>
      <c r="BB19" s="36">
        <f t="shared" si="78"/>
        <v>8.7428867046042427E-2</v>
      </c>
      <c r="BC19" s="36">
        <f t="shared" si="78"/>
        <v>8.766803039158387E-2</v>
      </c>
      <c r="BD19" s="27">
        <f t="shared" si="78"/>
        <v>8.1850533807829182E-2</v>
      </c>
      <c r="BE19" s="36">
        <f>-BE18/BE17</f>
        <v>8.0571428571428572E-2</v>
      </c>
      <c r="BF19" s="36">
        <f>-BF18/BF17</f>
        <v>6.0561299852289516E-2</v>
      </c>
      <c r="BG19" s="36">
        <f>-BG18/BG17</f>
        <v>0</v>
      </c>
      <c r="BH19" s="36">
        <f>-BH18/BH17</f>
        <v>0</v>
      </c>
      <c r="BI19" s="27">
        <f t="shared" ref="BI19" si="79">-BI18/BI17</f>
        <v>3.6273701566364384E-2</v>
      </c>
      <c r="BJ19" s="36">
        <f t="shared" ref="BJ19:BO19" si="80">-BJ18/BJ17</f>
        <v>0</v>
      </c>
      <c r="BK19" s="36">
        <f t="shared" si="80"/>
        <v>0</v>
      </c>
      <c r="BL19" s="36">
        <f t="shared" si="80"/>
        <v>0</v>
      </c>
      <c r="BM19" s="36">
        <f t="shared" si="80"/>
        <v>2.4054982817869417E-2</v>
      </c>
      <c r="BN19" s="27">
        <f t="shared" si="80"/>
        <v>5.6956875508543531E-3</v>
      </c>
      <c r="BO19" s="36">
        <f t="shared" si="80"/>
        <v>1.0863661053775121E-3</v>
      </c>
      <c r="BP19" s="799">
        <f>+BK19</f>
        <v>0</v>
      </c>
      <c r="BQ19" s="799">
        <f>+BL19</f>
        <v>0</v>
      </c>
      <c r="BR19" s="799">
        <v>0</v>
      </c>
      <c r="BS19" s="27">
        <f>-BS18/BS17</f>
        <v>2.599739483811272E-4</v>
      </c>
      <c r="BT19" s="799">
        <f>+BO19</f>
        <v>1.0863661053775121E-3</v>
      </c>
      <c r="BU19" s="799">
        <f>+BP19</f>
        <v>0</v>
      </c>
      <c r="BV19" s="799">
        <f>+BQ19</f>
        <v>0</v>
      </c>
      <c r="BW19" s="799">
        <f>+BR19</f>
        <v>0</v>
      </c>
      <c r="BX19" s="27">
        <f>-BX18/BX17</f>
        <v>2.5847761967153811E-4</v>
      </c>
      <c r="BY19" s="799">
        <f>+BT19</f>
        <v>1.0863661053775121E-3</v>
      </c>
      <c r="BZ19" s="799">
        <f>+BU19</f>
        <v>0</v>
      </c>
      <c r="CA19" s="799">
        <f>+BV19</f>
        <v>0</v>
      </c>
      <c r="CB19" s="799">
        <f>+BW19</f>
        <v>0</v>
      </c>
      <c r="CC19" s="27">
        <f>-CC18/CC17</f>
        <v>2.5847761967153816E-4</v>
      </c>
      <c r="CD19" s="799">
        <f>+BY19</f>
        <v>1.0863661053775121E-3</v>
      </c>
      <c r="CE19" s="799">
        <f>+BZ19</f>
        <v>0</v>
      </c>
      <c r="CF19" s="799">
        <f>+CA19</f>
        <v>0</v>
      </c>
      <c r="CG19" s="799">
        <f>+CB19</f>
        <v>0</v>
      </c>
      <c r="CH19" s="27">
        <f>-CH18/CH17</f>
        <v>2.5847761967153811E-4</v>
      </c>
      <c r="CI19" s="799">
        <f>+CD19</f>
        <v>1.0863661053775121E-3</v>
      </c>
      <c r="CJ19" s="799">
        <f>+CE19</f>
        <v>0</v>
      </c>
      <c r="CK19" s="799">
        <f>+CF19</f>
        <v>0</v>
      </c>
      <c r="CL19" s="799">
        <f>+CG19</f>
        <v>0</v>
      </c>
      <c r="CM19" s="27">
        <f>-CM18/CM17</f>
        <v>2.5847761967153811E-4</v>
      </c>
    </row>
    <row r="20" spans="1:91" ht="12" customHeight="1" x14ac:dyDescent="0.2">
      <c r="A20" s="58" t="s">
        <v>198</v>
      </c>
      <c r="B20" s="49"/>
      <c r="C20" s="49"/>
      <c r="D20" s="49"/>
      <c r="E20" s="49"/>
      <c r="F20" s="66"/>
      <c r="G20" s="62"/>
      <c r="H20" s="62"/>
      <c r="I20" s="62"/>
      <c r="J20" s="62"/>
      <c r="K20" s="143"/>
      <c r="L20" s="62"/>
      <c r="M20" s="62"/>
      <c r="N20" s="62"/>
      <c r="O20" s="62"/>
      <c r="P20" s="149"/>
      <c r="Q20" s="62"/>
      <c r="R20" s="62"/>
      <c r="S20" s="62"/>
      <c r="T20" s="62"/>
      <c r="U20" s="149"/>
      <c r="V20" s="62"/>
      <c r="W20" s="62"/>
      <c r="X20" s="62"/>
      <c r="Y20" s="62"/>
      <c r="Z20" s="149"/>
      <c r="AA20" s="62"/>
      <c r="AB20" s="62"/>
      <c r="AC20" s="62"/>
      <c r="AD20" s="62"/>
      <c r="AE20" s="149"/>
      <c r="AF20" s="62"/>
      <c r="AG20" s="62"/>
      <c r="AH20" s="62"/>
      <c r="AI20" s="62"/>
      <c r="AJ20" s="149"/>
      <c r="AK20" s="62"/>
      <c r="AL20" s="62"/>
      <c r="AM20" s="62"/>
      <c r="AN20" s="62"/>
      <c r="AO20" s="149"/>
      <c r="AP20" s="62"/>
      <c r="AQ20" s="62"/>
      <c r="AR20" s="62"/>
      <c r="AS20" s="62"/>
      <c r="AT20" s="65">
        <f ca="1">+AT18+AT17</f>
        <v>7408</v>
      </c>
      <c r="AU20" s="53">
        <f t="shared" ref="AU20:BF20" si="81">+AU18+AU17</f>
        <v>1792</v>
      </c>
      <c r="AV20" s="53">
        <f t="shared" si="81"/>
        <v>2117</v>
      </c>
      <c r="AW20" s="53">
        <f t="shared" si="81"/>
        <v>1951</v>
      </c>
      <c r="AX20" s="53">
        <f t="shared" si="81"/>
        <v>1714</v>
      </c>
      <c r="AY20" s="65">
        <f t="shared" si="81"/>
        <v>7574</v>
      </c>
      <c r="AZ20" s="53">
        <f t="shared" si="81"/>
        <v>1706</v>
      </c>
      <c r="BA20" s="53">
        <f t="shared" si="81"/>
        <v>1935</v>
      </c>
      <c r="BB20" s="53">
        <f t="shared" si="81"/>
        <v>1764</v>
      </c>
      <c r="BC20" s="53">
        <f t="shared" si="81"/>
        <v>1561</v>
      </c>
      <c r="BD20" s="65">
        <f t="shared" si="81"/>
        <v>6966</v>
      </c>
      <c r="BE20" s="53">
        <f t="shared" si="81"/>
        <v>1609</v>
      </c>
      <c r="BF20" s="53">
        <f t="shared" si="81"/>
        <v>1908</v>
      </c>
      <c r="BG20" s="797">
        <f>+BG18+BG17</f>
        <v>1852</v>
      </c>
      <c r="BH20" s="53">
        <f>+BH18+BH17</f>
        <v>1645</v>
      </c>
      <c r="BI20" s="65">
        <f t="shared" ref="BI20" si="82">+BI18+BI17</f>
        <v>7014</v>
      </c>
      <c r="BJ20" s="53">
        <f t="shared" ref="BJ20:BR20" si="83">+BJ18+BJ17</f>
        <v>1632</v>
      </c>
      <c r="BK20" s="53">
        <f t="shared" si="83"/>
        <v>2037</v>
      </c>
      <c r="BL20" s="53">
        <f t="shared" si="83"/>
        <v>1959</v>
      </c>
      <c r="BM20" s="53">
        <f t="shared" si="83"/>
        <v>1704</v>
      </c>
      <c r="BN20" s="65">
        <f t="shared" si="83"/>
        <v>7332</v>
      </c>
      <c r="BO20" s="53">
        <f t="shared" ref="BO20" si="84">+BO18+BO17</f>
        <v>1839</v>
      </c>
      <c r="BP20" s="53">
        <f t="shared" si="83"/>
        <v>2076.2909894192176</v>
      </c>
      <c r="BQ20" s="53">
        <f t="shared" si="83"/>
        <v>1989.0448508672232</v>
      </c>
      <c r="BR20" s="53">
        <f t="shared" si="83"/>
        <v>1786.7426872126241</v>
      </c>
      <c r="BS20" s="65">
        <f>SUM(BO20:BR20)</f>
        <v>7691.0785274990649</v>
      </c>
      <c r="BT20" s="53">
        <f>+BT18+BT17</f>
        <v>1898.115031077944</v>
      </c>
      <c r="BU20" s="53">
        <f>+BU18+BU17</f>
        <v>2159.3426289959862</v>
      </c>
      <c r="BV20" s="53">
        <f>+BV18+BV17</f>
        <v>2068.6066449019122</v>
      </c>
      <c r="BW20" s="53">
        <f>+BW18+BW17</f>
        <v>1858.2123947011291</v>
      </c>
      <c r="BX20" s="65">
        <f>SUM(BT20:BW20)</f>
        <v>7984.2766996769715</v>
      </c>
      <c r="BY20" s="53">
        <f>+BY18+BY17</f>
        <v>1974.0396323210621</v>
      </c>
      <c r="BZ20" s="53">
        <f>+BZ18+BZ17</f>
        <v>2245.7163341558257</v>
      </c>
      <c r="CA20" s="53">
        <f>+CA18+CA17</f>
        <v>2151.3509106979886</v>
      </c>
      <c r="CB20" s="53">
        <f>+CB18+CB17</f>
        <v>1932.5408904891744</v>
      </c>
      <c r="CC20" s="65">
        <f>SUM(BY20:CB20)</f>
        <v>8303.6477676640498</v>
      </c>
      <c r="CD20" s="53">
        <f>+CD18+CD17</f>
        <v>2033.2608212906939</v>
      </c>
      <c r="CE20" s="53">
        <f>+CE18+CE17</f>
        <v>2313.0878241805008</v>
      </c>
      <c r="CF20" s="53">
        <f>+CF18+CF17</f>
        <v>2215.8914380189285</v>
      </c>
      <c r="CG20" s="53">
        <f>+CG18+CG17</f>
        <v>1990.5171172038497</v>
      </c>
      <c r="CH20" s="65">
        <f>SUM(CD20:CG20)</f>
        <v>8552.7572006939736</v>
      </c>
      <c r="CI20" s="53">
        <f>+CI18+CI17</f>
        <v>2094.2586459294148</v>
      </c>
      <c r="CJ20" s="53">
        <f>+CJ18+CJ17</f>
        <v>2382.4804589059158</v>
      </c>
      <c r="CK20" s="53">
        <f>+CK18+CK17</f>
        <v>2282.3681811594965</v>
      </c>
      <c r="CL20" s="53">
        <f>+CL18+CL17</f>
        <v>2050.2326307199651</v>
      </c>
      <c r="CM20" s="65">
        <f>SUM(CI20:CL20)</f>
        <v>8809.3399167147927</v>
      </c>
    </row>
    <row r="21" spans="1:91" ht="12" customHeight="1" x14ac:dyDescent="0.2">
      <c r="A21" s="25" t="s">
        <v>191</v>
      </c>
      <c r="B21" s="49"/>
      <c r="C21" s="49"/>
      <c r="D21" s="49"/>
      <c r="E21" s="49"/>
      <c r="F21" s="66"/>
      <c r="G21" s="62"/>
      <c r="H21" s="62"/>
      <c r="I21" s="62"/>
      <c r="J21" s="62"/>
      <c r="K21" s="143"/>
      <c r="L21" s="62"/>
      <c r="M21" s="62"/>
      <c r="N21" s="62"/>
      <c r="O21" s="62"/>
      <c r="P21" s="149"/>
      <c r="Q21" s="62"/>
      <c r="R21" s="62"/>
      <c r="S21" s="62"/>
      <c r="T21" s="62"/>
      <c r="U21" s="149"/>
      <c r="V21" s="62"/>
      <c r="W21" s="62"/>
      <c r="X21" s="62"/>
      <c r="Y21" s="62"/>
      <c r="Z21" s="149"/>
      <c r="AA21" s="62"/>
      <c r="AB21" s="62"/>
      <c r="AC21" s="62"/>
      <c r="AD21" s="62"/>
      <c r="AE21" s="149"/>
      <c r="AF21" s="62"/>
      <c r="AG21" s="62"/>
      <c r="AH21" s="62"/>
      <c r="AI21" s="62"/>
      <c r="AJ21" s="149"/>
      <c r="AK21" s="62"/>
      <c r="AL21" s="62"/>
      <c r="AM21" s="62"/>
      <c r="AN21" s="62"/>
      <c r="AO21" s="149"/>
      <c r="AP21" s="62"/>
      <c r="AQ21" s="62"/>
      <c r="AR21" s="62"/>
      <c r="AS21" s="62"/>
      <c r="AT21" s="149"/>
      <c r="AU21" s="62"/>
      <c r="AV21" s="62"/>
      <c r="AW21" s="62"/>
      <c r="AX21" s="62"/>
      <c r="AY21" s="27">
        <v>0.01</v>
      </c>
      <c r="AZ21" s="36">
        <v>0.02</v>
      </c>
      <c r="BA21" s="36">
        <f t="shared" ref="BA21" si="85">+(BA32*AV$31+BA63*AV$62)/AV$20</f>
        <v>2.0373169579593765E-2</v>
      </c>
      <c r="BB21" s="36">
        <f>+(BB32*AW$31+BB63*AW$62)/AW$20</f>
        <v>3.9999999999999994E-2</v>
      </c>
      <c r="BC21" s="36">
        <v>0.02</v>
      </c>
      <c r="BD21" s="27">
        <v>0.03</v>
      </c>
      <c r="BE21" s="729">
        <v>0</v>
      </c>
      <c r="BF21" s="36">
        <v>-0.01</v>
      </c>
      <c r="BG21" s="36">
        <v>0.02</v>
      </c>
      <c r="BH21" s="36">
        <v>0.01</v>
      </c>
      <c r="BI21" s="27">
        <v>0.01</v>
      </c>
      <c r="BJ21" s="796">
        <v>0.02</v>
      </c>
      <c r="BK21" s="796">
        <v>0.03</v>
      </c>
      <c r="BL21" s="796">
        <v>0.01</v>
      </c>
      <c r="BM21" s="841">
        <v>0</v>
      </c>
      <c r="BN21" s="27">
        <v>0.01</v>
      </c>
      <c r="BO21" s="796">
        <v>0.04</v>
      </c>
      <c r="BP21" s="672">
        <v>0</v>
      </c>
      <c r="BQ21" s="672">
        <v>1.4999999999999999E-2</v>
      </c>
      <c r="BR21" s="36">
        <f>(BS21*BN17-SUMPRODUCT(BJ17:BL17,BO21:BQ21))/BM17</f>
        <v>2.3914089347079032E-2</v>
      </c>
      <c r="BS21" s="185">
        <v>1.8499999999999999E-2</v>
      </c>
      <c r="BT21" s="36">
        <f>BT22</f>
        <v>1.4999999999999999E-2</v>
      </c>
      <c r="BU21" s="36">
        <f>BU22</f>
        <v>1.4999999999999999E-2</v>
      </c>
      <c r="BV21" s="36">
        <f>BV22</f>
        <v>1.4999999999999999E-2</v>
      </c>
      <c r="BW21" s="36">
        <f>BW22</f>
        <v>1.4999999999999999E-2</v>
      </c>
      <c r="BX21" s="27">
        <f>SUMPRODUCT(BO17:BR17,BT21:BW21)/BS17</f>
        <v>1.4999999999999999E-2</v>
      </c>
      <c r="BY21" s="36">
        <f>BY22</f>
        <v>1.4999999999999999E-2</v>
      </c>
      <c r="BZ21" s="36">
        <f>BZ22</f>
        <v>1.4999999999999999E-2</v>
      </c>
      <c r="CA21" s="36">
        <f>CA22</f>
        <v>1.4999999999999999E-2</v>
      </c>
      <c r="CB21" s="36">
        <f>CB22</f>
        <v>1.5000000000000012E-2</v>
      </c>
      <c r="CC21" s="27">
        <f>SUMPRODUCT(BT17:BW17,BY21:CB21)/BX17</f>
        <v>1.4999999999999999E-2</v>
      </c>
      <c r="CD21" s="36">
        <f>CD22</f>
        <v>0.01</v>
      </c>
      <c r="CE21" s="36">
        <f>CE22</f>
        <v>0.01</v>
      </c>
      <c r="CF21" s="36">
        <f>CF22</f>
        <v>0.01</v>
      </c>
      <c r="CG21" s="36">
        <f>CG22</f>
        <v>0.01</v>
      </c>
      <c r="CH21" s="27">
        <f>SUMPRODUCT(BY17:CB17,CD21:CG21)/CC17</f>
        <v>0.01</v>
      </c>
      <c r="CI21" s="36">
        <f>CI22</f>
        <v>0.01</v>
      </c>
      <c r="CJ21" s="36">
        <f>CJ22</f>
        <v>0.01</v>
      </c>
      <c r="CK21" s="36">
        <f>CK22</f>
        <v>0.01</v>
      </c>
      <c r="CL21" s="36">
        <f>CL22</f>
        <v>1.0000000000000005E-2</v>
      </c>
      <c r="CM21" s="27">
        <f>SUMPRODUCT(CD17:CG17,CI21:CL21)/CH17</f>
        <v>0.01</v>
      </c>
    </row>
    <row r="22" spans="1:91" ht="12" customHeight="1" x14ac:dyDescent="0.2">
      <c r="A22" s="45" t="s">
        <v>192</v>
      </c>
      <c r="B22" s="49"/>
      <c r="C22" s="49"/>
      <c r="D22" s="49"/>
      <c r="E22" s="49"/>
      <c r="F22" s="66"/>
      <c r="G22" s="62"/>
      <c r="H22" s="62"/>
      <c r="I22" s="62"/>
      <c r="J22" s="62"/>
      <c r="K22" s="143"/>
      <c r="L22" s="62"/>
      <c r="M22" s="62"/>
      <c r="N22" s="62"/>
      <c r="O22" s="62"/>
      <c r="P22" s="149"/>
      <c r="Q22" s="62"/>
      <c r="R22" s="62"/>
      <c r="S22" s="62"/>
      <c r="T22" s="62"/>
      <c r="U22" s="149"/>
      <c r="V22" s="62"/>
      <c r="W22" s="62"/>
      <c r="X22" s="62"/>
      <c r="Y22" s="62"/>
      <c r="Z22" s="149"/>
      <c r="AA22" s="62"/>
      <c r="AB22" s="62"/>
      <c r="AC22" s="62"/>
      <c r="AD22" s="62"/>
      <c r="AE22" s="149"/>
      <c r="AF22" s="62"/>
      <c r="AG22" s="62"/>
      <c r="AH22" s="62"/>
      <c r="AI22" s="62"/>
      <c r="AJ22" s="149"/>
      <c r="AK22" s="62"/>
      <c r="AL22" s="62"/>
      <c r="AM22" s="62"/>
      <c r="AN22" s="62"/>
      <c r="AO22" s="149"/>
      <c r="AP22" s="62"/>
      <c r="AQ22" s="62"/>
      <c r="AR22" s="62"/>
      <c r="AS22" s="62"/>
      <c r="AT22" s="149"/>
      <c r="AU22" s="62"/>
      <c r="AV22" s="62"/>
      <c r="AW22" s="62"/>
      <c r="AX22" s="62"/>
      <c r="AY22" s="27">
        <v>0.01</v>
      </c>
      <c r="AZ22" s="36">
        <f>+(AZ33*AU$31+AZ64*AU$62)/AU$20</f>
        <v>4.6328125000000005E-2</v>
      </c>
      <c r="BA22" s="36">
        <f t="shared" ref="BA22:BC22" si="86">+(BA33*AV$31+BA64*AV$62)/AV$20</f>
        <v>2.6915446386395845E-2</v>
      </c>
      <c r="BB22" s="36">
        <f>+(BB33*AW$31+BB64*AW$62)/AW$20</f>
        <v>2.7268067657611483E-2</v>
      </c>
      <c r="BC22" s="36">
        <f t="shared" si="86"/>
        <v>-3.1044340723453908E-2</v>
      </c>
      <c r="BD22" s="27">
        <v>0.02</v>
      </c>
      <c r="BE22" s="729">
        <v>-0.02</v>
      </c>
      <c r="BF22" s="36">
        <v>0</v>
      </c>
      <c r="BG22" s="36">
        <v>-0.01</v>
      </c>
      <c r="BH22" s="36">
        <v>0.05</v>
      </c>
      <c r="BI22" s="27">
        <v>0</v>
      </c>
      <c r="BJ22" s="36">
        <v>-0.02</v>
      </c>
      <c r="BK22" s="36">
        <v>0.03</v>
      </c>
      <c r="BL22" s="36">
        <v>0.04</v>
      </c>
      <c r="BM22" s="841">
        <v>0.02</v>
      </c>
      <c r="BN22" s="186">
        <v>0.02</v>
      </c>
      <c r="BO22" s="796">
        <v>0.09</v>
      </c>
      <c r="BP22" s="796">
        <f>BP21-0.012</f>
        <v>-1.2E-2</v>
      </c>
      <c r="BQ22" s="796">
        <f>BQ21-0.012</f>
        <v>2.9999999999999992E-3</v>
      </c>
      <c r="BR22" s="796">
        <f>BR21+0.01</f>
        <v>3.3914089347079034E-2</v>
      </c>
      <c r="BS22" s="186">
        <f>SUMPRODUCT(BJ17:BM17,BO22:BR22)/BN17</f>
        <v>2.5430838079739625E-2</v>
      </c>
      <c r="BT22" s="672">
        <f>BX22</f>
        <v>1.4999999999999999E-2</v>
      </c>
      <c r="BU22" s="672">
        <f>BX22</f>
        <v>1.4999999999999999E-2</v>
      </c>
      <c r="BV22" s="672">
        <f>BX22</f>
        <v>1.4999999999999999E-2</v>
      </c>
      <c r="BW22" s="36">
        <f>(BX22*BS17-SUMPRODUCT(BO17:BQ17,BT22:BV22))/BR17</f>
        <v>1.4999999999999999E-2</v>
      </c>
      <c r="BX22" s="185">
        <v>1.4999999999999999E-2</v>
      </c>
      <c r="BY22" s="672">
        <f>CC22</f>
        <v>1.4999999999999999E-2</v>
      </c>
      <c r="BZ22" s="672">
        <f>CC22</f>
        <v>1.4999999999999999E-2</v>
      </c>
      <c r="CA22" s="672">
        <f>CC22</f>
        <v>1.4999999999999999E-2</v>
      </c>
      <c r="CB22" s="36">
        <f>(CC22*BX17-SUMPRODUCT(BT17:BV17,BY22:CA22))/BW17</f>
        <v>1.5000000000000012E-2</v>
      </c>
      <c r="CC22" s="185">
        <v>1.4999999999999999E-2</v>
      </c>
      <c r="CD22" s="672">
        <f>CH22</f>
        <v>0.01</v>
      </c>
      <c r="CE22" s="672">
        <f>CH22</f>
        <v>0.01</v>
      </c>
      <c r="CF22" s="672">
        <f>CH22</f>
        <v>0.01</v>
      </c>
      <c r="CG22" s="36">
        <f>(CH22*CC17-SUMPRODUCT(BY17:CA17,CD22:CF22))/CB17</f>
        <v>0.01</v>
      </c>
      <c r="CH22" s="185">
        <v>0.01</v>
      </c>
      <c r="CI22" s="672">
        <f>CM22</f>
        <v>0.01</v>
      </c>
      <c r="CJ22" s="672">
        <f>CM22</f>
        <v>0.01</v>
      </c>
      <c r="CK22" s="672">
        <f>CM22</f>
        <v>0.01</v>
      </c>
      <c r="CL22" s="36">
        <f>(CM22*CH17-SUMPRODUCT(CD17:CF17,CI22:CK22))/CG17</f>
        <v>1.0000000000000005E-2</v>
      </c>
      <c r="CM22" s="185">
        <v>0.01</v>
      </c>
    </row>
    <row r="23" spans="1:91" ht="12" customHeight="1" x14ac:dyDescent="0.2">
      <c r="A23" s="25" t="s">
        <v>188</v>
      </c>
      <c r="B23" s="49"/>
      <c r="C23" s="49"/>
      <c r="D23" s="49"/>
      <c r="E23" s="49"/>
      <c r="F23" s="66"/>
      <c r="G23" s="62"/>
      <c r="H23" s="62"/>
      <c r="I23" s="62"/>
      <c r="J23" s="62"/>
      <c r="K23" s="143"/>
      <c r="L23" s="62"/>
      <c r="M23" s="62"/>
      <c r="N23" s="62"/>
      <c r="O23" s="62"/>
      <c r="P23" s="149"/>
      <c r="Q23" s="62"/>
      <c r="R23" s="62"/>
      <c r="S23" s="62"/>
      <c r="T23" s="62"/>
      <c r="U23" s="149"/>
      <c r="V23" s="62"/>
      <c r="W23" s="62"/>
      <c r="X23" s="62"/>
      <c r="Y23" s="62"/>
      <c r="Z23" s="149"/>
      <c r="AA23" s="62"/>
      <c r="AB23" s="62"/>
      <c r="AC23" s="62"/>
      <c r="AD23" s="62"/>
      <c r="AE23" s="149"/>
      <c r="AF23" s="62"/>
      <c r="AG23" s="62"/>
      <c r="AH23" s="62"/>
      <c r="AI23" s="62"/>
      <c r="AJ23" s="149"/>
      <c r="AK23" s="62"/>
      <c r="AL23" s="62"/>
      <c r="AM23" s="62"/>
      <c r="AN23" s="62"/>
      <c r="AO23" s="149"/>
      <c r="AP23" s="62"/>
      <c r="AQ23" s="62"/>
      <c r="AR23" s="62"/>
      <c r="AS23" s="62"/>
      <c r="AT23" s="149"/>
      <c r="AU23" s="62"/>
      <c r="AV23" s="62"/>
      <c r="AW23" s="62"/>
      <c r="AX23" s="62"/>
      <c r="AY23" s="27">
        <v>0.03</v>
      </c>
      <c r="AZ23" s="36">
        <f>+(AZ34*AU$31+AZ65*AU$62)/AU$20</f>
        <v>1.1015624999999999E-2</v>
      </c>
      <c r="BA23" s="36">
        <f t="shared" ref="BA23:BC23" si="87">+(BA34*AV$31+BA65*AV$62)/AV$20</f>
        <v>3.0845536136041565E-3</v>
      </c>
      <c r="BB23" s="36">
        <f>+(BB34*AW$31+BB65*AW$62)/AW$20</f>
        <v>-7.2680676576114813E-3</v>
      </c>
      <c r="BC23" s="36">
        <f t="shared" si="87"/>
        <v>5.0495915985997668E-2</v>
      </c>
      <c r="BD23" s="27">
        <v>0.01</v>
      </c>
      <c r="BE23" s="729">
        <v>0.03</v>
      </c>
      <c r="BF23" s="36">
        <v>0.04</v>
      </c>
      <c r="BG23" s="36">
        <v>0.03</v>
      </c>
      <c r="BH23" s="36">
        <v>0</v>
      </c>
      <c r="BI23" s="27">
        <v>0.02</v>
      </c>
      <c r="BJ23" s="796">
        <v>0.02</v>
      </c>
      <c r="BK23" s="796">
        <v>0.03</v>
      </c>
      <c r="BL23" s="796">
        <v>0.01</v>
      </c>
      <c r="BM23" s="841">
        <v>0.06</v>
      </c>
      <c r="BN23" s="186">
        <v>0.03</v>
      </c>
      <c r="BO23" s="796">
        <v>-0.01</v>
      </c>
      <c r="BP23" s="672">
        <v>3.5000000000000003E-2</v>
      </c>
      <c r="BQ23" s="672">
        <v>3.5000000000000003E-2</v>
      </c>
      <c r="BR23" s="36">
        <f>(BS23*BN17-SUMPRODUCT(BJ17:BL17,BO23:BQ23))/BM17</f>
        <v>9.4879725085910502E-3</v>
      </c>
      <c r="BS23" s="185">
        <v>1.9E-2</v>
      </c>
      <c r="BT23" s="672">
        <f>BX23</f>
        <v>2.5000000000000001E-2</v>
      </c>
      <c r="BU23" s="672">
        <f>BX23</f>
        <v>2.5000000000000001E-2</v>
      </c>
      <c r="BV23" s="672">
        <f>BX23</f>
        <v>2.5000000000000001E-2</v>
      </c>
      <c r="BW23" s="36">
        <f>(BX23*BS17-SUMPRODUCT(BO17:BQ17,BT23:BV23))/BR17</f>
        <v>2.4999999999999994E-2</v>
      </c>
      <c r="BX23" s="185">
        <v>2.5000000000000001E-2</v>
      </c>
      <c r="BY23" s="672">
        <f>CC23</f>
        <v>2.5000000000000001E-2</v>
      </c>
      <c r="BZ23" s="672">
        <f>CC23</f>
        <v>2.5000000000000001E-2</v>
      </c>
      <c r="CA23" s="672">
        <f>CC23</f>
        <v>2.5000000000000001E-2</v>
      </c>
      <c r="CB23" s="36">
        <f>(CC23*BX17-SUMPRODUCT(BT17:BV17,BY23:CA23))/BW17</f>
        <v>2.5000000000000015E-2</v>
      </c>
      <c r="CC23" s="185">
        <v>2.5000000000000001E-2</v>
      </c>
      <c r="CD23" s="672">
        <f>CH23</f>
        <v>0.02</v>
      </c>
      <c r="CE23" s="672">
        <f>CH23</f>
        <v>0.02</v>
      </c>
      <c r="CF23" s="672">
        <f>CH23</f>
        <v>0.02</v>
      </c>
      <c r="CG23" s="36">
        <f>(CH23*CC17-SUMPRODUCT(BY17:CA17,CD23:CF23))/CB17</f>
        <v>0.02</v>
      </c>
      <c r="CH23" s="185">
        <v>0.02</v>
      </c>
      <c r="CI23" s="672">
        <f>CM23</f>
        <v>0.02</v>
      </c>
      <c r="CJ23" s="672">
        <f>CM23</f>
        <v>0.02</v>
      </c>
      <c r="CK23" s="672">
        <f>CM23</f>
        <v>0.02</v>
      </c>
      <c r="CL23" s="36">
        <f>(CM23*CH17-SUMPRODUCT(CD17:CF17,CI23:CK23))/CG17</f>
        <v>2.0000000000000011E-2</v>
      </c>
      <c r="CM23" s="185">
        <v>0.02</v>
      </c>
    </row>
    <row r="24" spans="1:91" ht="12" customHeight="1" x14ac:dyDescent="0.2">
      <c r="A24" s="25" t="s">
        <v>189</v>
      </c>
      <c r="B24" s="49"/>
      <c r="C24" s="49"/>
      <c r="D24" s="49"/>
      <c r="E24" s="49"/>
      <c r="F24" s="66"/>
      <c r="G24" s="62"/>
      <c r="H24" s="62"/>
      <c r="I24" s="62"/>
      <c r="J24" s="62"/>
      <c r="K24" s="143"/>
      <c r="L24" s="62"/>
      <c r="M24" s="62"/>
      <c r="N24" s="62"/>
      <c r="O24" s="62"/>
      <c r="P24" s="149"/>
      <c r="Q24" s="62"/>
      <c r="R24" s="62"/>
      <c r="S24" s="62"/>
      <c r="T24" s="62"/>
      <c r="U24" s="149"/>
      <c r="V24" s="62"/>
      <c r="W24" s="62"/>
      <c r="X24" s="62"/>
      <c r="Y24" s="62"/>
      <c r="Z24" s="149"/>
      <c r="AA24" s="62"/>
      <c r="AB24" s="62"/>
      <c r="AC24" s="62"/>
      <c r="AD24" s="62"/>
      <c r="AE24" s="149"/>
      <c r="AF24" s="62"/>
      <c r="AG24" s="62"/>
      <c r="AH24" s="62"/>
      <c r="AI24" s="62"/>
      <c r="AJ24" s="149"/>
      <c r="AK24" s="62"/>
      <c r="AL24" s="62"/>
      <c r="AM24" s="62"/>
      <c r="AN24" s="62"/>
      <c r="AO24" s="149"/>
      <c r="AP24" s="62"/>
      <c r="AQ24" s="62"/>
      <c r="AR24" s="62"/>
      <c r="AS24" s="62"/>
      <c r="AT24" s="149"/>
      <c r="AU24" s="62"/>
      <c r="AV24" s="62"/>
      <c r="AW24" s="62"/>
      <c r="AX24" s="62"/>
      <c r="AY24" s="27">
        <v>-0.02</v>
      </c>
      <c r="AZ24" s="36">
        <f>+(AZ35*AU$31+AZ66*AU$62)/AU$20</f>
        <v>-0.106328125</v>
      </c>
      <c r="BA24" s="36">
        <f t="shared" ref="BA24:BC24" si="88">+(BA35*AV$31+BA66*AV$62)/AV$20</f>
        <v>-0.11691544638639584</v>
      </c>
      <c r="BB24" s="36">
        <f>+(BB35*AW$31+BB66*AW$62)/AW$20</f>
        <v>-0.10543823680164018</v>
      </c>
      <c r="BC24" s="36">
        <f t="shared" si="88"/>
        <v>-9.0495915985997669E-2</v>
      </c>
      <c r="BD24" s="27">
        <v>-0.1</v>
      </c>
      <c r="BE24" s="729">
        <v>-0.04</v>
      </c>
      <c r="BF24" s="36">
        <v>-0.03</v>
      </c>
      <c r="BG24" s="36">
        <v>-0.02</v>
      </c>
      <c r="BH24" s="36">
        <v>-0.02</v>
      </c>
      <c r="BI24" s="27">
        <v>-0.03</v>
      </c>
      <c r="BJ24" s="36">
        <v>-0.05</v>
      </c>
      <c r="BK24" s="36">
        <v>-0.05</v>
      </c>
      <c r="BL24" s="36">
        <v>0.01</v>
      </c>
      <c r="BM24" s="841">
        <v>0.03</v>
      </c>
      <c r="BN24" s="186">
        <v>-0.02</v>
      </c>
      <c r="BO24" s="796">
        <v>7.0000000000000007E-2</v>
      </c>
      <c r="BP24" s="36">
        <f>+(BP35*BK$31+BP66*BK$62)/BK$20</f>
        <v>1.6288654599517661E-2</v>
      </c>
      <c r="BQ24" s="36">
        <f>+(BQ35*BL$31+BQ66*BL$62)/BL$20</f>
        <v>-2.6631695419993538E-3</v>
      </c>
      <c r="BR24" s="36">
        <f>+(BR35*BM$31+BR66*BM$62)/BM$20</f>
        <v>-6.7189454396210935E-5</v>
      </c>
      <c r="BS24" s="27">
        <f>SUMPRODUCT(BJ17:BM17,BO24:BR24)/BN17</f>
        <v>1.9268446907928526E-2</v>
      </c>
      <c r="BT24" s="36">
        <f>+(BT35*BO$31+BT66*BO$62)/BO$20</f>
        <v>-7.854795498670927E-3</v>
      </c>
      <c r="BU24" s="36">
        <f>+(BU35*BP$31+BU66*BP$62)/BP$20</f>
        <v>0</v>
      </c>
      <c r="BV24" s="36">
        <f>+(BV35*BQ$31+BV66*BQ$62)/BQ$20</f>
        <v>0</v>
      </c>
      <c r="BW24" s="36">
        <f>+(BW35*BR$31+BW66*BR$62)/BR$20</f>
        <v>0</v>
      </c>
      <c r="BX24" s="27">
        <f>SUMPRODUCT(BO17:BR17,BT24:BW24)/BS17</f>
        <v>-1.8796998446542808E-3</v>
      </c>
      <c r="BY24" s="36">
        <f>+(BY35*BT$31+BY66*BT$62)/BT$20</f>
        <v>0</v>
      </c>
      <c r="BZ24" s="36">
        <f>+(BZ35*BU$31+BZ66*BU$62)/BU$20</f>
        <v>0</v>
      </c>
      <c r="CA24" s="36">
        <f>+(CA35*BV$31+CA66*BV$62)/BV$20</f>
        <v>0</v>
      </c>
      <c r="CB24" s="36">
        <f>+(CB35*BW$31+CB66*BW$62)/BW$20</f>
        <v>0</v>
      </c>
      <c r="CC24" s="27">
        <f>SUMPRODUCT(BT17:BW17,BY24:CB24)/BX17</f>
        <v>0</v>
      </c>
      <c r="CD24" s="36">
        <f>+(CD35*BY$31+CD66*BY$62)/BY$20</f>
        <v>0</v>
      </c>
      <c r="CE24" s="36">
        <f>+(CE35*BZ$31+CE66*BZ$62)/BZ$20</f>
        <v>0</v>
      </c>
      <c r="CF24" s="36">
        <f>+(CF35*CA$31+CF66*CA$62)/CA$20</f>
        <v>0</v>
      </c>
      <c r="CG24" s="36">
        <f>+(CG35*CB$31+CG66*CB$62)/CB$20</f>
        <v>0</v>
      </c>
      <c r="CH24" s="27">
        <f>SUMPRODUCT(BY17:CB17,CD24:CG24)/CC17</f>
        <v>0</v>
      </c>
      <c r="CI24" s="36">
        <f>+(CI35*CD$31+CI66*CD$62)/CD$20</f>
        <v>0</v>
      </c>
      <c r="CJ24" s="36">
        <f>+(CJ35*CE$31+CJ66*CE$62)/CE$20</f>
        <v>0</v>
      </c>
      <c r="CK24" s="36">
        <f>+(CK35*CF$31+CK66*CF$62)/CF$20</f>
        <v>0</v>
      </c>
      <c r="CL24" s="36">
        <f>+(CL35*CG$31+CL66*CG$62)/CG$20</f>
        <v>0</v>
      </c>
      <c r="CM24" s="27">
        <f>SUMPRODUCT(CD17:CG17,CI24:CL24)/CH17</f>
        <v>0</v>
      </c>
    </row>
    <row r="25" spans="1:91" ht="12" customHeight="1" x14ac:dyDescent="0.2">
      <c r="A25" s="30" t="s">
        <v>193</v>
      </c>
      <c r="B25" s="49"/>
      <c r="C25" s="49"/>
      <c r="D25" s="49"/>
      <c r="E25" s="49"/>
      <c r="F25" s="66"/>
      <c r="G25" s="62"/>
      <c r="H25" s="62"/>
      <c r="I25" s="62"/>
      <c r="J25" s="62"/>
      <c r="K25" s="143"/>
      <c r="L25" s="62"/>
      <c r="M25" s="62"/>
      <c r="N25" s="62"/>
      <c r="O25" s="62"/>
      <c r="P25" s="149"/>
      <c r="Q25" s="62"/>
      <c r="R25" s="62"/>
      <c r="S25" s="62"/>
      <c r="T25" s="62"/>
      <c r="U25" s="149"/>
      <c r="V25" s="62"/>
      <c r="W25" s="62"/>
      <c r="X25" s="62"/>
      <c r="Y25" s="62"/>
      <c r="Z25" s="149"/>
      <c r="AA25" s="62"/>
      <c r="AB25" s="62"/>
      <c r="AC25" s="62"/>
      <c r="AD25" s="62"/>
      <c r="AE25" s="149"/>
      <c r="AF25" s="62"/>
      <c r="AG25" s="62"/>
      <c r="AH25" s="62"/>
      <c r="AI25" s="62"/>
      <c r="AJ25" s="149"/>
      <c r="AK25" s="62"/>
      <c r="AL25" s="62"/>
      <c r="AM25" s="62"/>
      <c r="AN25" s="62"/>
      <c r="AO25" s="149"/>
      <c r="AP25" s="62"/>
      <c r="AQ25" s="62"/>
      <c r="AR25" s="62"/>
      <c r="AS25" s="62"/>
      <c r="AT25" s="149"/>
      <c r="AU25" s="62"/>
      <c r="AV25" s="62"/>
      <c r="AW25" s="62"/>
      <c r="AX25" s="62"/>
      <c r="AY25" s="27">
        <v>0</v>
      </c>
      <c r="AZ25" s="36">
        <f>+(AZ36*AU$31+AZ67*AU$62)/AU$20</f>
        <v>0</v>
      </c>
      <c r="BA25" s="36">
        <f t="shared" ref="BA25:BC25" si="89">+(BA36*AV$31+BA67*AV$62)/AV$20</f>
        <v>-6.5422768068020779E-3</v>
      </c>
      <c r="BB25" s="36">
        <f>+(BB36*AW$31+BB67*AW$62)/AW$20</f>
        <v>-1.3634033828805741E-2</v>
      </c>
      <c r="BC25" s="36">
        <f t="shared" si="89"/>
        <v>-1.3681446907817972E-2</v>
      </c>
      <c r="BD25" s="27">
        <v>-0.01</v>
      </c>
      <c r="BE25" s="729">
        <v>-0.02</v>
      </c>
      <c r="BF25" s="36">
        <v>-0.04</v>
      </c>
      <c r="BG25" s="36">
        <v>-0.03</v>
      </c>
      <c r="BH25" s="36">
        <v>-0.06</v>
      </c>
      <c r="BI25" s="27">
        <v>-0.04</v>
      </c>
      <c r="BJ25" s="36">
        <v>-0.03</v>
      </c>
      <c r="BK25" s="36">
        <v>-0.01</v>
      </c>
      <c r="BL25" s="36">
        <v>0</v>
      </c>
      <c r="BM25" s="841">
        <v>-0.04</v>
      </c>
      <c r="BN25" s="186">
        <v>-0.02</v>
      </c>
      <c r="BO25" s="796">
        <v>-0.02</v>
      </c>
      <c r="BP25" s="41">
        <v>-0.02</v>
      </c>
      <c r="BQ25" s="41">
        <v>-0.02</v>
      </c>
      <c r="BR25" s="41">
        <v>-0.02</v>
      </c>
      <c r="BS25" s="27">
        <f>AVERAGE(BO25:BR25)</f>
        <v>-0.02</v>
      </c>
      <c r="BT25" s="41">
        <v>0</v>
      </c>
      <c r="BU25" s="41">
        <v>0</v>
      </c>
      <c r="BV25" s="41">
        <v>0</v>
      </c>
      <c r="BW25" s="41">
        <v>0</v>
      </c>
      <c r="BX25" s="27">
        <f>AVERAGE(BT25:BW25)</f>
        <v>0</v>
      </c>
      <c r="BY25" s="41">
        <v>0</v>
      </c>
      <c r="BZ25" s="41">
        <v>0</v>
      </c>
      <c r="CA25" s="41">
        <v>0</v>
      </c>
      <c r="CB25" s="41">
        <v>0</v>
      </c>
      <c r="CC25" s="27">
        <f>AVERAGE(BY25:CB25)</f>
        <v>0</v>
      </c>
      <c r="CD25" s="41">
        <v>0</v>
      </c>
      <c r="CE25" s="41">
        <v>0</v>
      </c>
      <c r="CF25" s="41">
        <v>0</v>
      </c>
      <c r="CG25" s="41">
        <v>0</v>
      </c>
      <c r="CH25" s="27">
        <f>AVERAGE(CD25:CG25)</f>
        <v>0</v>
      </c>
      <c r="CI25" s="41">
        <v>0</v>
      </c>
      <c r="CJ25" s="41">
        <v>0</v>
      </c>
      <c r="CK25" s="41">
        <v>0</v>
      </c>
      <c r="CL25" s="41">
        <v>0</v>
      </c>
      <c r="CM25" s="27">
        <f>AVERAGE(CI25:CL25)</f>
        <v>0</v>
      </c>
    </row>
    <row r="26" spans="1:91" ht="12" customHeight="1" x14ac:dyDescent="0.2">
      <c r="A26" s="33" t="s">
        <v>190</v>
      </c>
      <c r="B26" s="79"/>
      <c r="C26" s="79"/>
      <c r="D26" s="79"/>
      <c r="E26" s="79"/>
      <c r="F26" s="99"/>
      <c r="G26" s="743"/>
      <c r="H26" s="743"/>
      <c r="I26" s="743"/>
      <c r="J26" s="743"/>
      <c r="K26" s="744"/>
      <c r="L26" s="743"/>
      <c r="M26" s="743"/>
      <c r="N26" s="743"/>
      <c r="O26" s="743"/>
      <c r="P26" s="745"/>
      <c r="Q26" s="743"/>
      <c r="R26" s="743"/>
      <c r="S26" s="743"/>
      <c r="T26" s="743"/>
      <c r="U26" s="745"/>
      <c r="V26" s="743"/>
      <c r="W26" s="743"/>
      <c r="X26" s="743"/>
      <c r="Y26" s="743"/>
      <c r="Z26" s="745"/>
      <c r="AA26" s="743"/>
      <c r="AB26" s="743"/>
      <c r="AC26" s="743"/>
      <c r="AD26" s="743"/>
      <c r="AE26" s="745"/>
      <c r="AF26" s="743"/>
      <c r="AG26" s="743"/>
      <c r="AH26" s="743"/>
      <c r="AI26" s="743"/>
      <c r="AJ26" s="745"/>
      <c r="AK26" s="743"/>
      <c r="AL26" s="743"/>
      <c r="AM26" s="743"/>
      <c r="AN26" s="743"/>
      <c r="AO26" s="745"/>
      <c r="AP26" s="743"/>
      <c r="AQ26" s="743"/>
      <c r="AR26" s="743"/>
      <c r="AS26" s="743"/>
      <c r="AT26" s="745"/>
      <c r="AU26" s="743"/>
      <c r="AV26" s="743"/>
      <c r="AW26" s="743"/>
      <c r="AX26" s="743"/>
      <c r="AY26" s="35">
        <f t="shared" ref="AY26" si="90">AY17/AT17-1</f>
        <v>2.0871927874521523E-2</v>
      </c>
      <c r="AZ26" s="80">
        <f>AZ17/AU17-1</f>
        <v>-5.1768323936442817E-2</v>
      </c>
      <c r="BA26" s="80">
        <f t="shared" ref="BA26" si="91">BA17/AV17-1</f>
        <v>-9.0395480225988756E-2</v>
      </c>
      <c r="BB26" s="80">
        <f>BB17/AW17-1</f>
        <v>-9.5884003741814827E-2</v>
      </c>
      <c r="BC26" s="80">
        <f t="shared" ref="BC26" si="92">BC17/AX17-1</f>
        <v>-8.7953091684434992E-2</v>
      </c>
      <c r="BD26" s="35">
        <f t="shared" ref="BD26:BO26" si="93">BD17/AY17-1</f>
        <v>-8.2143721267844194E-2</v>
      </c>
      <c r="BE26" s="80">
        <f t="shared" si="93"/>
        <v>-5.4054054054054057E-2</v>
      </c>
      <c r="BF26" s="80">
        <f t="shared" si="93"/>
        <v>-2.9622551361681793E-2</v>
      </c>
      <c r="BG26" s="80">
        <f t="shared" si="93"/>
        <v>-4.1903776513191882E-2</v>
      </c>
      <c r="BH26" s="80">
        <f t="shared" si="93"/>
        <v>-3.8573933372296865E-2</v>
      </c>
      <c r="BI26" s="35">
        <f t="shared" si="93"/>
        <v>-4.0727560300514054E-2</v>
      </c>
      <c r="BJ26" s="80">
        <f t="shared" si="93"/>
        <v>-6.7428571428571393E-2</v>
      </c>
      <c r="BK26" s="80">
        <f t="shared" si="93"/>
        <v>2.9542097488921559E-3</v>
      </c>
      <c r="BL26" s="80">
        <f t="shared" si="93"/>
        <v>5.7775377969762509E-2</v>
      </c>
      <c r="BM26" s="80">
        <f t="shared" si="93"/>
        <v>6.1398176291793227E-2</v>
      </c>
      <c r="BN26" s="800">
        <f>BN17/BI17-1</f>
        <v>1.3190436933223415E-2</v>
      </c>
      <c r="BO26" s="80">
        <f t="shared" si="93"/>
        <v>0.12806372549019618</v>
      </c>
      <c r="BP26" s="80">
        <f>SUM(BP22:BP25)</f>
        <v>1.9288654599517664E-2</v>
      </c>
      <c r="BQ26" s="80">
        <f>SUM(BQ22:BQ25)</f>
        <v>1.5336830458000651E-2</v>
      </c>
      <c r="BR26" s="80">
        <f>SUM(BR22:BR25)</f>
        <v>2.3334872401273871E-2</v>
      </c>
      <c r="BS26" s="800">
        <f>BS17/BN17-1</f>
        <v>4.3270752305270443E-2</v>
      </c>
      <c r="BT26" s="80">
        <f>SUM(BT22:BT25)</f>
        <v>3.2145204501329072E-2</v>
      </c>
      <c r="BU26" s="80">
        <f>SUM(BU22:BU25)</f>
        <v>0.04</v>
      </c>
      <c r="BV26" s="80">
        <f>SUM(BV22:BV25)</f>
        <v>0.04</v>
      </c>
      <c r="BW26" s="80">
        <f>SUM(BW22:BW25)</f>
        <v>3.9999999999999994E-2</v>
      </c>
      <c r="BX26" s="800">
        <f>BX17/BS17-1</f>
        <v>3.8120300155345843E-2</v>
      </c>
      <c r="BY26" s="80">
        <f>SUM(BY22:BY25)</f>
        <v>0.04</v>
      </c>
      <c r="BZ26" s="80">
        <f>SUM(BZ22:BZ25)</f>
        <v>0.04</v>
      </c>
      <c r="CA26" s="80">
        <f>SUM(CA22:CA25)</f>
        <v>0.04</v>
      </c>
      <c r="CB26" s="80">
        <f>SUM(CB22:CB25)</f>
        <v>4.0000000000000029E-2</v>
      </c>
      <c r="CC26" s="800">
        <f>CC17/BX17-1</f>
        <v>3.9999999999999813E-2</v>
      </c>
      <c r="CD26" s="80">
        <f>SUM(CD22:CD25)</f>
        <v>0.03</v>
      </c>
      <c r="CE26" s="80">
        <f>SUM(CE22:CE25)</f>
        <v>0.03</v>
      </c>
      <c r="CF26" s="80">
        <f>SUM(CF22:CF25)</f>
        <v>0.03</v>
      </c>
      <c r="CG26" s="80">
        <f>SUM(CG22:CG25)</f>
        <v>0.03</v>
      </c>
      <c r="CH26" s="800">
        <f>CH17/CC17-1</f>
        <v>3.0000000000000027E-2</v>
      </c>
      <c r="CI26" s="80">
        <f>SUM(CI22:CI25)</f>
        <v>0.03</v>
      </c>
      <c r="CJ26" s="80">
        <f>SUM(CJ22:CJ25)</f>
        <v>0.03</v>
      </c>
      <c r="CK26" s="80">
        <f>SUM(CK22:CK25)</f>
        <v>0.03</v>
      </c>
      <c r="CL26" s="80">
        <f>SUM(CL22:CL25)</f>
        <v>3.0000000000000016E-2</v>
      </c>
      <c r="CM26" s="800">
        <f>CM17/CH17-1</f>
        <v>3.0000000000000027E-2</v>
      </c>
    </row>
    <row r="27" spans="1:91" ht="15" hidden="1" customHeight="1" outlineLevel="1" x14ac:dyDescent="0.2">
      <c r="A27" s="742"/>
      <c r="B27" s="49"/>
      <c r="C27" s="49"/>
      <c r="D27" s="49"/>
      <c r="E27" s="49"/>
      <c r="F27" s="66"/>
      <c r="G27" s="62"/>
      <c r="H27" s="62"/>
      <c r="I27" s="62"/>
      <c r="J27" s="62"/>
      <c r="K27" s="143"/>
      <c r="L27" s="62"/>
      <c r="M27" s="62"/>
      <c r="N27" s="62"/>
      <c r="O27" s="62"/>
      <c r="P27" s="149"/>
      <c r="Q27" s="62"/>
      <c r="R27" s="62"/>
      <c r="S27" s="62"/>
      <c r="T27" s="62"/>
      <c r="U27" s="149"/>
      <c r="V27" s="62"/>
      <c r="W27" s="62"/>
      <c r="X27" s="62"/>
      <c r="Y27" s="62"/>
      <c r="Z27" s="149"/>
      <c r="AA27" s="62"/>
      <c r="AB27" s="62"/>
      <c r="AC27" s="62"/>
      <c r="AD27" s="62"/>
      <c r="AE27" s="149"/>
      <c r="AF27" s="62"/>
      <c r="AG27" s="62"/>
      <c r="AH27" s="62"/>
      <c r="AI27" s="62"/>
      <c r="AJ27" s="149"/>
      <c r="AK27" s="62"/>
      <c r="AL27" s="62"/>
      <c r="AM27" s="62"/>
      <c r="AN27" s="62"/>
      <c r="AO27" s="149"/>
      <c r="AP27" s="62"/>
      <c r="AQ27" s="62"/>
      <c r="AR27" s="62"/>
      <c r="AS27" s="62"/>
      <c r="AT27" s="149"/>
      <c r="AU27" s="62"/>
      <c r="AV27" s="62"/>
      <c r="AW27" s="62"/>
      <c r="AX27" s="62"/>
      <c r="AY27" s="149"/>
      <c r="AZ27" s="62"/>
      <c r="BA27" s="62"/>
      <c r="BB27" s="62"/>
      <c r="BC27" s="62"/>
      <c r="BD27" s="62"/>
      <c r="BE27" s="62"/>
      <c r="BF27" s="62"/>
      <c r="BG27" s="62"/>
      <c r="BH27" s="62"/>
      <c r="BI27" s="62"/>
      <c r="BJ27" s="62"/>
      <c r="BK27" s="62"/>
      <c r="BL27" s="62"/>
      <c r="BM27" s="62"/>
      <c r="BN27" s="62"/>
      <c r="BO27" s="650"/>
      <c r="BP27" s="650"/>
      <c r="BQ27" s="650"/>
      <c r="BR27" s="650"/>
      <c r="BS27" s="62"/>
      <c r="BT27" s="62"/>
      <c r="BU27" s="62"/>
      <c r="BV27" s="62"/>
      <c r="BW27" s="62"/>
      <c r="BX27" s="27"/>
      <c r="BY27" s="62"/>
      <c r="BZ27" s="62"/>
      <c r="CA27" s="62"/>
      <c r="CB27" s="62"/>
      <c r="CC27" s="27"/>
      <c r="CD27" s="62"/>
      <c r="CE27" s="62"/>
      <c r="CF27" s="62"/>
      <c r="CG27" s="62"/>
      <c r="CH27" s="27"/>
      <c r="CI27" s="62"/>
      <c r="CJ27" s="62"/>
      <c r="CK27" s="62"/>
      <c r="CL27" s="62"/>
      <c r="CM27" s="27"/>
    </row>
    <row r="28" spans="1:91" hidden="1" outlineLevel="1" x14ac:dyDescent="0.2">
      <c r="A28" s="748" t="s">
        <v>182</v>
      </c>
      <c r="B28" s="749">
        <v>419</v>
      </c>
      <c r="C28" s="749">
        <v>471</v>
      </c>
      <c r="D28" s="749">
        <v>448</v>
      </c>
      <c r="E28" s="749">
        <v>507</v>
      </c>
      <c r="F28" s="750">
        <f>SUM(B28:E28)</f>
        <v>1845</v>
      </c>
      <c r="G28" s="749">
        <v>412</v>
      </c>
      <c r="H28" s="749">
        <v>488</v>
      </c>
      <c r="I28" s="749">
        <v>447</v>
      </c>
      <c r="J28" s="749">
        <v>457</v>
      </c>
      <c r="K28" s="750">
        <f>SUM(G28:J28)</f>
        <v>1804</v>
      </c>
      <c r="L28" s="749">
        <v>466</v>
      </c>
      <c r="M28" s="749">
        <v>560</v>
      </c>
      <c r="N28" s="749">
        <v>504</v>
      </c>
      <c r="O28" s="749">
        <v>579</v>
      </c>
      <c r="P28" s="750">
        <f>SUM(L28:O28)</f>
        <v>2109</v>
      </c>
      <c r="Q28" s="749">
        <v>561</v>
      </c>
      <c r="R28" s="749">
        <v>667</v>
      </c>
      <c r="S28" s="749">
        <v>592</v>
      </c>
      <c r="T28" s="749">
        <v>507</v>
      </c>
      <c r="U28" s="750">
        <f>SUM(Q28:T28)</f>
        <v>2327</v>
      </c>
      <c r="V28" s="749">
        <v>503</v>
      </c>
      <c r="W28" s="749">
        <v>615</v>
      </c>
      <c r="X28" s="749">
        <v>537</v>
      </c>
      <c r="Y28" s="749">
        <v>542</v>
      </c>
      <c r="Z28" s="750">
        <f>SUM(V28:Y28)</f>
        <v>2197</v>
      </c>
      <c r="AA28" s="749">
        <v>553</v>
      </c>
      <c r="AB28" s="749">
        <v>609</v>
      </c>
      <c r="AC28" s="749">
        <v>588</v>
      </c>
      <c r="AD28" s="749">
        <v>582</v>
      </c>
      <c r="AE28" s="750">
        <f>SUM(AA28:AD28)</f>
        <v>2332</v>
      </c>
      <c r="AF28" s="749">
        <v>594</v>
      </c>
      <c r="AG28" s="749">
        <v>701</v>
      </c>
      <c r="AH28" s="749">
        <v>669</v>
      </c>
      <c r="AI28" s="749">
        <v>626</v>
      </c>
      <c r="AJ28" s="750">
        <f>SUM(AF28:AI28)</f>
        <v>2590</v>
      </c>
      <c r="AK28" s="749">
        <v>615</v>
      </c>
      <c r="AL28" s="749">
        <v>728</v>
      </c>
      <c r="AM28" s="749">
        <v>698</v>
      </c>
      <c r="AN28" s="749">
        <v>656</v>
      </c>
      <c r="AO28" s="750">
        <f>SUM(AK28:AN28)</f>
        <v>2697</v>
      </c>
      <c r="AP28" s="749">
        <v>669</v>
      </c>
      <c r="AQ28" s="749">
        <v>765</v>
      </c>
      <c r="AR28" s="749">
        <v>669</v>
      </c>
      <c r="AS28" s="749">
        <v>660</v>
      </c>
      <c r="AT28" s="750">
        <f>SUM(AP28:AS28)</f>
        <v>2763</v>
      </c>
      <c r="AU28" s="749">
        <v>658</v>
      </c>
      <c r="AV28" s="749">
        <v>732</v>
      </c>
      <c r="AW28" s="749">
        <v>709</v>
      </c>
      <c r="AX28" s="749">
        <v>631</v>
      </c>
      <c r="AY28" s="750">
        <f>SUM(AU28:AX28)</f>
        <v>2730</v>
      </c>
      <c r="AZ28" s="749">
        <v>638</v>
      </c>
      <c r="BA28" s="749">
        <v>658</v>
      </c>
      <c r="BB28" s="749">
        <v>603</v>
      </c>
      <c r="BC28" s="749">
        <v>560</v>
      </c>
      <c r="BD28" s="750">
        <f>SUM(AZ28:BC28)</f>
        <v>2459</v>
      </c>
      <c r="BE28" s="749">
        <v>546</v>
      </c>
      <c r="BF28" s="749">
        <v>621</v>
      </c>
      <c r="BG28" s="749">
        <f>BB28*(1+BG37)</f>
        <v>593.70928787754963</v>
      </c>
      <c r="BH28" s="749">
        <f>BC28*(1+BH37)</f>
        <v>495.76648135711224</v>
      </c>
      <c r="BI28" s="750">
        <f>SUM(BE28:BH28)</f>
        <v>2256.475769234662</v>
      </c>
      <c r="BJ28" s="749">
        <f>BE28*(1+BJ37)</f>
        <v>540.97886197170396</v>
      </c>
      <c r="BK28" s="749">
        <f>BF28*(1+BK37)</f>
        <v>605.38233631286971</v>
      </c>
      <c r="BL28" s="749">
        <f>BG28*(1+BL37)</f>
        <v>571.24021161357928</v>
      </c>
      <c r="BM28" s="749">
        <f>BH28*(1+BM37)</f>
        <v>506.85388354812045</v>
      </c>
      <c r="BN28" s="750">
        <f>SUM(BJ28:BM28)</f>
        <v>2224.4552934462736</v>
      </c>
      <c r="BO28" s="749">
        <f>BJ28*(1+BO37)</f>
        <v>588.38694088060163</v>
      </c>
      <c r="BP28" s="749">
        <f>BK28*(1+BP37)</f>
        <v>644.50823618472282</v>
      </c>
      <c r="BQ28" s="749">
        <f>BL28*(1+BQ37)</f>
        <v>599.89352678825992</v>
      </c>
      <c r="BR28" s="749">
        <f>BM28*(1+BR37)</f>
        <v>532.582905939905</v>
      </c>
      <c r="BS28" s="750">
        <f>SUM(BO28:BR28)</f>
        <v>2365.3716097934894</v>
      </c>
      <c r="BT28" s="749">
        <f>BO28*(1+BT37)</f>
        <v>608.3540949252781</v>
      </c>
      <c r="BU28" s="749">
        <f>BP28*(1+BU37)</f>
        <v>676.73364799395904</v>
      </c>
      <c r="BV28" s="749">
        <f>BQ28*(1+BV37)</f>
        <v>629.88820312767291</v>
      </c>
      <c r="BW28" s="749">
        <f>BR28*(1+BW37)</f>
        <v>559.21205123690027</v>
      </c>
      <c r="BX28" s="750">
        <f>SUM(BT28:BW28)</f>
        <v>2474.1879972838101</v>
      </c>
      <c r="BY28" s="749">
        <f>BT28*(1+BY37)</f>
        <v>638.771799671542</v>
      </c>
      <c r="BZ28" s="749">
        <f>BU28*(1+BZ37)</f>
        <v>710.57033039365706</v>
      </c>
      <c r="CA28" s="749">
        <f>BV28*(1+CA37)</f>
        <v>661.38261328405656</v>
      </c>
      <c r="CB28" s="749">
        <f>BW28*(1+CB37)</f>
        <v>587.17265379874527</v>
      </c>
      <c r="CC28" s="750">
        <f>SUM(BY28:CB28)</f>
        <v>2597.8973971480009</v>
      </c>
      <c r="CD28" s="749">
        <f>BY28*(1+CD37)</f>
        <v>670.71038965511912</v>
      </c>
      <c r="CE28" s="749">
        <f>BZ28*(1+CE37)</f>
        <v>746.09884691333991</v>
      </c>
      <c r="CF28" s="749">
        <f>CA28*(1+CF37)</f>
        <v>694.45174394825938</v>
      </c>
      <c r="CG28" s="749">
        <f>CB28*(1+CG37)</f>
        <v>616.53128648868255</v>
      </c>
      <c r="CH28" s="750">
        <f>SUM(CD28:CG28)</f>
        <v>2727.7922670054013</v>
      </c>
      <c r="CI28" s="749">
        <f>CD28*(1+CI37)</f>
        <v>697.53880524132387</v>
      </c>
      <c r="CJ28" s="749">
        <f>CE28*(1+CJ37)</f>
        <v>775.94280078987356</v>
      </c>
      <c r="CK28" s="749">
        <f>CF28*(1+CK37)</f>
        <v>722.22981370618982</v>
      </c>
      <c r="CL28" s="749">
        <f>CG28*(1+CL37)</f>
        <v>641.19253794822987</v>
      </c>
      <c r="CM28" s="750">
        <f>SUM(CI28:CL28)</f>
        <v>2836.9039576856171</v>
      </c>
    </row>
    <row r="29" spans="1:91" hidden="1" outlineLevel="1" x14ac:dyDescent="0.2">
      <c r="A29" s="751" t="s">
        <v>194</v>
      </c>
      <c r="B29" s="752" t="s">
        <v>169</v>
      </c>
      <c r="C29" s="752" t="s">
        <v>169</v>
      </c>
      <c r="D29" s="752" t="s">
        <v>169</v>
      </c>
      <c r="E29" s="752" t="s">
        <v>169</v>
      </c>
      <c r="F29" s="753" t="s">
        <v>169</v>
      </c>
      <c r="G29" s="752" t="s">
        <v>169</v>
      </c>
      <c r="H29" s="752" t="s">
        <v>169</v>
      </c>
      <c r="I29" s="752" t="s">
        <v>169</v>
      </c>
      <c r="J29" s="752" t="s">
        <v>169</v>
      </c>
      <c r="K29" s="753" t="s">
        <v>169</v>
      </c>
      <c r="L29" s="754">
        <f>-10-24</f>
        <v>-34</v>
      </c>
      <c r="M29" s="754">
        <f>-12-43</f>
        <v>-55</v>
      </c>
      <c r="N29" s="754">
        <f>-19-26</f>
        <v>-45</v>
      </c>
      <c r="O29" s="754">
        <f>-13-21</f>
        <v>-34</v>
      </c>
      <c r="P29" s="755">
        <f>-54-114</f>
        <v>-168</v>
      </c>
      <c r="Q29" s="756">
        <v>-41</v>
      </c>
      <c r="R29" s="756">
        <v>-66</v>
      </c>
      <c r="S29" s="756">
        <v>-52</v>
      </c>
      <c r="T29" s="756">
        <v>-33</v>
      </c>
      <c r="U29" s="757">
        <f>SUM(Q29:T29)</f>
        <v>-192</v>
      </c>
      <c r="V29" s="756">
        <v>-45</v>
      </c>
      <c r="W29" s="756">
        <v>-69</v>
      </c>
      <c r="X29" s="756">
        <v>-72</v>
      </c>
      <c r="Y29" s="756">
        <v>-34</v>
      </c>
      <c r="Z29" s="757">
        <f>SUM(V29:Y29)</f>
        <v>-220</v>
      </c>
      <c r="AA29" s="756">
        <v>-2</v>
      </c>
      <c r="AB29" s="756">
        <v>0</v>
      </c>
      <c r="AC29" s="756">
        <v>0</v>
      </c>
      <c r="AD29" s="756">
        <v>0</v>
      </c>
      <c r="AE29" s="757">
        <f>SUM(AA29:AD29)</f>
        <v>-2</v>
      </c>
      <c r="AF29" s="756">
        <v>0</v>
      </c>
      <c r="AG29" s="756">
        <v>0</v>
      </c>
      <c r="AH29" s="756">
        <v>0</v>
      </c>
      <c r="AI29" s="756">
        <v>0</v>
      </c>
      <c r="AJ29" s="757">
        <f>SUM(AF29:AI29)</f>
        <v>0</v>
      </c>
      <c r="AK29" s="756">
        <v>0</v>
      </c>
      <c r="AL29" s="756">
        <v>0</v>
      </c>
      <c r="AM29" s="756">
        <v>0</v>
      </c>
      <c r="AN29" s="756">
        <v>0</v>
      </c>
      <c r="AO29" s="757">
        <f>SUM(AK29:AN29)</f>
        <v>0</v>
      </c>
      <c r="AP29" s="756">
        <v>0</v>
      </c>
      <c r="AQ29" s="756">
        <f ca="1">-AQ30*AQ28</f>
        <v>0</v>
      </c>
      <c r="AR29" s="756">
        <f ca="1">-AR30*AR28</f>
        <v>0</v>
      </c>
      <c r="AS29" s="756">
        <v>0</v>
      </c>
      <c r="AT29" s="757">
        <f ca="1">SUM(AP29:AS29)</f>
        <v>0</v>
      </c>
      <c r="AU29" s="756">
        <f>-AU30*AU28</f>
        <v>0</v>
      </c>
      <c r="AV29" s="756">
        <f>-AV30*AV28</f>
        <v>0</v>
      </c>
      <c r="AW29" s="756">
        <f>-AW30*AW28</f>
        <v>0</v>
      </c>
      <c r="AX29" s="756">
        <f>-AX30*AX28</f>
        <v>0</v>
      </c>
      <c r="AY29" s="757">
        <f>SUM(AU29:AX29)</f>
        <v>0</v>
      </c>
      <c r="AZ29" s="756">
        <f>-AZ30*AZ28</f>
        <v>0</v>
      </c>
      <c r="BA29" s="756">
        <v>-7</v>
      </c>
      <c r="BB29" s="756">
        <v>-15</v>
      </c>
      <c r="BC29" s="756">
        <v>-14</v>
      </c>
      <c r="BD29" s="757">
        <f>SUM(AZ29:BC29)</f>
        <v>-36</v>
      </c>
      <c r="BE29" s="756">
        <v>-6</v>
      </c>
      <c r="BF29" s="756">
        <v>-11</v>
      </c>
      <c r="BG29" s="756">
        <f>-BG30*BG28</f>
        <v>-14.768887758148001</v>
      </c>
      <c r="BH29" s="756">
        <f>-BH30*BH28</f>
        <v>-12.394162033927806</v>
      </c>
      <c r="BI29" s="757">
        <f>SUM(BE29:BH29)</f>
        <v>-44.16304979207581</v>
      </c>
      <c r="BJ29" s="756">
        <f>-BJ30*BJ28</f>
        <v>-5.9448226590297146</v>
      </c>
      <c r="BK29" s="756">
        <f>-BK30*BK28</f>
        <v>-10.723358614237627</v>
      </c>
      <c r="BL29" s="756">
        <f>-BL30*BL28</f>
        <v>-14.209955512775604</v>
      </c>
      <c r="BM29" s="756">
        <f>-BM30*BM28</f>
        <v>-12.671347088703012</v>
      </c>
      <c r="BN29" s="757">
        <f>SUM(BJ29:BM29)</f>
        <v>-43.54948387474596</v>
      </c>
      <c r="BO29" s="756">
        <f>-BO30*BO28</f>
        <v>-6.4657905591274911</v>
      </c>
      <c r="BP29" s="756">
        <f>-BP30*BP28</f>
        <v>-11.416409980727778</v>
      </c>
      <c r="BQ29" s="756">
        <f>-BQ30*BQ28</f>
        <v>-14.92272454697164</v>
      </c>
      <c r="BR29" s="756">
        <f>-BR30*BR28</f>
        <v>-13.314572648497625</v>
      </c>
      <c r="BS29" s="757">
        <f>SUM(BO29:BR29)</f>
        <v>-46.119497735324536</v>
      </c>
      <c r="BT29" s="756">
        <f>-BT30*BT28</f>
        <v>-6.6852098343437163</v>
      </c>
      <c r="BU29" s="756">
        <f>-BU30*BU28</f>
        <v>-11.987230479764168</v>
      </c>
      <c r="BV29" s="756">
        <f>-BV30*BV28</f>
        <v>-15.668860774320223</v>
      </c>
      <c r="BW29" s="756">
        <f>-BW30*BW28</f>
        <v>-13.980301280922507</v>
      </c>
      <c r="BX29" s="757">
        <f>SUM(BT29:BW29)</f>
        <v>-48.321602369350614</v>
      </c>
      <c r="BY29" s="756">
        <f>-BY30*BY28</f>
        <v>-7.0194703260609019</v>
      </c>
      <c r="BZ29" s="756">
        <f>-BZ30*BZ28</f>
        <v>-12.586592003752379</v>
      </c>
      <c r="CA29" s="756">
        <f>-CA30*CA28</f>
        <v>-16.452303813036234</v>
      </c>
      <c r="CB29" s="756">
        <f>-CB30*CB28</f>
        <v>-14.679316344968633</v>
      </c>
      <c r="CC29" s="757">
        <f>SUM(BY29:CB29)</f>
        <v>-50.737682487818148</v>
      </c>
      <c r="CD29" s="756">
        <f>-CD30*CD28</f>
        <v>-7.3704438423639473</v>
      </c>
      <c r="CE29" s="756">
        <f>-CE30*CE28</f>
        <v>-13.215921603939998</v>
      </c>
      <c r="CF29" s="756">
        <f>-CF30*CF28</f>
        <v>-17.274919003688044</v>
      </c>
      <c r="CG29" s="756">
        <f>-CG30*CG28</f>
        <v>-15.413282162217065</v>
      </c>
      <c r="CH29" s="757">
        <f>SUM(CD29:CG29)</f>
        <v>-53.27456661220905</v>
      </c>
      <c r="CI29" s="756">
        <f>-CI30*CI28</f>
        <v>-7.6652615960585049</v>
      </c>
      <c r="CJ29" s="756">
        <f>-CJ30*CJ28</f>
        <v>-13.744558468097598</v>
      </c>
      <c r="CK29" s="756">
        <f>-CK30*CK28</f>
        <v>-17.965915763835568</v>
      </c>
      <c r="CL29" s="756">
        <f>-CL30*CL28</f>
        <v>-16.029813448705749</v>
      </c>
      <c r="CM29" s="757">
        <f>SUM(CI29:CL29)</f>
        <v>-55.405549276697414</v>
      </c>
    </row>
    <row r="30" spans="1:91" hidden="1" outlineLevel="2" x14ac:dyDescent="0.2">
      <c r="A30" s="751" t="s">
        <v>196</v>
      </c>
      <c r="B30" s="752" t="s">
        <v>169</v>
      </c>
      <c r="C30" s="752" t="s">
        <v>169</v>
      </c>
      <c r="D30" s="752" t="s">
        <v>169</v>
      </c>
      <c r="E30" s="752" t="s">
        <v>169</v>
      </c>
      <c r="F30" s="753" t="s">
        <v>169</v>
      </c>
      <c r="G30" s="752" t="s">
        <v>169</v>
      </c>
      <c r="H30" s="752" t="s">
        <v>169</v>
      </c>
      <c r="I30" s="752" t="s">
        <v>169</v>
      </c>
      <c r="J30" s="752" t="s">
        <v>169</v>
      </c>
      <c r="K30" s="753" t="s">
        <v>169</v>
      </c>
      <c r="L30" s="758">
        <f t="shared" ref="L30:Z30" si="94">-L29/L28</f>
        <v>7.2961373390557943E-2</v>
      </c>
      <c r="M30" s="758">
        <f t="shared" si="94"/>
        <v>9.8214285714285712E-2</v>
      </c>
      <c r="N30" s="758">
        <f t="shared" si="94"/>
        <v>8.9285714285714288E-2</v>
      </c>
      <c r="O30" s="758">
        <f t="shared" si="94"/>
        <v>5.8721934369602762E-2</v>
      </c>
      <c r="P30" s="759">
        <f t="shared" si="94"/>
        <v>7.9658605974395447E-2</v>
      </c>
      <c r="Q30" s="758">
        <f t="shared" si="94"/>
        <v>7.3083778966131913E-2</v>
      </c>
      <c r="R30" s="758">
        <f t="shared" si="94"/>
        <v>9.895052473763119E-2</v>
      </c>
      <c r="S30" s="758">
        <f t="shared" si="94"/>
        <v>8.7837837837837843E-2</v>
      </c>
      <c r="T30" s="758">
        <f t="shared" si="94"/>
        <v>6.5088757396449703E-2</v>
      </c>
      <c r="U30" s="759">
        <f t="shared" si="94"/>
        <v>8.2509669101847871E-2</v>
      </c>
      <c r="V30" s="758">
        <f t="shared" si="94"/>
        <v>8.9463220675944338E-2</v>
      </c>
      <c r="W30" s="758">
        <f t="shared" si="94"/>
        <v>0.11219512195121951</v>
      </c>
      <c r="X30" s="758">
        <f t="shared" si="94"/>
        <v>0.13407821229050279</v>
      </c>
      <c r="Y30" s="758">
        <f t="shared" si="94"/>
        <v>6.273062730627306E-2</v>
      </c>
      <c r="Z30" s="759">
        <f t="shared" si="94"/>
        <v>0.10013654984069185</v>
      </c>
      <c r="AA30" s="758">
        <f t="shared" ref="AA30:AP30" si="95">-AA29/AA28</f>
        <v>3.616636528028933E-3</v>
      </c>
      <c r="AB30" s="758">
        <f t="shared" si="95"/>
        <v>0</v>
      </c>
      <c r="AC30" s="758">
        <f t="shared" si="95"/>
        <v>0</v>
      </c>
      <c r="AD30" s="758">
        <f t="shared" si="95"/>
        <v>0</v>
      </c>
      <c r="AE30" s="759">
        <f t="shared" si="95"/>
        <v>8.576329331046312E-4</v>
      </c>
      <c r="AF30" s="758">
        <f t="shared" si="95"/>
        <v>0</v>
      </c>
      <c r="AG30" s="758">
        <f t="shared" si="95"/>
        <v>0</v>
      </c>
      <c r="AH30" s="758">
        <f t="shared" si="95"/>
        <v>0</v>
      </c>
      <c r="AI30" s="758">
        <f t="shared" si="95"/>
        <v>0</v>
      </c>
      <c r="AJ30" s="759">
        <f>-AJ29/AJ28</f>
        <v>0</v>
      </c>
      <c r="AK30" s="758">
        <f t="shared" si="95"/>
        <v>0</v>
      </c>
      <c r="AL30" s="758">
        <f t="shared" si="95"/>
        <v>0</v>
      </c>
      <c r="AM30" s="758">
        <f t="shared" si="95"/>
        <v>0</v>
      </c>
      <c r="AN30" s="758">
        <f t="shared" si="95"/>
        <v>0</v>
      </c>
      <c r="AO30" s="759">
        <f>-AO29/AO28</f>
        <v>0</v>
      </c>
      <c r="AP30" s="758">
        <f t="shared" si="95"/>
        <v>0</v>
      </c>
      <c r="AQ30" s="758">
        <f ca="1">-AQ29/AQ28</f>
        <v>0</v>
      </c>
      <c r="AR30" s="758">
        <f ca="1">-AR29/AR28</f>
        <v>0</v>
      </c>
      <c r="AS30" s="758">
        <f>-AS29/AS28</f>
        <v>0</v>
      </c>
      <c r="AT30" s="759">
        <f ca="1">-AT29/AT28</f>
        <v>0</v>
      </c>
      <c r="AU30" s="758">
        <v>0</v>
      </c>
      <c r="AV30" s="758">
        <v>0</v>
      </c>
      <c r="AW30" s="758">
        <v>0</v>
      </c>
      <c r="AX30" s="758">
        <v>0</v>
      </c>
      <c r="AY30" s="759">
        <f>-AY29/AY28</f>
        <v>0</v>
      </c>
      <c r="AZ30" s="758">
        <v>0</v>
      </c>
      <c r="BA30" s="758">
        <f t="shared" ref="BA30:BF30" si="96">-BA29/BA28</f>
        <v>1.0638297872340425E-2</v>
      </c>
      <c r="BB30" s="758">
        <f t="shared" si="96"/>
        <v>2.4875621890547265E-2</v>
      </c>
      <c r="BC30" s="758">
        <f t="shared" si="96"/>
        <v>2.5000000000000001E-2</v>
      </c>
      <c r="BD30" s="759">
        <f t="shared" si="96"/>
        <v>1.4640097600650671E-2</v>
      </c>
      <c r="BE30" s="758">
        <f t="shared" si="96"/>
        <v>1.098901098901099E-2</v>
      </c>
      <c r="BF30" s="758">
        <f t="shared" si="96"/>
        <v>1.7713365539452495E-2</v>
      </c>
      <c r="BG30" s="760">
        <f>BB30</f>
        <v>2.4875621890547265E-2</v>
      </c>
      <c r="BH30" s="760">
        <f>BC30</f>
        <v>2.5000000000000001E-2</v>
      </c>
      <c r="BI30" s="759">
        <f>-BI29/BI28</f>
        <v>1.9571692456974519E-2</v>
      </c>
      <c r="BJ30" s="760">
        <f>BE30</f>
        <v>1.098901098901099E-2</v>
      </c>
      <c r="BK30" s="760">
        <f>BF30</f>
        <v>1.7713365539452495E-2</v>
      </c>
      <c r="BL30" s="760">
        <f>BG30</f>
        <v>2.4875621890547265E-2</v>
      </c>
      <c r="BM30" s="760">
        <f>BH30</f>
        <v>2.5000000000000001E-2</v>
      </c>
      <c r="BN30" s="759">
        <f>-BN29/BN28</f>
        <v>1.957759457025374E-2</v>
      </c>
      <c r="BO30" s="760">
        <f>BJ30</f>
        <v>1.098901098901099E-2</v>
      </c>
      <c r="BP30" s="760">
        <f>BK30</f>
        <v>1.7713365539452495E-2</v>
      </c>
      <c r="BQ30" s="760">
        <f>BL30</f>
        <v>2.4875621890547265E-2</v>
      </c>
      <c r="BR30" s="760">
        <f>BM30</f>
        <v>2.5000000000000001E-2</v>
      </c>
      <c r="BS30" s="759">
        <f>-BS29/BS28</f>
        <v>1.9497781043948115E-2</v>
      </c>
      <c r="BT30" s="760">
        <f>BO30</f>
        <v>1.098901098901099E-2</v>
      </c>
      <c r="BU30" s="760">
        <f>BP30</f>
        <v>1.7713365539452495E-2</v>
      </c>
      <c r="BV30" s="760">
        <f>BQ30</f>
        <v>2.4875621890547265E-2</v>
      </c>
      <c r="BW30" s="760">
        <f>BR30</f>
        <v>2.5000000000000001E-2</v>
      </c>
      <c r="BX30" s="759">
        <f>-BX29/BX28</f>
        <v>1.9530287279058253E-2</v>
      </c>
      <c r="BY30" s="760">
        <f>BT30</f>
        <v>1.098901098901099E-2</v>
      </c>
      <c r="BZ30" s="760">
        <f>BU30</f>
        <v>1.7713365539452495E-2</v>
      </c>
      <c r="CA30" s="760">
        <f>BV30</f>
        <v>2.4875621890547265E-2</v>
      </c>
      <c r="CB30" s="760">
        <f>BW30</f>
        <v>2.5000000000000001E-2</v>
      </c>
      <c r="CC30" s="759">
        <f>-CC29/CC28</f>
        <v>1.9530287279058253E-2</v>
      </c>
      <c r="CD30" s="760">
        <f>BY30</f>
        <v>1.098901098901099E-2</v>
      </c>
      <c r="CE30" s="760">
        <f>BZ30</f>
        <v>1.7713365539452495E-2</v>
      </c>
      <c r="CF30" s="760">
        <f>CA30</f>
        <v>2.4875621890547265E-2</v>
      </c>
      <c r="CG30" s="760">
        <f>CB30</f>
        <v>2.5000000000000001E-2</v>
      </c>
      <c r="CH30" s="759">
        <f>-CH29/CH28</f>
        <v>1.9530287279058249E-2</v>
      </c>
      <c r="CI30" s="760">
        <f>CD30</f>
        <v>1.098901098901099E-2</v>
      </c>
      <c r="CJ30" s="760">
        <f>CE30</f>
        <v>1.7713365539452495E-2</v>
      </c>
      <c r="CK30" s="760">
        <f>CF30</f>
        <v>2.4875621890547265E-2</v>
      </c>
      <c r="CL30" s="760">
        <f>CG30</f>
        <v>2.5000000000000001E-2</v>
      </c>
      <c r="CM30" s="759">
        <f>-CM29/CM28</f>
        <v>1.9530287279058249E-2</v>
      </c>
    </row>
    <row r="31" spans="1:91" hidden="1" outlineLevel="1" collapsed="1" x14ac:dyDescent="0.2">
      <c r="A31" s="748" t="s">
        <v>198</v>
      </c>
      <c r="B31" s="752">
        <f>B28</f>
        <v>419</v>
      </c>
      <c r="C31" s="752">
        <f t="shared" ref="C31:K31" si="97">C28</f>
        <v>471</v>
      </c>
      <c r="D31" s="752">
        <f t="shared" si="97"/>
        <v>448</v>
      </c>
      <c r="E31" s="752">
        <f t="shared" si="97"/>
        <v>507</v>
      </c>
      <c r="F31" s="750">
        <f t="shared" si="97"/>
        <v>1845</v>
      </c>
      <c r="G31" s="752">
        <f>G28</f>
        <v>412</v>
      </c>
      <c r="H31" s="752">
        <f t="shared" si="97"/>
        <v>488</v>
      </c>
      <c r="I31" s="752">
        <f t="shared" si="97"/>
        <v>447</v>
      </c>
      <c r="J31" s="752">
        <f t="shared" si="97"/>
        <v>457</v>
      </c>
      <c r="K31" s="750">
        <f t="shared" si="97"/>
        <v>1804</v>
      </c>
      <c r="L31" s="749">
        <f>SUM(L28,L29)</f>
        <v>432</v>
      </c>
      <c r="M31" s="749">
        <f>SUM(M28,M29)</f>
        <v>505</v>
      </c>
      <c r="N31" s="749">
        <f>SUM(N28,N29)</f>
        <v>459</v>
      </c>
      <c r="O31" s="749">
        <f>SUM(O28,O29)</f>
        <v>545</v>
      </c>
      <c r="P31" s="750">
        <f>SUM(P28,P29)</f>
        <v>1941</v>
      </c>
      <c r="Q31" s="749">
        <f t="shared" ref="Q31:AD31" si="98">SUM(Q28,Q29)</f>
        <v>520</v>
      </c>
      <c r="R31" s="749">
        <f t="shared" si="98"/>
        <v>601</v>
      </c>
      <c r="S31" s="749">
        <f t="shared" si="98"/>
        <v>540</v>
      </c>
      <c r="T31" s="749">
        <f t="shared" si="98"/>
        <v>474</v>
      </c>
      <c r="U31" s="750">
        <f t="shared" si="98"/>
        <v>2135</v>
      </c>
      <c r="V31" s="749">
        <f t="shared" si="98"/>
        <v>458</v>
      </c>
      <c r="W31" s="749">
        <f t="shared" si="98"/>
        <v>546</v>
      </c>
      <c r="X31" s="749">
        <f t="shared" si="98"/>
        <v>465</v>
      </c>
      <c r="Y31" s="749">
        <f t="shared" si="98"/>
        <v>508</v>
      </c>
      <c r="Z31" s="750">
        <f t="shared" si="98"/>
        <v>1977</v>
      </c>
      <c r="AA31" s="749">
        <f t="shared" si="98"/>
        <v>551</v>
      </c>
      <c r="AB31" s="749">
        <f t="shared" si="98"/>
        <v>609</v>
      </c>
      <c r="AC31" s="749">
        <f t="shared" si="98"/>
        <v>588</v>
      </c>
      <c r="AD31" s="749">
        <f t="shared" si="98"/>
        <v>582</v>
      </c>
      <c r="AE31" s="750">
        <f>SUM(AA31:AD31)</f>
        <v>2330</v>
      </c>
      <c r="AF31" s="749">
        <f>SUM(AF28,AF29)</f>
        <v>594</v>
      </c>
      <c r="AG31" s="749">
        <f>SUM(AG28,AG29)</f>
        <v>701</v>
      </c>
      <c r="AH31" s="749">
        <f>SUM(AH28,AH29)</f>
        <v>669</v>
      </c>
      <c r="AI31" s="749">
        <f>SUM(AI28,AI29)</f>
        <v>626</v>
      </c>
      <c r="AJ31" s="750">
        <f>SUM(AF31:AI31)</f>
        <v>2590</v>
      </c>
      <c r="AK31" s="749">
        <f>SUM(AK28,AK29)</f>
        <v>615</v>
      </c>
      <c r="AL31" s="749">
        <f>SUM(AL28,AL29)</f>
        <v>728</v>
      </c>
      <c r="AM31" s="749">
        <f>SUM(AM28,AM29)</f>
        <v>698</v>
      </c>
      <c r="AN31" s="749">
        <f>SUM(AN28,AN29)</f>
        <v>656</v>
      </c>
      <c r="AO31" s="750">
        <f>SUM(AK31:AN31)</f>
        <v>2697</v>
      </c>
      <c r="AP31" s="749">
        <f>SUM(AP28,AP29)</f>
        <v>669</v>
      </c>
      <c r="AQ31" s="749">
        <f ca="1">SUM(AQ28,AQ29)</f>
        <v>765</v>
      </c>
      <c r="AR31" s="749">
        <f ca="1">SUM(AR28,AR29)</f>
        <v>669</v>
      </c>
      <c r="AS31" s="749">
        <f>SUM(AS28,AS29)</f>
        <v>660</v>
      </c>
      <c r="AT31" s="750">
        <f ca="1">SUM(AP31:AS31)</f>
        <v>2763</v>
      </c>
      <c r="AU31" s="749">
        <f>SUM(AU28,AU29)</f>
        <v>658</v>
      </c>
      <c r="AV31" s="749">
        <f>SUM(AV28,AV29)</f>
        <v>732</v>
      </c>
      <c r="AW31" s="749">
        <f>SUM(AW28,AW29)</f>
        <v>709</v>
      </c>
      <c r="AX31" s="749">
        <f>SUM(AX28,AX29)</f>
        <v>631</v>
      </c>
      <c r="AY31" s="750">
        <f>SUM(AU31:AX31)</f>
        <v>2730</v>
      </c>
      <c r="AZ31" s="749">
        <f>SUM(AZ28,AZ29)</f>
        <v>638</v>
      </c>
      <c r="BA31" s="749">
        <f>SUM(BA28,BA29)</f>
        <v>651</v>
      </c>
      <c r="BB31" s="749">
        <f>SUM(BB28,BB29)</f>
        <v>588</v>
      </c>
      <c r="BC31" s="749">
        <f>SUM(BC28,BC29)</f>
        <v>546</v>
      </c>
      <c r="BD31" s="750">
        <f>SUM(AZ31:BC31)</f>
        <v>2423</v>
      </c>
      <c r="BE31" s="749">
        <f>SUM(BE28,BE29)</f>
        <v>540</v>
      </c>
      <c r="BF31" s="749">
        <f>SUM(BF28,BF29)</f>
        <v>610</v>
      </c>
      <c r="BG31" s="749">
        <f>SUM(BG28,BG29)</f>
        <v>578.9404001194016</v>
      </c>
      <c r="BH31" s="749">
        <f>SUM(BH28,BH29)</f>
        <v>483.37231932318446</v>
      </c>
      <c r="BI31" s="750">
        <f>SUM(BE31:BH31)</f>
        <v>2212.3127194425861</v>
      </c>
      <c r="BJ31" s="749">
        <f>SUM(BJ28,BJ29)</f>
        <v>535.03403931267428</v>
      </c>
      <c r="BK31" s="749">
        <f>SUM(BK28,BK29)</f>
        <v>594.65897769863204</v>
      </c>
      <c r="BL31" s="749">
        <f>SUM(BL28,BL29)</f>
        <v>557.03025610080363</v>
      </c>
      <c r="BM31" s="749">
        <f>SUM(BM28,BM29)</f>
        <v>494.18253645941746</v>
      </c>
      <c r="BN31" s="750">
        <f>SUM(BJ31:BM31)</f>
        <v>2180.9058095715277</v>
      </c>
      <c r="BO31" s="749">
        <f>SUM(BO28,BO29)</f>
        <v>581.9211503214741</v>
      </c>
      <c r="BP31" s="749">
        <f>SUM(BP28,BP29)</f>
        <v>633.09182620399508</v>
      </c>
      <c r="BQ31" s="749">
        <f>SUM(BQ28,BQ29)</f>
        <v>584.97080224128831</v>
      </c>
      <c r="BR31" s="749">
        <f>SUM(BR28,BR29)</f>
        <v>519.26833329140743</v>
      </c>
      <c r="BS31" s="750">
        <f>SUM(BO31:BR31)</f>
        <v>2319.252112058165</v>
      </c>
      <c r="BT31" s="749">
        <f>SUM(BT28,BT29)</f>
        <v>601.6688850909344</v>
      </c>
      <c r="BU31" s="749">
        <f>SUM(BU28,BU29)</f>
        <v>664.74641751419483</v>
      </c>
      <c r="BV31" s="749">
        <f>SUM(BV28,BV29)</f>
        <v>614.21934235335266</v>
      </c>
      <c r="BW31" s="749">
        <f>SUM(BW28,BW29)</f>
        <v>545.23174995597776</v>
      </c>
      <c r="BX31" s="750">
        <f>SUM(BT31:BW31)</f>
        <v>2425.8663949144598</v>
      </c>
      <c r="BY31" s="749">
        <f>SUM(BY28,BY29)</f>
        <v>631.75232934548114</v>
      </c>
      <c r="BZ31" s="749">
        <f>SUM(BZ28,BZ29)</f>
        <v>697.98373838990472</v>
      </c>
      <c r="CA31" s="749">
        <f>SUM(CA28,CA29)</f>
        <v>644.93030947102034</v>
      </c>
      <c r="CB31" s="749">
        <f>SUM(CB28,CB29)</f>
        <v>572.49333745377669</v>
      </c>
      <c r="CC31" s="750">
        <f>SUM(BY31:CB31)</f>
        <v>2547.159714660183</v>
      </c>
      <c r="CD31" s="749">
        <f>SUM(CD28,CD29)</f>
        <v>663.33994581275522</v>
      </c>
      <c r="CE31" s="749">
        <f>SUM(CE28,CE29)</f>
        <v>732.88292530939987</v>
      </c>
      <c r="CF31" s="749">
        <f>SUM(CF28,CF29)</f>
        <v>677.17682494457131</v>
      </c>
      <c r="CG31" s="749">
        <f>SUM(CG28,CG29)</f>
        <v>601.11800432646544</v>
      </c>
      <c r="CH31" s="750">
        <f>SUM(CD31:CG31)</f>
        <v>2674.5177003931917</v>
      </c>
      <c r="CI31" s="749">
        <f>SUM(CI28,CI29)</f>
        <v>689.87354364526539</v>
      </c>
      <c r="CJ31" s="749">
        <f>SUM(CJ28,CJ29)</f>
        <v>762.19824232177598</v>
      </c>
      <c r="CK31" s="749">
        <f>SUM(CK28,CK29)</f>
        <v>704.26389794235422</v>
      </c>
      <c r="CL31" s="749">
        <f>SUM(CL28,CL29)</f>
        <v>625.16272449952407</v>
      </c>
      <c r="CM31" s="750">
        <f>SUM(CI31:CL31)</f>
        <v>2781.4984084089192</v>
      </c>
    </row>
    <row r="32" spans="1:91" hidden="1" outlineLevel="1" x14ac:dyDescent="0.2">
      <c r="A32" s="761" t="s">
        <v>191</v>
      </c>
      <c r="B32" s="760">
        <f t="shared" ref="B32:K32" si="99">0.4*B42+0.6*B52</f>
        <v>6.4000000000000001E-2</v>
      </c>
      <c r="C32" s="760">
        <f t="shared" si="99"/>
        <v>9.1999999999999998E-2</v>
      </c>
      <c r="D32" s="760">
        <f t="shared" si="99"/>
        <v>0.126</v>
      </c>
      <c r="E32" s="760">
        <f t="shared" si="99"/>
        <v>0.13600000000000001</v>
      </c>
      <c r="F32" s="762">
        <f t="shared" si="99"/>
        <v>0.10200000000000001</v>
      </c>
      <c r="G32" s="760">
        <f t="shared" si="99"/>
        <v>8.199999999999999E-2</v>
      </c>
      <c r="H32" s="760">
        <f t="shared" si="99"/>
        <v>9.4E-2</v>
      </c>
      <c r="I32" s="760">
        <f t="shared" si="99"/>
        <v>0.11600000000000001</v>
      </c>
      <c r="J32" s="760">
        <f t="shared" si="99"/>
        <v>0.10800000000000001</v>
      </c>
      <c r="K32" s="762">
        <f t="shared" si="99"/>
        <v>0.1</v>
      </c>
      <c r="L32" s="760">
        <f>L33</f>
        <v>0.16</v>
      </c>
      <c r="M32" s="760">
        <f>M33</f>
        <v>0.12</v>
      </c>
      <c r="N32" s="760">
        <f>N33</f>
        <v>0.1</v>
      </c>
      <c r="O32" s="760">
        <f>O33</f>
        <v>0.12</v>
      </c>
      <c r="P32" s="762">
        <f>P33</f>
        <v>0.12</v>
      </c>
      <c r="Q32" s="758">
        <v>0.05</v>
      </c>
      <c r="R32" s="758">
        <v>0.06</v>
      </c>
      <c r="S32" s="758">
        <v>0.09</v>
      </c>
      <c r="T32" s="758">
        <v>7.0000000000000007E-2</v>
      </c>
      <c r="U32" s="759">
        <v>7.0000000000000007E-2</v>
      </c>
      <c r="V32" s="758">
        <v>0.03</v>
      </c>
      <c r="W32" s="758">
        <v>7.0000000000000007E-2</v>
      </c>
      <c r="X32" s="758">
        <v>0.02</v>
      </c>
      <c r="Y32" s="758">
        <v>0.05</v>
      </c>
      <c r="Z32" s="759">
        <v>0.04</v>
      </c>
      <c r="AA32" s="758">
        <v>0.09</v>
      </c>
      <c r="AB32" s="758">
        <v>0.08</v>
      </c>
      <c r="AC32" s="758">
        <v>0.13</v>
      </c>
      <c r="AD32" s="758">
        <v>0.14000000000000001</v>
      </c>
      <c r="AE32" s="759">
        <v>0.11</v>
      </c>
      <c r="AF32" s="758">
        <v>0.08</v>
      </c>
      <c r="AG32" s="758">
        <v>7.0000000000000007E-2</v>
      </c>
      <c r="AH32" s="758">
        <v>0.04</v>
      </c>
      <c r="AI32" s="758">
        <v>0.03</v>
      </c>
      <c r="AJ32" s="759">
        <v>0.05</v>
      </c>
      <c r="AK32" s="758">
        <v>7.0000000000000007E-2</v>
      </c>
      <c r="AL32" s="758">
        <v>0.1</v>
      </c>
      <c r="AM32" s="758">
        <v>0.11</v>
      </c>
      <c r="AN32" s="758">
        <v>0.11</v>
      </c>
      <c r="AO32" s="759">
        <v>0.1</v>
      </c>
      <c r="AP32" s="758">
        <v>0.15</v>
      </c>
      <c r="AQ32" s="758">
        <v>0.09</v>
      </c>
      <c r="AR32" s="758">
        <v>0.04</v>
      </c>
      <c r="AS32" s="758">
        <v>0.06</v>
      </c>
      <c r="AT32" s="759">
        <v>7.0000000000000007E-2</v>
      </c>
      <c r="AU32" s="758">
        <v>0.02</v>
      </c>
      <c r="AV32" s="758">
        <v>0.05</v>
      </c>
      <c r="AW32" s="758">
        <v>0.05</v>
      </c>
      <c r="AX32" s="758">
        <v>0.03</v>
      </c>
      <c r="AY32" s="759">
        <v>0.04</v>
      </c>
      <c r="AZ32" s="758">
        <v>0.04</v>
      </c>
      <c r="BA32" s="758">
        <v>0.04</v>
      </c>
      <c r="BB32" s="758">
        <v>0.04</v>
      </c>
      <c r="BC32" s="758">
        <v>0.02</v>
      </c>
      <c r="BD32" s="759">
        <v>0.03</v>
      </c>
      <c r="BE32" s="758">
        <v>0</v>
      </c>
      <c r="BF32" s="763">
        <v>-0.01</v>
      </c>
      <c r="BG32" s="760">
        <v>5.0000000000000001E-3</v>
      </c>
      <c r="BH32" s="758">
        <f>(BI32*BD28-SUMPRODUCT(AZ28:BB28,BE32:BG32))/BC28</f>
        <v>1.7343750000000002E-2</v>
      </c>
      <c r="BI32" s="762">
        <v>2.5000000000000001E-3</v>
      </c>
      <c r="BJ32" s="758">
        <f>BJ33</f>
        <v>3.5000000000000003E-2</v>
      </c>
      <c r="BK32" s="758">
        <f>BK33</f>
        <v>3.5000000000000003E-2</v>
      </c>
      <c r="BL32" s="758">
        <f>BL33</f>
        <v>3.5000000000000003E-2</v>
      </c>
      <c r="BM32" s="758">
        <f>BM33</f>
        <v>3.5000000000000024E-2</v>
      </c>
      <c r="BN32" s="759">
        <f>SUMPRODUCT(BE28:BH28,BJ32:BM32)/BI28</f>
        <v>3.5000000000000003E-2</v>
      </c>
      <c r="BO32" s="758">
        <f>BO33</f>
        <v>0.04</v>
      </c>
      <c r="BP32" s="758">
        <f>BP33</f>
        <v>0.04</v>
      </c>
      <c r="BQ32" s="758">
        <f>BQ33</f>
        <v>0.04</v>
      </c>
      <c r="BR32" s="758">
        <f>BR33</f>
        <v>4.0000000000000015E-2</v>
      </c>
      <c r="BS32" s="759">
        <f>SUMPRODUCT(BJ28:BM28,BO32:BR32)/BN28</f>
        <v>0.04</v>
      </c>
      <c r="BT32" s="758">
        <f>BT33</f>
        <v>0.04</v>
      </c>
      <c r="BU32" s="758">
        <f>BU33</f>
        <v>0.04</v>
      </c>
      <c r="BV32" s="758">
        <f>BV33</f>
        <v>0.04</v>
      </c>
      <c r="BW32" s="758">
        <f>BW33</f>
        <v>4.0000000000000015E-2</v>
      </c>
      <c r="BX32" s="759">
        <f>SUMPRODUCT(BO28:BR28,BT32:BW32)/BS28</f>
        <v>0.04</v>
      </c>
      <c r="BY32" s="758">
        <f>BY33</f>
        <v>0.04</v>
      </c>
      <c r="BZ32" s="758">
        <f>BZ33</f>
        <v>0.04</v>
      </c>
      <c r="CA32" s="758">
        <f>CA33</f>
        <v>0.04</v>
      </c>
      <c r="CB32" s="758">
        <f>CB33</f>
        <v>3.999999999999998E-2</v>
      </c>
      <c r="CC32" s="759">
        <f>SUMPRODUCT(BT28:BW28,BY32:CB32)/BX28</f>
        <v>0.04</v>
      </c>
      <c r="CD32" s="758">
        <f>CD33</f>
        <v>0.04</v>
      </c>
      <c r="CE32" s="758">
        <f>CE33</f>
        <v>0.04</v>
      </c>
      <c r="CF32" s="758">
        <f>CF33</f>
        <v>0.04</v>
      </c>
      <c r="CG32" s="758">
        <f>CG33</f>
        <v>0.04</v>
      </c>
      <c r="CH32" s="759">
        <f>SUMPRODUCT(BY28:CB28,CD32:CG32)/CC28</f>
        <v>0.04</v>
      </c>
      <c r="CI32" s="758">
        <f>CI33</f>
        <v>0.03</v>
      </c>
      <c r="CJ32" s="758">
        <f>CJ33</f>
        <v>0.03</v>
      </c>
      <c r="CK32" s="758">
        <f>CK33</f>
        <v>0.03</v>
      </c>
      <c r="CL32" s="758">
        <f>CL33</f>
        <v>3.0000000000000006E-2</v>
      </c>
      <c r="CM32" s="759">
        <f>SUMPRODUCT(CD28:CG28,CI32:CL32)/CH28</f>
        <v>0.03</v>
      </c>
    </row>
    <row r="33" spans="1:91" hidden="1" outlineLevel="1" x14ac:dyDescent="0.2">
      <c r="A33" s="751" t="s">
        <v>192</v>
      </c>
      <c r="B33" s="752" t="s">
        <v>169</v>
      </c>
      <c r="C33" s="752" t="s">
        <v>169</v>
      </c>
      <c r="D33" s="752" t="s">
        <v>169</v>
      </c>
      <c r="E33" s="752" t="s">
        <v>169</v>
      </c>
      <c r="F33" s="753" t="s">
        <v>169</v>
      </c>
      <c r="G33" s="752" t="s">
        <v>169</v>
      </c>
      <c r="H33" s="752" t="s">
        <v>169</v>
      </c>
      <c r="I33" s="752" t="s">
        <v>169</v>
      </c>
      <c r="J33" s="752" t="s">
        <v>169</v>
      </c>
      <c r="K33" s="753" t="s">
        <v>169</v>
      </c>
      <c r="L33" s="758">
        <v>0.16</v>
      </c>
      <c r="M33" s="758">
        <v>0.12</v>
      </c>
      <c r="N33" s="758">
        <v>0.1</v>
      </c>
      <c r="O33" s="758">
        <v>0.12</v>
      </c>
      <c r="P33" s="759">
        <v>0.12</v>
      </c>
      <c r="Q33" s="758">
        <v>0.11</v>
      </c>
      <c r="R33" s="758">
        <v>0.1</v>
      </c>
      <c r="S33" s="758">
        <v>0.08</v>
      </c>
      <c r="T33" s="758">
        <v>0</v>
      </c>
      <c r="U33" s="759">
        <v>7.0000000000000007E-2</v>
      </c>
      <c r="V33" s="758">
        <v>0.08</v>
      </c>
      <c r="W33" s="758">
        <v>0.02</v>
      </c>
      <c r="X33" s="758">
        <v>0.06</v>
      </c>
      <c r="Y33" s="758">
        <v>0.06</v>
      </c>
      <c r="Z33" s="759">
        <v>0.05</v>
      </c>
      <c r="AA33" s="764">
        <v>0.13</v>
      </c>
      <c r="AB33" s="764">
        <v>0.13</v>
      </c>
      <c r="AC33" s="764">
        <v>0.13</v>
      </c>
      <c r="AD33" s="764">
        <v>0.08</v>
      </c>
      <c r="AE33" s="765">
        <v>0.12</v>
      </c>
      <c r="AF33" s="764">
        <v>0.01</v>
      </c>
      <c r="AG33" s="764">
        <v>0.06</v>
      </c>
      <c r="AH33" s="764">
        <v>0.05</v>
      </c>
      <c r="AI33" s="764">
        <v>7.0000000000000007E-2</v>
      </c>
      <c r="AJ33" s="765">
        <v>0.05</v>
      </c>
      <c r="AK33" s="764">
        <v>0.11</v>
      </c>
      <c r="AL33" s="764">
        <v>0.09</v>
      </c>
      <c r="AM33" s="764">
        <v>0.1</v>
      </c>
      <c r="AN33" s="764">
        <v>0.1</v>
      </c>
      <c r="AO33" s="765">
        <v>0.1</v>
      </c>
      <c r="AP33" s="758">
        <v>0.1</v>
      </c>
      <c r="AQ33" s="758">
        <v>7.0000000000000007E-2</v>
      </c>
      <c r="AR33" s="758">
        <v>0.04</v>
      </c>
      <c r="AS33" s="758">
        <v>0.06</v>
      </c>
      <c r="AT33" s="759">
        <v>7.0000000000000007E-2</v>
      </c>
      <c r="AU33" s="758">
        <v>0.01</v>
      </c>
      <c r="AV33" s="758">
        <v>0.02</v>
      </c>
      <c r="AW33" s="758">
        <v>0.04</v>
      </c>
      <c r="AX33" s="758">
        <v>7.0000000000000007E-2</v>
      </c>
      <c r="AY33" s="759">
        <v>0.03</v>
      </c>
      <c r="AZ33" s="758">
        <v>0.04</v>
      </c>
      <c r="BA33" s="758">
        <v>0.04</v>
      </c>
      <c r="BB33" s="758">
        <v>0.04</v>
      </c>
      <c r="BC33" s="758">
        <v>-0.05</v>
      </c>
      <c r="BD33" s="759">
        <v>0.02</v>
      </c>
      <c r="BE33" s="758">
        <v>-0.02</v>
      </c>
      <c r="BF33" s="763">
        <v>0</v>
      </c>
      <c r="BG33" s="758">
        <f>BG32</f>
        <v>5.0000000000000001E-3</v>
      </c>
      <c r="BH33" s="758">
        <f>(BI33*BD28-SUMPRODUCT(AZ28:BB28,BE33:BG33))/BC28</f>
        <v>3.5844285714285717E-2</v>
      </c>
      <c r="BI33" s="759">
        <v>4.1999999999999997E-3</v>
      </c>
      <c r="BJ33" s="766">
        <f>BN33</f>
        <v>3.5000000000000003E-2</v>
      </c>
      <c r="BK33" s="766">
        <f>BN33</f>
        <v>3.5000000000000003E-2</v>
      </c>
      <c r="BL33" s="766">
        <f>BN33</f>
        <v>3.5000000000000003E-2</v>
      </c>
      <c r="BM33" s="758">
        <f>(BN33*BI28-SUMPRODUCT(BE28:BG28,BJ33:BL33))/BH28</f>
        <v>3.5000000000000024E-2</v>
      </c>
      <c r="BN33" s="767">
        <v>3.5000000000000003E-2</v>
      </c>
      <c r="BO33" s="760">
        <f>BS33</f>
        <v>0.04</v>
      </c>
      <c r="BP33" s="760">
        <f>BS33</f>
        <v>0.04</v>
      </c>
      <c r="BQ33" s="760">
        <f>BS33</f>
        <v>0.04</v>
      </c>
      <c r="BR33" s="758">
        <f>(BS33*BN28-SUMPRODUCT(BJ28:BL28,BO33:BQ33))/BM28</f>
        <v>4.0000000000000015E-2</v>
      </c>
      <c r="BS33" s="762">
        <v>0.04</v>
      </c>
      <c r="BT33" s="760">
        <f>BX33</f>
        <v>0.04</v>
      </c>
      <c r="BU33" s="760">
        <f>BX33</f>
        <v>0.04</v>
      </c>
      <c r="BV33" s="760">
        <f>BX33</f>
        <v>0.04</v>
      </c>
      <c r="BW33" s="758">
        <f>(BX33*BS28-SUMPRODUCT(BO28:BQ28,BT33:BV33))/BR28</f>
        <v>4.0000000000000015E-2</v>
      </c>
      <c r="BX33" s="762">
        <v>0.04</v>
      </c>
      <c r="BY33" s="760">
        <f>CC33</f>
        <v>0.04</v>
      </c>
      <c r="BZ33" s="760">
        <f>CC33</f>
        <v>0.04</v>
      </c>
      <c r="CA33" s="760">
        <f>CC33</f>
        <v>0.04</v>
      </c>
      <c r="CB33" s="758">
        <f>(CC33*BX28-SUMPRODUCT(BT28:BV28,BY33:CA33))/BW28</f>
        <v>3.999999999999998E-2</v>
      </c>
      <c r="CC33" s="762">
        <v>0.04</v>
      </c>
      <c r="CD33" s="760">
        <f>CH33</f>
        <v>0.04</v>
      </c>
      <c r="CE33" s="760">
        <f>CH33</f>
        <v>0.04</v>
      </c>
      <c r="CF33" s="760">
        <f>CH33</f>
        <v>0.04</v>
      </c>
      <c r="CG33" s="758">
        <f>(CH33*CC28-SUMPRODUCT(BY28:CA28,CD33:CF33))/CB28</f>
        <v>0.04</v>
      </c>
      <c r="CH33" s="762">
        <v>0.04</v>
      </c>
      <c r="CI33" s="760">
        <f>CM33</f>
        <v>0.03</v>
      </c>
      <c r="CJ33" s="760">
        <f>CM33</f>
        <v>0.03</v>
      </c>
      <c r="CK33" s="760">
        <f>CM33</f>
        <v>0.03</v>
      </c>
      <c r="CL33" s="758">
        <f>(CM33*CH28-SUMPRODUCT(CD28:CF28,CI33:CK33))/CG28</f>
        <v>3.0000000000000006E-2</v>
      </c>
      <c r="CM33" s="762">
        <v>0.03</v>
      </c>
    </row>
    <row r="34" spans="1:91" hidden="1" outlineLevel="1" x14ac:dyDescent="0.2">
      <c r="A34" s="761" t="s">
        <v>188</v>
      </c>
      <c r="B34" s="752" t="s">
        <v>169</v>
      </c>
      <c r="C34" s="752" t="s">
        <v>169</v>
      </c>
      <c r="D34" s="752" t="s">
        <v>169</v>
      </c>
      <c r="E34" s="752" t="s">
        <v>169</v>
      </c>
      <c r="F34" s="753" t="s">
        <v>169</v>
      </c>
      <c r="G34" s="752" t="s">
        <v>169</v>
      </c>
      <c r="H34" s="752" t="s">
        <v>169</v>
      </c>
      <c r="I34" s="752" t="s">
        <v>169</v>
      </c>
      <c r="J34" s="752" t="s">
        <v>169</v>
      </c>
      <c r="K34" s="753" t="s">
        <v>169</v>
      </c>
      <c r="L34" s="758">
        <v>0.05</v>
      </c>
      <c r="M34" s="758">
        <v>7.0000000000000007E-2</v>
      </c>
      <c r="N34" s="758">
        <v>0</v>
      </c>
      <c r="O34" s="758">
        <v>0.08</v>
      </c>
      <c r="P34" s="759">
        <v>0.05</v>
      </c>
      <c r="Q34" s="758">
        <v>0.03</v>
      </c>
      <c r="R34" s="758">
        <v>7.0000000000000007E-2</v>
      </c>
      <c r="S34" s="758">
        <v>0.09</v>
      </c>
      <c r="T34" s="758">
        <v>7.0000000000000007E-2</v>
      </c>
      <c r="U34" s="759">
        <v>7.0000000000000007E-2</v>
      </c>
      <c r="V34" s="758">
        <v>0.06</v>
      </c>
      <c r="W34" s="758">
        <v>0.05</v>
      </c>
      <c r="X34" s="758">
        <v>-0.05</v>
      </c>
      <c r="Y34" s="758">
        <v>-0.06</v>
      </c>
      <c r="Z34" s="759">
        <v>0</v>
      </c>
      <c r="AA34" s="764">
        <v>-0.05</v>
      </c>
      <c r="AB34" s="764">
        <v>-0.05</v>
      </c>
      <c r="AC34" s="764">
        <v>0.01</v>
      </c>
      <c r="AD34" s="764">
        <v>0.03</v>
      </c>
      <c r="AE34" s="765">
        <v>-0.02</v>
      </c>
      <c r="AF34" s="764">
        <v>0.05</v>
      </c>
      <c r="AG34" s="764">
        <v>0.06</v>
      </c>
      <c r="AH34" s="764">
        <v>0.08</v>
      </c>
      <c r="AI34" s="764">
        <v>0.08</v>
      </c>
      <c r="AJ34" s="765">
        <v>7.0000000000000007E-2</v>
      </c>
      <c r="AK34" s="764">
        <v>0.01</v>
      </c>
      <c r="AL34" s="764">
        <v>7.0000000000000007E-2</v>
      </c>
      <c r="AM34" s="764">
        <v>0.05</v>
      </c>
      <c r="AN34" s="764">
        <v>-0.01</v>
      </c>
      <c r="AO34" s="765">
        <v>0.04</v>
      </c>
      <c r="AP34" s="758">
        <v>0.03</v>
      </c>
      <c r="AQ34" s="758">
        <v>0.04</v>
      </c>
      <c r="AR34" s="758">
        <v>-0.01</v>
      </c>
      <c r="AS34" s="758">
        <v>0.02</v>
      </c>
      <c r="AT34" s="759">
        <v>0.02</v>
      </c>
      <c r="AU34" s="758">
        <v>0.09</v>
      </c>
      <c r="AV34" s="758">
        <v>0.06</v>
      </c>
      <c r="AW34" s="758">
        <v>7.0000000000000007E-2</v>
      </c>
      <c r="AX34" s="758">
        <v>-0.02</v>
      </c>
      <c r="AY34" s="759">
        <v>0.04</v>
      </c>
      <c r="AZ34" s="758">
        <v>0.03</v>
      </c>
      <c r="BA34" s="758">
        <v>-0.01</v>
      </c>
      <c r="BB34" s="758">
        <v>-0.02</v>
      </c>
      <c r="BC34" s="758">
        <v>0.12</v>
      </c>
      <c r="BD34" s="759">
        <v>0.03</v>
      </c>
      <c r="BE34" s="758">
        <v>0.04</v>
      </c>
      <c r="BF34" s="763">
        <v>7.0000000000000007E-2</v>
      </c>
      <c r="BG34" s="760">
        <v>0.04</v>
      </c>
      <c r="BH34" s="758">
        <f>(BI34*BD28-SUMPRODUCT(AZ28:BB28,BE34:BG34))/BC28</f>
        <v>-3.9160714285714299E-2</v>
      </c>
      <c r="BI34" s="762">
        <v>0.03</v>
      </c>
      <c r="BJ34" s="766">
        <f>BN34</f>
        <v>0.01</v>
      </c>
      <c r="BK34" s="766">
        <f>BN34</f>
        <v>0.01</v>
      </c>
      <c r="BL34" s="766">
        <f>BN34</f>
        <v>0.01</v>
      </c>
      <c r="BM34" s="758">
        <f>(BN34*BI28-SUMPRODUCT(BE28:BG28,BJ34:BL34))/BH28</f>
        <v>1.0000000000000004E-2</v>
      </c>
      <c r="BN34" s="767">
        <v>0.01</v>
      </c>
      <c r="BO34" s="760">
        <f>BS34</f>
        <v>0.01</v>
      </c>
      <c r="BP34" s="760">
        <f>BS34</f>
        <v>0.01</v>
      </c>
      <c r="BQ34" s="760">
        <f>BS34</f>
        <v>0.01</v>
      </c>
      <c r="BR34" s="758">
        <f>(BS34*BN28-SUMPRODUCT(BJ28:BL28,BO34:BQ34))/BM28</f>
        <v>1.0000000000000004E-2</v>
      </c>
      <c r="BS34" s="762">
        <v>0.01</v>
      </c>
      <c r="BT34" s="760">
        <f>BX34</f>
        <v>0.01</v>
      </c>
      <c r="BU34" s="760">
        <f>BX34</f>
        <v>0.01</v>
      </c>
      <c r="BV34" s="760">
        <f>BX34</f>
        <v>0.01</v>
      </c>
      <c r="BW34" s="758">
        <f>(BX34*BS28-SUMPRODUCT(BO28:BQ28,BT34:BV34))/BR28</f>
        <v>1.0000000000000004E-2</v>
      </c>
      <c r="BX34" s="762">
        <v>0.01</v>
      </c>
      <c r="BY34" s="760">
        <f>CC34</f>
        <v>0.01</v>
      </c>
      <c r="BZ34" s="760">
        <f>CC34</f>
        <v>0.01</v>
      </c>
      <c r="CA34" s="760">
        <f>CC34</f>
        <v>0.01</v>
      </c>
      <c r="CB34" s="758">
        <f>(CC34*BX28-SUMPRODUCT(BT28:BV28,BY34:CA34))/BW28</f>
        <v>9.999999999999995E-3</v>
      </c>
      <c r="CC34" s="762">
        <v>0.01</v>
      </c>
      <c r="CD34" s="760">
        <f>CH34</f>
        <v>0.01</v>
      </c>
      <c r="CE34" s="760">
        <f>CH34</f>
        <v>0.01</v>
      </c>
      <c r="CF34" s="760">
        <f>CH34</f>
        <v>0.01</v>
      </c>
      <c r="CG34" s="758">
        <f>(CH34*CC28-SUMPRODUCT(BY28:CA28,CD34:CF34))/CB28</f>
        <v>0.01</v>
      </c>
      <c r="CH34" s="762">
        <v>0.01</v>
      </c>
      <c r="CI34" s="760">
        <f>CM34</f>
        <v>0.01</v>
      </c>
      <c r="CJ34" s="760">
        <f>CM34</f>
        <v>0.01</v>
      </c>
      <c r="CK34" s="760">
        <f>CM34</f>
        <v>0.01</v>
      </c>
      <c r="CL34" s="758">
        <f>(CM34*CH28-SUMPRODUCT(CD28:CF28,CI34:CK34))/CG28</f>
        <v>1.0000000000000011E-2</v>
      </c>
      <c r="CM34" s="762">
        <v>0.01</v>
      </c>
    </row>
    <row r="35" spans="1:91" hidden="1" outlineLevel="1" x14ac:dyDescent="0.2">
      <c r="A35" s="761" t="s">
        <v>189</v>
      </c>
      <c r="B35" s="752" t="s">
        <v>169</v>
      </c>
      <c r="C35" s="752" t="s">
        <v>169</v>
      </c>
      <c r="D35" s="752" t="s">
        <v>169</v>
      </c>
      <c r="E35" s="752" t="s">
        <v>169</v>
      </c>
      <c r="F35" s="753" t="s">
        <v>169</v>
      </c>
      <c r="G35" s="752" t="s">
        <v>169</v>
      </c>
      <c r="H35" s="752" t="s">
        <v>169</v>
      </c>
      <c r="I35" s="752" t="s">
        <v>169</v>
      </c>
      <c r="J35" s="752" t="s">
        <v>169</v>
      </c>
      <c r="K35" s="753" t="s">
        <v>169</v>
      </c>
      <c r="L35" s="758">
        <v>-0.08</v>
      </c>
      <c r="M35" s="758">
        <v>-0.04</v>
      </c>
      <c r="N35" s="758">
        <v>0.03</v>
      </c>
      <c r="O35" s="758">
        <v>7.0000000000000007E-2</v>
      </c>
      <c r="P35" s="759">
        <v>0</v>
      </c>
      <c r="Q35" s="758">
        <v>0.06</v>
      </c>
      <c r="R35" s="758">
        <v>0.02</v>
      </c>
      <c r="S35" s="758">
        <v>0</v>
      </c>
      <c r="T35" s="758">
        <v>-0.19</v>
      </c>
      <c r="U35" s="759">
        <v>-0.04</v>
      </c>
      <c r="V35" s="758">
        <v>-0.24</v>
      </c>
      <c r="W35" s="758">
        <v>-0.15</v>
      </c>
      <c r="X35" s="758">
        <v>-0.1</v>
      </c>
      <c r="Y35" s="758">
        <v>7.0000000000000007E-2</v>
      </c>
      <c r="Z35" s="759">
        <v>-0.11</v>
      </c>
      <c r="AA35" s="764">
        <v>0.13</v>
      </c>
      <c r="AB35" s="764">
        <v>0.06</v>
      </c>
      <c r="AC35" s="764">
        <v>0.02</v>
      </c>
      <c r="AD35" s="764">
        <v>0.03</v>
      </c>
      <c r="AE35" s="765">
        <v>0.06</v>
      </c>
      <c r="AF35" s="764">
        <v>0.01</v>
      </c>
      <c r="AG35" s="764">
        <v>0.03</v>
      </c>
      <c r="AH35" s="764">
        <v>0.02</v>
      </c>
      <c r="AI35" s="764">
        <v>-0.08</v>
      </c>
      <c r="AJ35" s="765">
        <v>-0.01</v>
      </c>
      <c r="AK35" s="764">
        <v>-0.08</v>
      </c>
      <c r="AL35" s="764">
        <v>-0.11</v>
      </c>
      <c r="AM35" s="764">
        <v>-0.11</v>
      </c>
      <c r="AN35" s="764">
        <v>-0.04</v>
      </c>
      <c r="AO35" s="765">
        <v>-0.09</v>
      </c>
      <c r="AP35" s="758">
        <v>-0.04</v>
      </c>
      <c r="AQ35" s="758">
        <v>-0.06</v>
      </c>
      <c r="AR35" s="758">
        <v>-7.0000000000000007E-2</v>
      </c>
      <c r="AS35" s="758">
        <v>-7.0000000000000007E-2</v>
      </c>
      <c r="AT35" s="759">
        <v>-7.0000000000000007E-2</v>
      </c>
      <c r="AU35" s="758">
        <v>-0.12</v>
      </c>
      <c r="AV35" s="758">
        <v>-0.09</v>
      </c>
      <c r="AW35" s="758">
        <v>-0.05</v>
      </c>
      <c r="AX35" s="758">
        <v>-0.09</v>
      </c>
      <c r="AY35" s="759">
        <v>-0.08</v>
      </c>
      <c r="AZ35" s="758">
        <v>-0.1</v>
      </c>
      <c r="BA35" s="758">
        <v>-0.13</v>
      </c>
      <c r="BB35" s="758">
        <v>-0.15</v>
      </c>
      <c r="BC35" s="758">
        <v>-0.16</v>
      </c>
      <c r="BD35" s="759">
        <v>-0.14000000000000001</v>
      </c>
      <c r="BE35" s="758">
        <v>-0.14000000000000001</v>
      </c>
      <c r="BF35" s="763">
        <v>-0.1</v>
      </c>
      <c r="BG35" s="760">
        <v>-6.0407482790133263E-2</v>
      </c>
      <c r="BH35" s="760">
        <v>-0.11138628329087097</v>
      </c>
      <c r="BI35" s="759">
        <f>SUMPRODUCT(AZ28:BC28,BE35:BH35)/BD28</f>
        <v>-0.10326231425999922</v>
      </c>
      <c r="BJ35" s="760">
        <v>-5.4196223495047782E-2</v>
      </c>
      <c r="BK35" s="760">
        <v>-7.014921688748843E-2</v>
      </c>
      <c r="BL35" s="760">
        <v>-8.2845249725324477E-2</v>
      </c>
      <c r="BM35" s="760">
        <v>-2.26358374195498E-2</v>
      </c>
      <c r="BN35" s="759">
        <f>SUMPRODUCT(BE28:BH28,BJ35:BM35)/BI28</f>
        <v>-5.9190480671214629E-2</v>
      </c>
      <c r="BO35" s="760">
        <v>3.7633884133863607E-2</v>
      </c>
      <c r="BP35" s="760">
        <v>1.4630065208298985E-2</v>
      </c>
      <c r="BQ35" s="760">
        <v>1.5983572610155973E-4</v>
      </c>
      <c r="BR35" s="760">
        <v>7.6220825551169969E-4</v>
      </c>
      <c r="BS35" s="759">
        <f>SUMPRODUCT(BJ28:BM28,BO35:BR35)/BN28</f>
        <v>1.3348684400350058E-2</v>
      </c>
      <c r="BT35" s="760">
        <v>-1.6064586656541202E-2</v>
      </c>
      <c r="BU35" s="760">
        <v>0</v>
      </c>
      <c r="BV35" s="760">
        <v>0</v>
      </c>
      <c r="BW35" s="760">
        <v>0</v>
      </c>
      <c r="BX35" s="759">
        <f>SUMPRODUCT(BO28:BR28,BT35:BW35)/BS28</f>
        <v>-3.9960710444896397E-3</v>
      </c>
      <c r="BY35" s="768">
        <v>0</v>
      </c>
      <c r="BZ35" s="768">
        <v>0</v>
      </c>
      <c r="CA35" s="768">
        <v>0</v>
      </c>
      <c r="CB35" s="768">
        <v>0</v>
      </c>
      <c r="CC35" s="759">
        <f>SUMPRODUCT(BT28:BW28,BY35:CB35)/BX28</f>
        <v>0</v>
      </c>
      <c r="CD35" s="768">
        <v>0</v>
      </c>
      <c r="CE35" s="768">
        <v>0</v>
      </c>
      <c r="CF35" s="768">
        <v>0</v>
      </c>
      <c r="CG35" s="768">
        <v>0</v>
      </c>
      <c r="CH35" s="759">
        <f>SUMPRODUCT(BY28:CB28,CD35:CG35)/CC28</f>
        <v>0</v>
      </c>
      <c r="CI35" s="768">
        <v>0</v>
      </c>
      <c r="CJ35" s="768">
        <v>0</v>
      </c>
      <c r="CK35" s="768">
        <v>0</v>
      </c>
      <c r="CL35" s="768">
        <v>0</v>
      </c>
      <c r="CM35" s="759">
        <f>SUMPRODUCT(CD28:CG28,CI35:CL35)/CH28</f>
        <v>0</v>
      </c>
    </row>
    <row r="36" spans="1:91" hidden="1" outlineLevel="1" x14ac:dyDescent="0.2">
      <c r="A36" s="769" t="s">
        <v>193</v>
      </c>
      <c r="B36" s="752" t="s">
        <v>169</v>
      </c>
      <c r="C36" s="752" t="s">
        <v>169</v>
      </c>
      <c r="D36" s="752" t="s">
        <v>169</v>
      </c>
      <c r="E36" s="752" t="s">
        <v>169</v>
      </c>
      <c r="F36" s="753" t="s">
        <v>169</v>
      </c>
      <c r="G36" s="752" t="s">
        <v>169</v>
      </c>
      <c r="H36" s="752" t="s">
        <v>169</v>
      </c>
      <c r="I36" s="752" t="s">
        <v>169</v>
      </c>
      <c r="J36" s="752" t="s">
        <v>169</v>
      </c>
      <c r="K36" s="753" t="s">
        <v>169</v>
      </c>
      <c r="L36" s="758">
        <f>0.4*L46+0.6*L56</f>
        <v>0</v>
      </c>
      <c r="M36" s="758">
        <v>0</v>
      </c>
      <c r="N36" s="758">
        <f>0.4*N46+0.6*N56</f>
        <v>0</v>
      </c>
      <c r="O36" s="758">
        <f>((P36*K28)-(L36*G28)-(M36*H28)-(N36*I28))/J28</f>
        <v>0</v>
      </c>
      <c r="P36" s="759">
        <f>0.4*P46+0.6*P56</f>
        <v>0</v>
      </c>
      <c r="Q36" s="758">
        <f>0.4*Q46+0.6*Q56</f>
        <v>0</v>
      </c>
      <c r="R36" s="758">
        <f>0.4*R46+0.6*R56</f>
        <v>0</v>
      </c>
      <c r="S36" s="758">
        <v>0</v>
      </c>
      <c r="T36" s="758">
        <v>0</v>
      </c>
      <c r="U36" s="759">
        <v>0</v>
      </c>
      <c r="V36" s="758">
        <v>0</v>
      </c>
      <c r="W36" s="758">
        <v>0</v>
      </c>
      <c r="X36" s="758">
        <v>0</v>
      </c>
      <c r="Y36" s="758">
        <v>0</v>
      </c>
      <c r="Z36" s="759">
        <f>(V28/Z28)*V36+(W28/Z28)*W36+(X28/Z28)*X36+(Y28/Z28)*Y36</f>
        <v>0</v>
      </c>
      <c r="AA36" s="764">
        <v>0</v>
      </c>
      <c r="AB36" s="764">
        <v>0</v>
      </c>
      <c r="AC36" s="764">
        <v>0</v>
      </c>
      <c r="AD36" s="764">
        <v>0</v>
      </c>
      <c r="AE36" s="765">
        <f>SUMPRODUCT(V28:Y28,AA36:AD36)/Z28</f>
        <v>0</v>
      </c>
      <c r="AF36" s="764">
        <v>0</v>
      </c>
      <c r="AG36" s="764">
        <v>0</v>
      </c>
      <c r="AH36" s="764">
        <v>0</v>
      </c>
      <c r="AI36" s="764">
        <v>0</v>
      </c>
      <c r="AJ36" s="765">
        <v>0</v>
      </c>
      <c r="AK36" s="764">
        <v>0</v>
      </c>
      <c r="AL36" s="764">
        <v>0</v>
      </c>
      <c r="AM36" s="764">
        <v>0</v>
      </c>
      <c r="AN36" s="764">
        <v>0</v>
      </c>
      <c r="AO36" s="765">
        <v>0</v>
      </c>
      <c r="AP36" s="758">
        <f>AT36</f>
        <v>0</v>
      </c>
      <c r="AQ36" s="758">
        <v>0</v>
      </c>
      <c r="AR36" s="758">
        <v>0</v>
      </c>
      <c r="AS36" s="758">
        <v>0</v>
      </c>
      <c r="AT36" s="759">
        <v>0</v>
      </c>
      <c r="AU36" s="758">
        <v>0</v>
      </c>
      <c r="AV36" s="758">
        <v>0</v>
      </c>
      <c r="AW36" s="758">
        <v>0</v>
      </c>
      <c r="AX36" s="758">
        <v>0</v>
      </c>
      <c r="AY36" s="759">
        <v>0</v>
      </c>
      <c r="AZ36" s="758">
        <v>0</v>
      </c>
      <c r="BA36" s="758">
        <v>0</v>
      </c>
      <c r="BB36" s="758">
        <v>-0.02</v>
      </c>
      <c r="BC36" s="758">
        <v>-0.02</v>
      </c>
      <c r="BD36" s="759">
        <v>-0.01</v>
      </c>
      <c r="BE36" s="758">
        <v>-0.02</v>
      </c>
      <c r="BF36" s="763">
        <v>-0.03</v>
      </c>
      <c r="BG36" s="760">
        <v>0</v>
      </c>
      <c r="BH36" s="760">
        <v>0</v>
      </c>
      <c r="BI36" s="759">
        <f>SUMPRODUCT(AZ28:BC28,BE36:BH36)/BD28</f>
        <v>-1.3216754778365189E-2</v>
      </c>
      <c r="BJ36" s="760">
        <f>BN36</f>
        <v>0</v>
      </c>
      <c r="BK36" s="760">
        <f>BN36</f>
        <v>0</v>
      </c>
      <c r="BL36" s="760">
        <f>BN36</f>
        <v>0</v>
      </c>
      <c r="BM36" s="760">
        <f>BN36</f>
        <v>0</v>
      </c>
      <c r="BN36" s="762">
        <v>0</v>
      </c>
      <c r="BO36" s="760">
        <f>BS36</f>
        <v>0</v>
      </c>
      <c r="BP36" s="760">
        <f>BS36</f>
        <v>0</v>
      </c>
      <c r="BQ36" s="760">
        <f>BS36</f>
        <v>0</v>
      </c>
      <c r="BR36" s="760">
        <f>BS36</f>
        <v>0</v>
      </c>
      <c r="BS36" s="762">
        <v>0</v>
      </c>
      <c r="BT36" s="760">
        <f>BX36</f>
        <v>0</v>
      </c>
      <c r="BU36" s="760">
        <f>BX36</f>
        <v>0</v>
      </c>
      <c r="BV36" s="760">
        <f>BX36</f>
        <v>0</v>
      </c>
      <c r="BW36" s="760">
        <f>BX36</f>
        <v>0</v>
      </c>
      <c r="BX36" s="762">
        <v>0</v>
      </c>
      <c r="BY36" s="760">
        <f>CC36</f>
        <v>0</v>
      </c>
      <c r="BZ36" s="760">
        <f>CC36</f>
        <v>0</v>
      </c>
      <c r="CA36" s="760">
        <f>CC36</f>
        <v>0</v>
      </c>
      <c r="CB36" s="760">
        <f>CC36</f>
        <v>0</v>
      </c>
      <c r="CC36" s="762">
        <v>0</v>
      </c>
      <c r="CD36" s="760">
        <f>CH36</f>
        <v>0</v>
      </c>
      <c r="CE36" s="760">
        <f>CH36</f>
        <v>0</v>
      </c>
      <c r="CF36" s="760">
        <f>CH36</f>
        <v>0</v>
      </c>
      <c r="CG36" s="760">
        <f>CH36</f>
        <v>0</v>
      </c>
      <c r="CH36" s="762">
        <v>0</v>
      </c>
      <c r="CI36" s="760">
        <f>CM36</f>
        <v>0</v>
      </c>
      <c r="CJ36" s="760">
        <f>CM36</f>
        <v>0</v>
      </c>
      <c r="CK36" s="760">
        <f>CM36</f>
        <v>0</v>
      </c>
      <c r="CL36" s="760">
        <f>CM36</f>
        <v>0</v>
      </c>
      <c r="CM36" s="762">
        <v>0</v>
      </c>
    </row>
    <row r="37" spans="1:91" hidden="1" outlineLevel="1" x14ac:dyDescent="0.2">
      <c r="A37" s="770" t="s">
        <v>190</v>
      </c>
      <c r="B37" s="771" t="s">
        <v>169</v>
      </c>
      <c r="C37" s="771" t="s">
        <v>169</v>
      </c>
      <c r="D37" s="771" t="s">
        <v>169</v>
      </c>
      <c r="E37" s="771" t="s">
        <v>169</v>
      </c>
      <c r="F37" s="772" t="s">
        <v>169</v>
      </c>
      <c r="G37" s="771" t="s">
        <v>169</v>
      </c>
      <c r="H37" s="771" t="s">
        <v>169</v>
      </c>
      <c r="I37" s="771" t="s">
        <v>169</v>
      </c>
      <c r="J37" s="771" t="s">
        <v>169</v>
      </c>
      <c r="K37" s="772" t="s">
        <v>169</v>
      </c>
      <c r="L37" s="773">
        <f t="shared" ref="L37:U37" si="100">L28/G28-1</f>
        <v>0.13106796116504849</v>
      </c>
      <c r="M37" s="773">
        <f t="shared" si="100"/>
        <v>0.14754098360655732</v>
      </c>
      <c r="N37" s="773">
        <f t="shared" si="100"/>
        <v>0.12751677852348986</v>
      </c>
      <c r="O37" s="773">
        <f t="shared" si="100"/>
        <v>0.26695842450765861</v>
      </c>
      <c r="P37" s="774">
        <f t="shared" si="100"/>
        <v>0.16906873614190698</v>
      </c>
      <c r="Q37" s="773">
        <f t="shared" si="100"/>
        <v>0.20386266094420602</v>
      </c>
      <c r="R37" s="773">
        <f t="shared" si="100"/>
        <v>0.19107142857142856</v>
      </c>
      <c r="S37" s="773">
        <f t="shared" si="100"/>
        <v>0.17460317460317465</v>
      </c>
      <c r="T37" s="773">
        <f t="shared" si="100"/>
        <v>-0.12435233160621761</v>
      </c>
      <c r="U37" s="774">
        <f t="shared" si="100"/>
        <v>0.10336652441915595</v>
      </c>
      <c r="V37" s="773">
        <f t="shared" ref="V37:AA37" si="101">V28/Q28-1</f>
        <v>-0.10338680926916222</v>
      </c>
      <c r="W37" s="773">
        <f t="shared" si="101"/>
        <v>-7.7961019490254913E-2</v>
      </c>
      <c r="X37" s="773">
        <f t="shared" si="101"/>
        <v>-9.2905405405405372E-2</v>
      </c>
      <c r="Y37" s="773">
        <f t="shared" si="101"/>
        <v>6.9033530571992019E-2</v>
      </c>
      <c r="Z37" s="774">
        <f t="shared" si="101"/>
        <v>-5.5865921787709549E-2</v>
      </c>
      <c r="AA37" s="775">
        <f t="shared" si="101"/>
        <v>9.9403578528826975E-2</v>
      </c>
      <c r="AB37" s="775">
        <f t="shared" ref="AB37:AR37" si="102">AB28/W28-1</f>
        <v>-9.7560975609756184E-3</v>
      </c>
      <c r="AC37" s="775">
        <f t="shared" si="102"/>
        <v>9.4972067039106101E-2</v>
      </c>
      <c r="AD37" s="775">
        <f t="shared" si="102"/>
        <v>7.3800738007380184E-2</v>
      </c>
      <c r="AE37" s="776">
        <f t="shared" ref="AE37:AJ37" si="103">AE28/Z28-1</f>
        <v>6.1447428311333541E-2</v>
      </c>
      <c r="AF37" s="773">
        <f t="shared" si="103"/>
        <v>7.4141048824593048E-2</v>
      </c>
      <c r="AG37" s="773">
        <f t="shared" si="103"/>
        <v>0.15106732348111662</v>
      </c>
      <c r="AH37" s="773">
        <f t="shared" si="103"/>
        <v>0.13775510204081631</v>
      </c>
      <c r="AI37" s="773">
        <f t="shared" si="103"/>
        <v>7.5601374570446689E-2</v>
      </c>
      <c r="AJ37" s="774">
        <f t="shared" si="103"/>
        <v>0.11063464837049741</v>
      </c>
      <c r="AK37" s="773">
        <f t="shared" si="102"/>
        <v>3.5353535353535248E-2</v>
      </c>
      <c r="AL37" s="773">
        <f t="shared" si="102"/>
        <v>3.8516405135520682E-2</v>
      </c>
      <c r="AM37" s="773">
        <f t="shared" si="102"/>
        <v>4.3348281016442503E-2</v>
      </c>
      <c r="AN37" s="773">
        <f t="shared" si="102"/>
        <v>4.7923322683706138E-2</v>
      </c>
      <c r="AO37" s="774">
        <f>AO28/AJ28-1</f>
        <v>4.1312741312741208E-2</v>
      </c>
      <c r="AP37" s="773">
        <f t="shared" si="102"/>
        <v>8.7804878048780566E-2</v>
      </c>
      <c r="AQ37" s="773">
        <f t="shared" si="102"/>
        <v>5.0824175824175866E-2</v>
      </c>
      <c r="AR37" s="773">
        <f t="shared" si="102"/>
        <v>-4.1547277936962779E-2</v>
      </c>
      <c r="AS37" s="773">
        <f t="shared" ref="AS37:BE37" si="104">AS28/AN28-1</f>
        <v>6.0975609756097615E-3</v>
      </c>
      <c r="AT37" s="774">
        <f t="shared" si="104"/>
        <v>2.4471635150166815E-2</v>
      </c>
      <c r="AU37" s="773">
        <f t="shared" si="104"/>
        <v>-1.6442451420029869E-2</v>
      </c>
      <c r="AV37" s="773">
        <f t="shared" si="104"/>
        <v>-4.3137254901960742E-2</v>
      </c>
      <c r="AW37" s="773">
        <f t="shared" si="104"/>
        <v>5.9790732436472371E-2</v>
      </c>
      <c r="AX37" s="773">
        <f t="shared" si="104"/>
        <v>-4.3939393939393945E-2</v>
      </c>
      <c r="AY37" s="774">
        <f t="shared" si="104"/>
        <v>-1.1943539630836053E-2</v>
      </c>
      <c r="AZ37" s="773">
        <f t="shared" si="104"/>
        <v>-3.039513677811545E-2</v>
      </c>
      <c r="BA37" s="773">
        <f t="shared" si="104"/>
        <v>-0.10109289617486339</v>
      </c>
      <c r="BB37" s="773">
        <f t="shared" si="104"/>
        <v>-0.14950634696755993</v>
      </c>
      <c r="BC37" s="773">
        <f t="shared" si="104"/>
        <v>-0.11251980982567356</v>
      </c>
      <c r="BD37" s="774">
        <f>BD28/AY28-1</f>
        <v>-9.9267399267399248E-2</v>
      </c>
      <c r="BE37" s="773">
        <f t="shared" si="104"/>
        <v>-0.14420062695924762</v>
      </c>
      <c r="BF37" s="773">
        <f>BF28/BA28-1</f>
        <v>-5.6231003039513672E-2</v>
      </c>
      <c r="BG37" s="773">
        <f>SUM(BG33:BG36)</f>
        <v>-1.5407482790133264E-2</v>
      </c>
      <c r="BH37" s="773">
        <f>SUM(BH33:BH36)</f>
        <v>-0.11470271186229955</v>
      </c>
      <c r="BI37" s="774">
        <f>BI28/BD28-1</f>
        <v>-8.2360402913923547E-2</v>
      </c>
      <c r="BJ37" s="773">
        <f>SUM(BJ33:BJ36)</f>
        <v>-9.196223495047777E-3</v>
      </c>
      <c r="BK37" s="773">
        <f>SUM(BK33:BK36)</f>
        <v>-2.5149216887488425E-2</v>
      </c>
      <c r="BL37" s="773">
        <f>SUM(BL33:BL36)</f>
        <v>-3.7845249725324472E-2</v>
      </c>
      <c r="BM37" s="773">
        <f>SUM(BM33:BM36)</f>
        <v>2.2364162580450226E-2</v>
      </c>
      <c r="BN37" s="774">
        <f>BN28/BI28-1</f>
        <v>-1.4190480671214534E-2</v>
      </c>
      <c r="BO37" s="773">
        <f>SUM(BO33:BO36)</f>
        <v>8.763388413386361E-2</v>
      </c>
      <c r="BP37" s="773">
        <f>SUM(BP33:BP36)</f>
        <v>6.463006520829899E-2</v>
      </c>
      <c r="BQ37" s="773">
        <f>SUM(BQ33:BQ36)</f>
        <v>5.0159835726101561E-2</v>
      </c>
      <c r="BR37" s="773">
        <f>SUM(BR33:BR36)</f>
        <v>5.0762208255511719E-2</v>
      </c>
      <c r="BS37" s="774">
        <f>BS28/BN28-1</f>
        <v>6.3348684400349908E-2</v>
      </c>
      <c r="BT37" s="773">
        <f>SUM(BT33:BT36)</f>
        <v>3.3935413343458801E-2</v>
      </c>
      <c r="BU37" s="773">
        <f>SUM(BU33:BU36)</f>
        <v>0.05</v>
      </c>
      <c r="BV37" s="773">
        <f>SUM(BV33:BV36)</f>
        <v>0.05</v>
      </c>
      <c r="BW37" s="773">
        <f>SUM(BW33:BW36)</f>
        <v>5.0000000000000017E-2</v>
      </c>
      <c r="BX37" s="774">
        <f>BX28/BS28-1</f>
        <v>4.6003928955510309E-2</v>
      </c>
      <c r="BY37" s="773">
        <f>SUM(BY33:BY36)</f>
        <v>0.05</v>
      </c>
      <c r="BZ37" s="773">
        <f>SUM(BZ33:BZ36)</f>
        <v>0.05</v>
      </c>
      <c r="CA37" s="773">
        <f>SUM(CA33:CA36)</f>
        <v>0.05</v>
      </c>
      <c r="CB37" s="773">
        <f>SUM(CB33:CB36)</f>
        <v>4.9999999999999975E-2</v>
      </c>
      <c r="CC37" s="774">
        <f>CC28/BX28-1</f>
        <v>5.0000000000000044E-2</v>
      </c>
      <c r="CD37" s="773">
        <f>SUM(CD33:CD36)</f>
        <v>0.05</v>
      </c>
      <c r="CE37" s="773">
        <f>SUM(CE33:CE36)</f>
        <v>0.05</v>
      </c>
      <c r="CF37" s="773">
        <f>SUM(CF33:CF36)</f>
        <v>0.05</v>
      </c>
      <c r="CG37" s="773">
        <f>SUM(CG33:CG36)</f>
        <v>0.05</v>
      </c>
      <c r="CH37" s="774">
        <f>CH28/CC28-1</f>
        <v>5.0000000000000044E-2</v>
      </c>
      <c r="CI37" s="773">
        <f>SUM(CI33:CI36)</f>
        <v>0.04</v>
      </c>
      <c r="CJ37" s="773">
        <f>SUM(CJ33:CJ36)</f>
        <v>0.04</v>
      </c>
      <c r="CK37" s="773">
        <f>SUM(CK33:CK36)</f>
        <v>0.04</v>
      </c>
      <c r="CL37" s="773">
        <f>SUM(CL33:CL36)</f>
        <v>4.0000000000000015E-2</v>
      </c>
      <c r="CM37" s="774">
        <f>CM28/CH28-1</f>
        <v>3.9999999999999813E-2</v>
      </c>
    </row>
    <row r="38" spans="1:91" hidden="1" outlineLevel="2" x14ac:dyDescent="0.2">
      <c r="A38" s="777" t="s">
        <v>235</v>
      </c>
      <c r="B38" s="778"/>
      <c r="C38" s="778"/>
      <c r="D38" s="778"/>
      <c r="E38" s="778"/>
      <c r="F38" s="779"/>
      <c r="G38" s="778"/>
      <c r="H38" s="778"/>
      <c r="I38" s="778"/>
      <c r="J38" s="778"/>
      <c r="K38" s="779"/>
      <c r="L38" s="780"/>
      <c r="M38" s="780"/>
      <c r="N38" s="780"/>
      <c r="O38" s="780"/>
      <c r="P38" s="779"/>
      <c r="Q38" s="758"/>
      <c r="R38" s="758"/>
      <c r="S38" s="758"/>
      <c r="T38" s="758"/>
      <c r="U38" s="759"/>
      <c r="V38" s="758"/>
      <c r="W38" s="758"/>
      <c r="X38" s="758"/>
      <c r="Y38" s="758"/>
      <c r="Z38" s="759"/>
      <c r="AA38" s="758"/>
      <c r="AB38" s="758"/>
      <c r="AC38" s="758"/>
      <c r="AD38" s="758"/>
      <c r="AE38" s="759"/>
      <c r="AF38" s="758"/>
      <c r="AG38" s="758"/>
      <c r="AH38" s="758"/>
      <c r="AI38" s="758"/>
      <c r="AJ38" s="759"/>
      <c r="AK38" s="758"/>
      <c r="AL38" s="758"/>
      <c r="AM38" s="758"/>
      <c r="AN38" s="758"/>
      <c r="AO38" s="759"/>
      <c r="AP38" s="758"/>
      <c r="AQ38" s="758"/>
      <c r="AR38" s="758"/>
      <c r="AS38" s="758"/>
      <c r="AT38" s="759"/>
      <c r="AU38" s="758"/>
      <c r="AV38" s="758"/>
      <c r="AW38" s="758"/>
      <c r="AX38" s="758"/>
      <c r="AY38" s="759"/>
      <c r="AZ38" s="758"/>
      <c r="BA38" s="758"/>
      <c r="BB38" s="758"/>
      <c r="BC38" s="758"/>
      <c r="BD38" s="759"/>
      <c r="BE38" s="758"/>
      <c r="BF38" s="781"/>
      <c r="BG38" s="781"/>
      <c r="BH38" s="781"/>
      <c r="BI38" s="782"/>
      <c r="BJ38" s="781"/>
      <c r="BK38" s="781"/>
      <c r="BL38" s="781"/>
      <c r="BM38" s="781"/>
      <c r="BN38" s="782"/>
      <c r="BO38" s="781"/>
      <c r="BP38" s="781"/>
      <c r="BQ38" s="781"/>
      <c r="BR38" s="781"/>
      <c r="BS38" s="782"/>
      <c r="BT38" s="781"/>
      <c r="BU38" s="781"/>
      <c r="BV38" s="781"/>
      <c r="BW38" s="781"/>
      <c r="BX38" s="782"/>
      <c r="BY38" s="781"/>
      <c r="BZ38" s="781"/>
      <c r="CA38" s="781"/>
      <c r="CB38" s="781"/>
      <c r="CC38" s="782"/>
      <c r="CD38" s="781"/>
      <c r="CE38" s="781"/>
      <c r="CF38" s="781"/>
      <c r="CG38" s="781"/>
      <c r="CH38" s="782"/>
      <c r="CI38" s="781"/>
      <c r="CJ38" s="781"/>
      <c r="CK38" s="781"/>
      <c r="CL38" s="781"/>
      <c r="CM38" s="782"/>
    </row>
    <row r="39" spans="1:91" hidden="1" outlineLevel="2" x14ac:dyDescent="0.2">
      <c r="A39" s="751" t="s">
        <v>194</v>
      </c>
      <c r="B39" s="778"/>
      <c r="C39" s="778"/>
      <c r="D39" s="778"/>
      <c r="E39" s="778"/>
      <c r="F39" s="779"/>
      <c r="G39" s="778"/>
      <c r="H39" s="778"/>
      <c r="I39" s="778"/>
      <c r="J39" s="778"/>
      <c r="K39" s="779"/>
      <c r="L39" s="780"/>
      <c r="M39" s="780"/>
      <c r="N39" s="780"/>
      <c r="O39" s="780"/>
      <c r="P39" s="779"/>
      <c r="Q39" s="758"/>
      <c r="R39" s="758"/>
      <c r="S39" s="758"/>
      <c r="T39" s="758"/>
      <c r="U39" s="759"/>
      <c r="V39" s="758"/>
      <c r="W39" s="758"/>
      <c r="X39" s="758"/>
      <c r="Y39" s="758"/>
      <c r="Z39" s="759"/>
      <c r="AA39" s="758"/>
      <c r="AB39" s="758"/>
      <c r="AC39" s="758"/>
      <c r="AD39" s="758"/>
      <c r="AE39" s="759"/>
      <c r="AF39" s="758"/>
      <c r="AG39" s="758"/>
      <c r="AH39" s="758"/>
      <c r="AI39" s="758"/>
      <c r="AJ39" s="759"/>
      <c r="AK39" s="758"/>
      <c r="AL39" s="758"/>
      <c r="AM39" s="758"/>
      <c r="AN39" s="758"/>
      <c r="AO39" s="759"/>
      <c r="AP39" s="758"/>
      <c r="AQ39" s="758"/>
      <c r="AR39" s="758"/>
      <c r="AS39" s="758"/>
      <c r="AT39" s="759"/>
      <c r="AU39" s="758"/>
      <c r="AV39" s="758"/>
      <c r="AW39" s="758"/>
      <c r="AX39" s="758"/>
      <c r="AY39" s="759"/>
      <c r="AZ39" s="758"/>
      <c r="BA39" s="758"/>
      <c r="BB39" s="758"/>
      <c r="BC39" s="758"/>
      <c r="BD39" s="759"/>
      <c r="BE39" s="758"/>
      <c r="BF39" s="781"/>
      <c r="BG39" s="781"/>
      <c r="BH39" s="781"/>
      <c r="BI39" s="782"/>
      <c r="BJ39" s="781"/>
      <c r="BK39" s="781"/>
      <c r="BL39" s="781"/>
      <c r="BM39" s="781"/>
      <c r="BN39" s="782"/>
      <c r="BO39" s="781"/>
      <c r="BP39" s="781"/>
      <c r="BQ39" s="781"/>
      <c r="BR39" s="781"/>
      <c r="BS39" s="782"/>
      <c r="BT39" s="781"/>
      <c r="BU39" s="781"/>
      <c r="BV39" s="781"/>
      <c r="BW39" s="781"/>
      <c r="BX39" s="782"/>
      <c r="BY39" s="781"/>
      <c r="BZ39" s="781"/>
      <c r="CA39" s="781"/>
      <c r="CB39" s="781"/>
      <c r="CC39" s="782"/>
      <c r="CD39" s="781"/>
      <c r="CE39" s="781"/>
      <c r="CF39" s="781"/>
      <c r="CG39" s="781"/>
      <c r="CH39" s="782"/>
      <c r="CI39" s="781"/>
      <c r="CJ39" s="781"/>
      <c r="CK39" s="781"/>
      <c r="CL39" s="781"/>
      <c r="CM39" s="782"/>
    </row>
    <row r="40" spans="1:91" hidden="1" outlineLevel="2" x14ac:dyDescent="0.2">
      <c r="A40" s="751" t="s">
        <v>196</v>
      </c>
      <c r="B40" s="778"/>
      <c r="C40" s="778"/>
      <c r="D40" s="778"/>
      <c r="E40" s="778"/>
      <c r="F40" s="779"/>
      <c r="G40" s="778"/>
      <c r="H40" s="778"/>
      <c r="I40" s="778"/>
      <c r="J40" s="778"/>
      <c r="K40" s="779"/>
      <c r="L40" s="780"/>
      <c r="M40" s="780"/>
      <c r="N40" s="780"/>
      <c r="O40" s="780"/>
      <c r="P40" s="779"/>
      <c r="Q40" s="758"/>
      <c r="R40" s="758"/>
      <c r="S40" s="758"/>
      <c r="T40" s="758"/>
      <c r="U40" s="759"/>
      <c r="V40" s="758"/>
      <c r="W40" s="758"/>
      <c r="X40" s="758"/>
      <c r="Y40" s="758"/>
      <c r="Z40" s="759"/>
      <c r="AA40" s="758"/>
      <c r="AB40" s="758"/>
      <c r="AC40" s="758"/>
      <c r="AD40" s="758"/>
      <c r="AE40" s="759"/>
      <c r="AF40" s="758"/>
      <c r="AG40" s="758"/>
      <c r="AH40" s="758"/>
      <c r="AI40" s="758"/>
      <c r="AJ40" s="759"/>
      <c r="AK40" s="758"/>
      <c r="AL40" s="758"/>
      <c r="AM40" s="758"/>
      <c r="AN40" s="758"/>
      <c r="AO40" s="759"/>
      <c r="AP40" s="758"/>
      <c r="AQ40" s="758"/>
      <c r="AR40" s="758"/>
      <c r="AS40" s="758"/>
      <c r="AT40" s="759"/>
      <c r="AU40" s="758"/>
      <c r="AV40" s="758"/>
      <c r="AW40" s="758"/>
      <c r="AX40" s="758"/>
      <c r="AY40" s="759"/>
      <c r="AZ40" s="758"/>
      <c r="BA40" s="758"/>
      <c r="BB40" s="758"/>
      <c r="BC40" s="758"/>
      <c r="BD40" s="759"/>
      <c r="BE40" s="758"/>
      <c r="BF40" s="781"/>
      <c r="BG40" s="781"/>
      <c r="BH40" s="781"/>
      <c r="BI40" s="782"/>
      <c r="BJ40" s="781"/>
      <c r="BK40" s="781"/>
      <c r="BL40" s="781"/>
      <c r="BM40" s="781"/>
      <c r="BN40" s="782"/>
      <c r="BO40" s="781"/>
      <c r="BP40" s="781"/>
      <c r="BQ40" s="781"/>
      <c r="BR40" s="781"/>
      <c r="BS40" s="782"/>
      <c r="BT40" s="781"/>
      <c r="BU40" s="781"/>
      <c r="BV40" s="781"/>
      <c r="BW40" s="781"/>
      <c r="BX40" s="782"/>
      <c r="BY40" s="781"/>
      <c r="BZ40" s="781"/>
      <c r="CA40" s="781"/>
      <c r="CB40" s="781"/>
      <c r="CC40" s="782"/>
      <c r="CD40" s="781"/>
      <c r="CE40" s="781"/>
      <c r="CF40" s="781"/>
      <c r="CG40" s="781"/>
      <c r="CH40" s="782"/>
      <c r="CI40" s="781"/>
      <c r="CJ40" s="781"/>
      <c r="CK40" s="781"/>
      <c r="CL40" s="781"/>
      <c r="CM40" s="782"/>
    </row>
    <row r="41" spans="1:91" hidden="1" outlineLevel="2" x14ac:dyDescent="0.2">
      <c r="A41" s="751" t="s">
        <v>195</v>
      </c>
      <c r="B41" s="778"/>
      <c r="C41" s="778"/>
      <c r="D41" s="778"/>
      <c r="E41" s="778"/>
      <c r="F41" s="779"/>
      <c r="G41" s="778"/>
      <c r="H41" s="778"/>
      <c r="I41" s="778"/>
      <c r="J41" s="778"/>
      <c r="K41" s="779"/>
      <c r="L41" s="780"/>
      <c r="M41" s="780"/>
      <c r="N41" s="780"/>
      <c r="O41" s="780"/>
      <c r="P41" s="779"/>
      <c r="Q41" s="758"/>
      <c r="R41" s="758"/>
      <c r="S41" s="758"/>
      <c r="T41" s="758"/>
      <c r="U41" s="759"/>
      <c r="V41" s="758"/>
      <c r="W41" s="758"/>
      <c r="X41" s="758"/>
      <c r="Y41" s="758"/>
      <c r="Z41" s="759"/>
      <c r="AA41" s="758"/>
      <c r="AB41" s="758"/>
      <c r="AC41" s="758"/>
      <c r="AD41" s="758"/>
      <c r="AE41" s="759"/>
      <c r="AF41" s="758"/>
      <c r="AG41" s="758"/>
      <c r="AH41" s="758"/>
      <c r="AI41" s="758"/>
      <c r="AJ41" s="759"/>
      <c r="AK41" s="758"/>
      <c r="AL41" s="758"/>
      <c r="AM41" s="758"/>
      <c r="AN41" s="758"/>
      <c r="AO41" s="759"/>
      <c r="AP41" s="758"/>
      <c r="AQ41" s="758"/>
      <c r="AR41" s="758"/>
      <c r="AS41" s="758"/>
      <c r="AT41" s="759"/>
      <c r="AU41" s="758"/>
      <c r="AV41" s="758"/>
      <c r="AW41" s="758"/>
      <c r="AX41" s="758"/>
      <c r="AY41" s="759"/>
      <c r="AZ41" s="758"/>
      <c r="BA41" s="758"/>
      <c r="BB41" s="758"/>
      <c r="BC41" s="758"/>
      <c r="BD41" s="759"/>
      <c r="BE41" s="758"/>
      <c r="BF41" s="781"/>
      <c r="BG41" s="781"/>
      <c r="BH41" s="781"/>
      <c r="BI41" s="782"/>
      <c r="BJ41" s="781"/>
      <c r="BK41" s="781"/>
      <c r="BL41" s="781"/>
      <c r="BM41" s="781"/>
      <c r="BN41" s="782"/>
      <c r="BO41" s="781"/>
      <c r="BP41" s="781"/>
      <c r="BQ41" s="781"/>
      <c r="BR41" s="781"/>
      <c r="BS41" s="782"/>
      <c r="BT41" s="781"/>
      <c r="BU41" s="781"/>
      <c r="BV41" s="781"/>
      <c r="BW41" s="781"/>
      <c r="BX41" s="782"/>
      <c r="BY41" s="781"/>
      <c r="BZ41" s="781"/>
      <c r="CA41" s="781"/>
      <c r="CB41" s="781"/>
      <c r="CC41" s="782"/>
      <c r="CD41" s="781"/>
      <c r="CE41" s="781"/>
      <c r="CF41" s="781"/>
      <c r="CG41" s="781"/>
      <c r="CH41" s="782"/>
      <c r="CI41" s="781"/>
      <c r="CJ41" s="781"/>
      <c r="CK41" s="781"/>
      <c r="CL41" s="781"/>
      <c r="CM41" s="782"/>
    </row>
    <row r="42" spans="1:91" hidden="1" outlineLevel="2" x14ac:dyDescent="0.2">
      <c r="A42" s="761" t="s">
        <v>191</v>
      </c>
      <c r="B42" s="758">
        <v>0.1</v>
      </c>
      <c r="C42" s="758">
        <v>0.08</v>
      </c>
      <c r="D42" s="758">
        <v>0.06</v>
      </c>
      <c r="E42" s="758">
        <v>0.01</v>
      </c>
      <c r="F42" s="759">
        <v>0.06</v>
      </c>
      <c r="G42" s="758">
        <v>-0.02</v>
      </c>
      <c r="H42" s="758">
        <v>7.0000000000000007E-2</v>
      </c>
      <c r="I42" s="758">
        <v>0.05</v>
      </c>
      <c r="J42" s="758">
        <v>0.06</v>
      </c>
      <c r="K42" s="759">
        <v>0.04</v>
      </c>
      <c r="L42" s="758">
        <v>0.17</v>
      </c>
      <c r="M42" s="758">
        <v>0.08</v>
      </c>
      <c r="N42" s="758">
        <v>0.08</v>
      </c>
      <c r="O42" s="758">
        <v>7.0000000000000007E-2</v>
      </c>
      <c r="P42" s="759">
        <v>0.1</v>
      </c>
      <c r="Q42" s="758">
        <v>-0.01</v>
      </c>
      <c r="R42" s="758">
        <v>0.05</v>
      </c>
      <c r="S42" s="758"/>
      <c r="T42" s="758"/>
      <c r="U42" s="759"/>
      <c r="V42" s="758"/>
      <c r="W42" s="758"/>
      <c r="X42" s="758"/>
      <c r="Y42" s="758"/>
      <c r="Z42" s="759"/>
      <c r="AA42" s="758"/>
      <c r="AB42" s="758"/>
      <c r="AC42" s="758"/>
      <c r="AD42" s="758"/>
      <c r="AE42" s="759"/>
      <c r="AF42" s="758"/>
      <c r="AG42" s="758"/>
      <c r="AH42" s="758"/>
      <c r="AI42" s="758"/>
      <c r="AJ42" s="759"/>
      <c r="AK42" s="758"/>
      <c r="AL42" s="758"/>
      <c r="AM42" s="758"/>
      <c r="AN42" s="758"/>
      <c r="AO42" s="759"/>
      <c r="AP42" s="758"/>
      <c r="AQ42" s="758"/>
      <c r="AR42" s="758"/>
      <c r="AS42" s="758"/>
      <c r="AT42" s="759"/>
      <c r="AU42" s="758"/>
      <c r="AV42" s="758"/>
      <c r="AW42" s="758"/>
      <c r="AX42" s="758"/>
      <c r="AY42" s="759"/>
      <c r="AZ42" s="758"/>
      <c r="BA42" s="758"/>
      <c r="BB42" s="758"/>
      <c r="BC42" s="758"/>
      <c r="BD42" s="759"/>
      <c r="BE42" s="758"/>
      <c r="BF42" s="758"/>
      <c r="BG42" s="758"/>
      <c r="BH42" s="758"/>
      <c r="BI42" s="759"/>
      <c r="BJ42" s="758"/>
      <c r="BK42" s="758"/>
      <c r="BL42" s="758"/>
      <c r="BM42" s="758"/>
      <c r="BN42" s="759"/>
      <c r="BO42" s="758"/>
      <c r="BP42" s="758"/>
      <c r="BQ42" s="758"/>
      <c r="BR42" s="758"/>
      <c r="BS42" s="759"/>
      <c r="BT42" s="758"/>
      <c r="BU42" s="758"/>
      <c r="BV42" s="758"/>
      <c r="BW42" s="758"/>
      <c r="BX42" s="759"/>
      <c r="BY42" s="758"/>
      <c r="BZ42" s="758"/>
      <c r="CA42" s="758"/>
      <c r="CB42" s="758"/>
      <c r="CC42" s="759"/>
      <c r="CD42" s="758"/>
      <c r="CE42" s="758"/>
      <c r="CF42" s="758"/>
      <c r="CG42" s="758"/>
      <c r="CH42" s="759"/>
      <c r="CI42" s="758"/>
      <c r="CJ42" s="758"/>
      <c r="CK42" s="758"/>
      <c r="CL42" s="758"/>
      <c r="CM42" s="759"/>
    </row>
    <row r="43" spans="1:91" hidden="1" outlineLevel="2" x14ac:dyDescent="0.2">
      <c r="A43" s="751" t="s">
        <v>192</v>
      </c>
      <c r="B43" s="778"/>
      <c r="C43" s="778"/>
      <c r="D43" s="778"/>
      <c r="E43" s="778"/>
      <c r="F43" s="779"/>
      <c r="G43" s="778"/>
      <c r="H43" s="778"/>
      <c r="I43" s="778"/>
      <c r="J43" s="778"/>
      <c r="K43" s="779"/>
      <c r="L43" s="758">
        <v>0.16</v>
      </c>
      <c r="M43" s="758">
        <v>0.15</v>
      </c>
      <c r="N43" s="758">
        <v>0.01</v>
      </c>
      <c r="O43" s="758" t="s">
        <v>169</v>
      </c>
      <c r="P43" s="759">
        <v>0.11</v>
      </c>
      <c r="Q43" s="758">
        <v>0.03</v>
      </c>
      <c r="R43" s="758">
        <v>0.02</v>
      </c>
      <c r="S43" s="758"/>
      <c r="T43" s="758"/>
      <c r="U43" s="759"/>
      <c r="V43" s="758"/>
      <c r="W43" s="758"/>
      <c r="X43" s="758"/>
      <c r="Y43" s="758"/>
      <c r="Z43" s="759"/>
      <c r="AA43" s="758"/>
      <c r="AB43" s="758"/>
      <c r="AC43" s="758"/>
      <c r="AD43" s="758"/>
      <c r="AE43" s="759"/>
      <c r="AF43" s="758"/>
      <c r="AG43" s="758"/>
      <c r="AH43" s="758"/>
      <c r="AI43" s="758"/>
      <c r="AJ43" s="759"/>
      <c r="AK43" s="758"/>
      <c r="AL43" s="758"/>
      <c r="AM43" s="758"/>
      <c r="AN43" s="758"/>
      <c r="AO43" s="759"/>
      <c r="AP43" s="758"/>
      <c r="AQ43" s="758"/>
      <c r="AR43" s="758"/>
      <c r="AS43" s="758"/>
      <c r="AT43" s="759"/>
      <c r="AU43" s="758"/>
      <c r="AV43" s="758"/>
      <c r="AW43" s="758"/>
      <c r="AX43" s="758"/>
      <c r="AY43" s="759"/>
      <c r="AZ43" s="758"/>
      <c r="BA43" s="758"/>
      <c r="BB43" s="758"/>
      <c r="BC43" s="758"/>
      <c r="BD43" s="759"/>
      <c r="BE43" s="758"/>
      <c r="BF43" s="758"/>
      <c r="BG43" s="758"/>
      <c r="BH43" s="758"/>
      <c r="BI43" s="759"/>
      <c r="BJ43" s="758"/>
      <c r="BK43" s="758"/>
      <c r="BL43" s="758"/>
      <c r="BM43" s="758"/>
      <c r="BN43" s="759"/>
      <c r="BO43" s="758"/>
      <c r="BP43" s="758"/>
      <c r="BQ43" s="758"/>
      <c r="BR43" s="758"/>
      <c r="BS43" s="759"/>
      <c r="BT43" s="758"/>
      <c r="BU43" s="758"/>
      <c r="BV43" s="758"/>
      <c r="BW43" s="758"/>
      <c r="BX43" s="759"/>
      <c r="BY43" s="758"/>
      <c r="BZ43" s="758"/>
      <c r="CA43" s="758"/>
      <c r="CB43" s="758"/>
      <c r="CC43" s="759"/>
      <c r="CD43" s="758"/>
      <c r="CE43" s="758"/>
      <c r="CF43" s="758"/>
      <c r="CG43" s="758"/>
      <c r="CH43" s="759"/>
      <c r="CI43" s="758"/>
      <c r="CJ43" s="758"/>
      <c r="CK43" s="758"/>
      <c r="CL43" s="758"/>
      <c r="CM43" s="759"/>
    </row>
    <row r="44" spans="1:91" hidden="1" outlineLevel="2" x14ac:dyDescent="0.2">
      <c r="A44" s="761" t="s">
        <v>188</v>
      </c>
      <c r="B44" s="778"/>
      <c r="C44" s="778"/>
      <c r="D44" s="778"/>
      <c r="E44" s="778"/>
      <c r="F44" s="779"/>
      <c r="G44" s="778"/>
      <c r="H44" s="778"/>
      <c r="I44" s="778"/>
      <c r="J44" s="778"/>
      <c r="K44" s="779"/>
      <c r="L44" s="760">
        <f>L47-L43-L45-L46</f>
        <v>0.06</v>
      </c>
      <c r="M44" s="760">
        <f>M47-M43-M45-M46</f>
        <v>0.15000000000000002</v>
      </c>
      <c r="N44" s="760">
        <v>0.04</v>
      </c>
      <c r="O44" s="758" t="s">
        <v>169</v>
      </c>
      <c r="P44" s="762">
        <f>P47-P43-P45-P46</f>
        <v>0.08</v>
      </c>
      <c r="Q44" s="760">
        <f>Q47-Q46-Q45-Q43</f>
        <v>-0.04</v>
      </c>
      <c r="R44" s="760">
        <f>R47-R46-R45-R43</f>
        <v>0.06</v>
      </c>
      <c r="S44" s="758"/>
      <c r="T44" s="758"/>
      <c r="U44" s="759"/>
      <c r="V44" s="758"/>
      <c r="W44" s="758"/>
      <c r="X44" s="758"/>
      <c r="Y44" s="758"/>
      <c r="Z44" s="759"/>
      <c r="AA44" s="758"/>
      <c r="AB44" s="758"/>
      <c r="AC44" s="758"/>
      <c r="AD44" s="758"/>
      <c r="AE44" s="759"/>
      <c r="AF44" s="758"/>
      <c r="AG44" s="758"/>
      <c r="AH44" s="758"/>
      <c r="AI44" s="758"/>
      <c r="AJ44" s="759"/>
      <c r="AK44" s="758"/>
      <c r="AL44" s="758"/>
      <c r="AM44" s="758"/>
      <c r="AN44" s="758"/>
      <c r="AO44" s="759"/>
      <c r="AP44" s="758"/>
      <c r="AQ44" s="758"/>
      <c r="AR44" s="758"/>
      <c r="AS44" s="758"/>
      <c r="AT44" s="759"/>
      <c r="AU44" s="758"/>
      <c r="AV44" s="758"/>
      <c r="AW44" s="758"/>
      <c r="AX44" s="758"/>
      <c r="AY44" s="759"/>
      <c r="AZ44" s="758"/>
      <c r="BA44" s="758"/>
      <c r="BB44" s="758"/>
      <c r="BC44" s="758"/>
      <c r="BD44" s="759"/>
      <c r="BE44" s="758"/>
      <c r="BF44" s="758"/>
      <c r="BG44" s="758"/>
      <c r="BH44" s="758"/>
      <c r="BI44" s="759"/>
      <c r="BJ44" s="758"/>
      <c r="BK44" s="758"/>
      <c r="BL44" s="758"/>
      <c r="BM44" s="758"/>
      <c r="BN44" s="759"/>
      <c r="BO44" s="758"/>
      <c r="BP44" s="758"/>
      <c r="BQ44" s="758"/>
      <c r="BR44" s="758"/>
      <c r="BS44" s="759"/>
      <c r="BT44" s="758"/>
      <c r="BU44" s="758"/>
      <c r="BV44" s="758"/>
      <c r="BW44" s="758"/>
      <c r="BX44" s="759"/>
      <c r="BY44" s="758"/>
      <c r="BZ44" s="758"/>
      <c r="CA44" s="758"/>
      <c r="CB44" s="758"/>
      <c r="CC44" s="759"/>
      <c r="CD44" s="758"/>
      <c r="CE44" s="758"/>
      <c r="CF44" s="758"/>
      <c r="CG44" s="758"/>
      <c r="CH44" s="759"/>
      <c r="CI44" s="758"/>
      <c r="CJ44" s="758"/>
      <c r="CK44" s="758"/>
      <c r="CL44" s="758"/>
      <c r="CM44" s="759"/>
    </row>
    <row r="45" spans="1:91" hidden="1" outlineLevel="2" x14ac:dyDescent="0.2">
      <c r="A45" s="761" t="s">
        <v>189</v>
      </c>
      <c r="B45" s="778"/>
      <c r="C45" s="778"/>
      <c r="D45" s="778"/>
      <c r="E45" s="778"/>
      <c r="F45" s="779"/>
      <c r="G45" s="778"/>
      <c r="H45" s="778"/>
      <c r="I45" s="778"/>
      <c r="J45" s="778"/>
      <c r="K45" s="779"/>
      <c r="L45" s="760">
        <v>-0.1</v>
      </c>
      <c r="M45" s="760">
        <v>-0.1</v>
      </c>
      <c r="N45" s="760">
        <f>N47-N44-N43-N46</f>
        <v>0.03</v>
      </c>
      <c r="O45" s="758" t="s">
        <v>169</v>
      </c>
      <c r="P45" s="762">
        <v>-0.03</v>
      </c>
      <c r="Q45" s="760">
        <v>0.02</v>
      </c>
      <c r="R45" s="760">
        <v>-0.02</v>
      </c>
      <c r="S45" s="758"/>
      <c r="T45" s="758"/>
      <c r="U45" s="759"/>
      <c r="V45" s="758"/>
      <c r="W45" s="758"/>
      <c r="X45" s="758"/>
      <c r="Y45" s="758"/>
      <c r="Z45" s="759"/>
      <c r="AA45" s="758"/>
      <c r="AB45" s="758"/>
      <c r="AC45" s="758"/>
      <c r="AD45" s="758"/>
      <c r="AE45" s="759"/>
      <c r="AF45" s="758"/>
      <c r="AG45" s="758"/>
      <c r="AH45" s="758"/>
      <c r="AI45" s="758"/>
      <c r="AJ45" s="759"/>
      <c r="AK45" s="758"/>
      <c r="AL45" s="758"/>
      <c r="AM45" s="758"/>
      <c r="AN45" s="758"/>
      <c r="AO45" s="759"/>
      <c r="AP45" s="758"/>
      <c r="AQ45" s="758"/>
      <c r="AR45" s="758"/>
      <c r="AS45" s="758"/>
      <c r="AT45" s="759"/>
      <c r="AU45" s="758"/>
      <c r="AV45" s="758"/>
      <c r="AW45" s="758"/>
      <c r="AX45" s="758"/>
      <c r="AY45" s="759"/>
      <c r="AZ45" s="758"/>
      <c r="BA45" s="758"/>
      <c r="BB45" s="758"/>
      <c r="BC45" s="758"/>
      <c r="BD45" s="759"/>
      <c r="BE45" s="758"/>
      <c r="BF45" s="758"/>
      <c r="BG45" s="758"/>
      <c r="BH45" s="758"/>
      <c r="BI45" s="759"/>
      <c r="BJ45" s="758"/>
      <c r="BK45" s="758"/>
      <c r="BL45" s="758"/>
      <c r="BM45" s="758"/>
      <c r="BN45" s="759"/>
      <c r="BO45" s="758"/>
      <c r="BP45" s="758"/>
      <c r="BQ45" s="758"/>
      <c r="BR45" s="758"/>
      <c r="BS45" s="759"/>
      <c r="BT45" s="758"/>
      <c r="BU45" s="758"/>
      <c r="BV45" s="758"/>
      <c r="BW45" s="758"/>
      <c r="BX45" s="759"/>
      <c r="BY45" s="758"/>
      <c r="BZ45" s="758"/>
      <c r="CA45" s="758"/>
      <c r="CB45" s="758"/>
      <c r="CC45" s="759"/>
      <c r="CD45" s="758"/>
      <c r="CE45" s="758"/>
      <c r="CF45" s="758"/>
      <c r="CG45" s="758"/>
      <c r="CH45" s="759"/>
      <c r="CI45" s="758"/>
      <c r="CJ45" s="758"/>
      <c r="CK45" s="758"/>
      <c r="CL45" s="758"/>
      <c r="CM45" s="759"/>
    </row>
    <row r="46" spans="1:91" hidden="1" outlineLevel="2" x14ac:dyDescent="0.2">
      <c r="A46" s="769" t="s">
        <v>193</v>
      </c>
      <c r="B46" s="778"/>
      <c r="C46" s="778"/>
      <c r="D46" s="778"/>
      <c r="E46" s="778"/>
      <c r="F46" s="779"/>
      <c r="G46" s="778"/>
      <c r="H46" s="778"/>
      <c r="I46" s="778"/>
      <c r="J46" s="778"/>
      <c r="K46" s="779"/>
      <c r="L46" s="760">
        <v>0</v>
      </c>
      <c r="M46" s="760">
        <v>0</v>
      </c>
      <c r="N46" s="760">
        <v>0</v>
      </c>
      <c r="O46" s="758" t="s">
        <v>169</v>
      </c>
      <c r="P46" s="759">
        <v>0</v>
      </c>
      <c r="Q46" s="760">
        <v>0</v>
      </c>
      <c r="R46" s="760">
        <v>0</v>
      </c>
      <c r="S46" s="758"/>
      <c r="T46" s="758"/>
      <c r="U46" s="759"/>
      <c r="V46" s="758"/>
      <c r="W46" s="758"/>
      <c r="X46" s="758"/>
      <c r="Y46" s="758"/>
      <c r="Z46" s="759"/>
      <c r="AA46" s="758"/>
      <c r="AB46" s="758"/>
      <c r="AC46" s="758"/>
      <c r="AD46" s="758"/>
      <c r="AE46" s="759"/>
      <c r="AF46" s="758"/>
      <c r="AG46" s="758"/>
      <c r="AH46" s="758"/>
      <c r="AI46" s="758"/>
      <c r="AJ46" s="759"/>
      <c r="AK46" s="758"/>
      <c r="AL46" s="758"/>
      <c r="AM46" s="758"/>
      <c r="AN46" s="758"/>
      <c r="AO46" s="759"/>
      <c r="AP46" s="758"/>
      <c r="AQ46" s="758"/>
      <c r="AR46" s="758"/>
      <c r="AS46" s="758"/>
      <c r="AT46" s="759"/>
      <c r="AU46" s="758"/>
      <c r="AV46" s="758"/>
      <c r="AW46" s="758"/>
      <c r="AX46" s="758"/>
      <c r="AY46" s="759"/>
      <c r="AZ46" s="758"/>
      <c r="BA46" s="758"/>
      <c r="BB46" s="758"/>
      <c r="BC46" s="758"/>
      <c r="BD46" s="759"/>
      <c r="BE46" s="758"/>
      <c r="BF46" s="758"/>
      <c r="BG46" s="758"/>
      <c r="BH46" s="758"/>
      <c r="BI46" s="759"/>
      <c r="BJ46" s="758"/>
      <c r="BK46" s="758"/>
      <c r="BL46" s="758"/>
      <c r="BM46" s="758"/>
      <c r="BN46" s="759"/>
      <c r="BO46" s="758"/>
      <c r="BP46" s="758"/>
      <c r="BQ46" s="758"/>
      <c r="BR46" s="758"/>
      <c r="BS46" s="759"/>
      <c r="BT46" s="758"/>
      <c r="BU46" s="758"/>
      <c r="BV46" s="758"/>
      <c r="BW46" s="758"/>
      <c r="BX46" s="759"/>
      <c r="BY46" s="758"/>
      <c r="BZ46" s="758"/>
      <c r="CA46" s="758"/>
      <c r="CB46" s="758"/>
      <c r="CC46" s="759"/>
      <c r="CD46" s="758"/>
      <c r="CE46" s="758"/>
      <c r="CF46" s="758"/>
      <c r="CG46" s="758"/>
      <c r="CH46" s="759"/>
      <c r="CI46" s="758"/>
      <c r="CJ46" s="758"/>
      <c r="CK46" s="758"/>
      <c r="CL46" s="758"/>
      <c r="CM46" s="759"/>
    </row>
    <row r="47" spans="1:91" hidden="1" outlineLevel="2" x14ac:dyDescent="0.2">
      <c r="A47" s="770" t="s">
        <v>190</v>
      </c>
      <c r="B47" s="783"/>
      <c r="C47" s="783"/>
      <c r="D47" s="783"/>
      <c r="E47" s="783"/>
      <c r="F47" s="784"/>
      <c r="G47" s="783"/>
      <c r="H47" s="783"/>
      <c r="I47" s="783"/>
      <c r="J47" s="783"/>
      <c r="K47" s="784"/>
      <c r="L47" s="773">
        <v>0.12</v>
      </c>
      <c r="M47" s="773">
        <v>0.2</v>
      </c>
      <c r="N47" s="773">
        <v>0.08</v>
      </c>
      <c r="O47" s="773" t="s">
        <v>169</v>
      </c>
      <c r="P47" s="774">
        <v>0.16</v>
      </c>
      <c r="Q47" s="773">
        <v>0.01</v>
      </c>
      <c r="R47" s="773">
        <v>0.06</v>
      </c>
      <c r="S47" s="773"/>
      <c r="T47" s="773"/>
      <c r="U47" s="774"/>
      <c r="V47" s="773"/>
      <c r="W47" s="773"/>
      <c r="X47" s="773"/>
      <c r="Y47" s="773"/>
      <c r="Z47" s="774"/>
      <c r="AA47" s="773"/>
      <c r="AB47" s="773"/>
      <c r="AC47" s="773"/>
      <c r="AD47" s="773"/>
      <c r="AE47" s="774"/>
      <c r="AF47" s="773"/>
      <c r="AG47" s="773"/>
      <c r="AH47" s="773"/>
      <c r="AI47" s="773"/>
      <c r="AJ47" s="774"/>
      <c r="AK47" s="773"/>
      <c r="AL47" s="773"/>
      <c r="AM47" s="773"/>
      <c r="AN47" s="773"/>
      <c r="AO47" s="774"/>
      <c r="AP47" s="773"/>
      <c r="AQ47" s="773"/>
      <c r="AR47" s="773"/>
      <c r="AS47" s="773"/>
      <c r="AT47" s="774"/>
      <c r="AU47" s="773"/>
      <c r="AV47" s="773"/>
      <c r="AW47" s="773"/>
      <c r="AX47" s="773"/>
      <c r="AY47" s="774"/>
      <c r="AZ47" s="773"/>
      <c r="BA47" s="773"/>
      <c r="BB47" s="773"/>
      <c r="BC47" s="773"/>
      <c r="BD47" s="774"/>
      <c r="BE47" s="773"/>
      <c r="BF47" s="773"/>
      <c r="BG47" s="773"/>
      <c r="BH47" s="773"/>
      <c r="BI47" s="774"/>
      <c r="BJ47" s="773"/>
      <c r="BK47" s="773"/>
      <c r="BL47" s="773"/>
      <c r="BM47" s="773"/>
      <c r="BN47" s="774"/>
      <c r="BO47" s="773"/>
      <c r="BP47" s="773"/>
      <c r="BQ47" s="773"/>
      <c r="BR47" s="773"/>
      <c r="BS47" s="774"/>
      <c r="BT47" s="773"/>
      <c r="BU47" s="773"/>
      <c r="BV47" s="773"/>
      <c r="BW47" s="773"/>
      <c r="BX47" s="774"/>
      <c r="BY47" s="773"/>
      <c r="BZ47" s="773"/>
      <c r="CA47" s="773"/>
      <c r="CB47" s="773"/>
      <c r="CC47" s="774"/>
      <c r="CD47" s="773"/>
      <c r="CE47" s="773"/>
      <c r="CF47" s="773"/>
      <c r="CG47" s="773"/>
      <c r="CH47" s="774"/>
      <c r="CI47" s="773"/>
      <c r="CJ47" s="773"/>
      <c r="CK47" s="773"/>
      <c r="CL47" s="773"/>
      <c r="CM47" s="774"/>
    </row>
    <row r="48" spans="1:91" hidden="1" outlineLevel="2" x14ac:dyDescent="0.2">
      <c r="A48" s="777" t="s">
        <v>187</v>
      </c>
      <c r="B48" s="778"/>
      <c r="C48" s="778"/>
      <c r="D48" s="778"/>
      <c r="E48" s="778"/>
      <c r="F48" s="779"/>
      <c r="G48" s="778"/>
      <c r="H48" s="778"/>
      <c r="I48" s="778"/>
      <c r="J48" s="778"/>
      <c r="K48" s="779"/>
      <c r="L48" s="758"/>
      <c r="M48" s="758"/>
      <c r="N48" s="758"/>
      <c r="O48" s="758"/>
      <c r="P48" s="759"/>
      <c r="Q48" s="758"/>
      <c r="R48" s="758"/>
      <c r="S48" s="758"/>
      <c r="T48" s="758"/>
      <c r="U48" s="759"/>
      <c r="V48" s="758"/>
      <c r="W48" s="758"/>
      <c r="X48" s="758"/>
      <c r="Y48" s="758"/>
      <c r="Z48" s="759"/>
      <c r="AA48" s="758"/>
      <c r="AB48" s="758"/>
      <c r="AC48" s="758"/>
      <c r="AD48" s="758"/>
      <c r="AE48" s="759"/>
      <c r="AF48" s="758"/>
      <c r="AG48" s="758"/>
      <c r="AH48" s="758"/>
      <c r="AI48" s="758"/>
      <c r="AJ48" s="759"/>
      <c r="AK48" s="758"/>
      <c r="AL48" s="758"/>
      <c r="AM48" s="758"/>
      <c r="AN48" s="758"/>
      <c r="AO48" s="759"/>
      <c r="AP48" s="758"/>
      <c r="AQ48" s="758"/>
      <c r="AR48" s="758"/>
      <c r="AS48" s="758"/>
      <c r="AT48" s="759"/>
      <c r="AU48" s="758"/>
      <c r="AV48" s="758"/>
      <c r="AW48" s="758"/>
      <c r="AX48" s="758"/>
      <c r="AY48" s="759"/>
      <c r="AZ48" s="758"/>
      <c r="BA48" s="758"/>
      <c r="BB48" s="758"/>
      <c r="BC48" s="758"/>
      <c r="BD48" s="759"/>
      <c r="BE48" s="758"/>
      <c r="BF48" s="781"/>
      <c r="BG48" s="781"/>
      <c r="BH48" s="781"/>
      <c r="BI48" s="782"/>
      <c r="BJ48" s="781"/>
      <c r="BK48" s="781"/>
      <c r="BL48" s="781"/>
      <c r="BM48" s="781"/>
      <c r="BN48" s="782"/>
      <c r="BO48" s="781"/>
      <c r="BP48" s="781"/>
      <c r="BQ48" s="781"/>
      <c r="BR48" s="781"/>
      <c r="BS48" s="782"/>
      <c r="BT48" s="781"/>
      <c r="BU48" s="781"/>
      <c r="BV48" s="781"/>
      <c r="BW48" s="781"/>
      <c r="BX48" s="782"/>
      <c r="BY48" s="758"/>
      <c r="BZ48" s="758"/>
      <c r="CA48" s="758"/>
      <c r="CB48" s="758"/>
      <c r="CC48" s="759"/>
      <c r="CD48" s="758"/>
      <c r="CE48" s="758"/>
      <c r="CF48" s="758"/>
      <c r="CG48" s="758"/>
      <c r="CH48" s="759"/>
      <c r="CI48" s="758"/>
      <c r="CJ48" s="758"/>
      <c r="CK48" s="758"/>
      <c r="CL48" s="758"/>
      <c r="CM48" s="759"/>
    </row>
    <row r="49" spans="1:91" hidden="1" outlineLevel="2" x14ac:dyDescent="0.2">
      <c r="A49" s="751" t="s">
        <v>194</v>
      </c>
      <c r="B49" s="778"/>
      <c r="C49" s="778"/>
      <c r="D49" s="778"/>
      <c r="E49" s="778"/>
      <c r="F49" s="779"/>
      <c r="G49" s="778"/>
      <c r="H49" s="778"/>
      <c r="I49" s="778"/>
      <c r="J49" s="778"/>
      <c r="K49" s="779"/>
      <c r="L49" s="758"/>
      <c r="M49" s="758"/>
      <c r="N49" s="758"/>
      <c r="O49" s="758"/>
      <c r="P49" s="759"/>
      <c r="Q49" s="758"/>
      <c r="R49" s="758"/>
      <c r="S49" s="758"/>
      <c r="T49" s="758"/>
      <c r="U49" s="759"/>
      <c r="V49" s="758"/>
      <c r="W49" s="758"/>
      <c r="X49" s="758"/>
      <c r="Y49" s="758"/>
      <c r="Z49" s="759"/>
      <c r="AA49" s="758"/>
      <c r="AB49" s="758"/>
      <c r="AC49" s="758"/>
      <c r="AD49" s="758"/>
      <c r="AE49" s="759"/>
      <c r="AF49" s="758"/>
      <c r="AG49" s="758"/>
      <c r="AH49" s="758"/>
      <c r="AI49" s="758"/>
      <c r="AJ49" s="759"/>
      <c r="AK49" s="758"/>
      <c r="AL49" s="758"/>
      <c r="AM49" s="758"/>
      <c r="AN49" s="758"/>
      <c r="AO49" s="759"/>
      <c r="AP49" s="758"/>
      <c r="AQ49" s="758"/>
      <c r="AR49" s="758"/>
      <c r="AS49" s="758"/>
      <c r="AT49" s="759"/>
      <c r="AU49" s="758"/>
      <c r="AV49" s="758"/>
      <c r="AW49" s="758"/>
      <c r="AX49" s="758"/>
      <c r="AY49" s="759"/>
      <c r="AZ49" s="758"/>
      <c r="BA49" s="758"/>
      <c r="BB49" s="758"/>
      <c r="BC49" s="758"/>
      <c r="BD49" s="759"/>
      <c r="BE49" s="758"/>
      <c r="BF49" s="781"/>
      <c r="BG49" s="781"/>
      <c r="BH49" s="781"/>
      <c r="BI49" s="782"/>
      <c r="BJ49" s="781"/>
      <c r="BK49" s="781"/>
      <c r="BL49" s="781"/>
      <c r="BM49" s="781"/>
      <c r="BN49" s="782"/>
      <c r="BO49" s="781"/>
      <c r="BP49" s="781"/>
      <c r="BQ49" s="781"/>
      <c r="BR49" s="781"/>
      <c r="BS49" s="782"/>
      <c r="BT49" s="781"/>
      <c r="BU49" s="781"/>
      <c r="BV49" s="781"/>
      <c r="BW49" s="781"/>
      <c r="BX49" s="782"/>
      <c r="BY49" s="758"/>
      <c r="BZ49" s="758"/>
      <c r="CA49" s="758"/>
      <c r="CB49" s="758"/>
      <c r="CC49" s="759"/>
      <c r="CD49" s="758"/>
      <c r="CE49" s="758"/>
      <c r="CF49" s="758"/>
      <c r="CG49" s="758"/>
      <c r="CH49" s="759"/>
      <c r="CI49" s="758"/>
      <c r="CJ49" s="758"/>
      <c r="CK49" s="758"/>
      <c r="CL49" s="758"/>
      <c r="CM49" s="759"/>
    </row>
    <row r="50" spans="1:91" hidden="1" outlineLevel="2" x14ac:dyDescent="0.2">
      <c r="A50" s="751" t="s">
        <v>196</v>
      </c>
      <c r="B50" s="778"/>
      <c r="C50" s="778"/>
      <c r="D50" s="778"/>
      <c r="E50" s="778"/>
      <c r="F50" s="779"/>
      <c r="G50" s="778"/>
      <c r="H50" s="778"/>
      <c r="I50" s="778"/>
      <c r="J50" s="778"/>
      <c r="K50" s="779"/>
      <c r="L50" s="758"/>
      <c r="M50" s="758"/>
      <c r="N50" s="758"/>
      <c r="O50" s="758"/>
      <c r="P50" s="759"/>
      <c r="Q50" s="758"/>
      <c r="R50" s="758"/>
      <c r="S50" s="758"/>
      <c r="T50" s="758"/>
      <c r="U50" s="759"/>
      <c r="V50" s="758"/>
      <c r="W50" s="758"/>
      <c r="X50" s="758"/>
      <c r="Y50" s="758"/>
      <c r="Z50" s="759"/>
      <c r="AA50" s="758"/>
      <c r="AB50" s="758"/>
      <c r="AC50" s="758"/>
      <c r="AD50" s="758"/>
      <c r="AE50" s="759"/>
      <c r="AF50" s="758"/>
      <c r="AG50" s="758"/>
      <c r="AH50" s="758"/>
      <c r="AI50" s="758"/>
      <c r="AJ50" s="759"/>
      <c r="AK50" s="758"/>
      <c r="AL50" s="758"/>
      <c r="AM50" s="758"/>
      <c r="AN50" s="758"/>
      <c r="AO50" s="759"/>
      <c r="AP50" s="758"/>
      <c r="AQ50" s="758"/>
      <c r="AR50" s="758"/>
      <c r="AS50" s="758"/>
      <c r="AT50" s="759"/>
      <c r="AU50" s="758"/>
      <c r="AV50" s="758"/>
      <c r="AW50" s="758"/>
      <c r="AX50" s="758"/>
      <c r="AY50" s="759"/>
      <c r="AZ50" s="758"/>
      <c r="BA50" s="758"/>
      <c r="BB50" s="758"/>
      <c r="BC50" s="758"/>
      <c r="BD50" s="759"/>
      <c r="BE50" s="758"/>
      <c r="BF50" s="781"/>
      <c r="BG50" s="781"/>
      <c r="BH50" s="781"/>
      <c r="BI50" s="782"/>
      <c r="BJ50" s="781"/>
      <c r="BK50" s="781"/>
      <c r="BL50" s="781"/>
      <c r="BM50" s="781"/>
      <c r="BN50" s="782"/>
      <c r="BO50" s="781"/>
      <c r="BP50" s="781"/>
      <c r="BQ50" s="781"/>
      <c r="BR50" s="781"/>
      <c r="BS50" s="782"/>
      <c r="BT50" s="781"/>
      <c r="BU50" s="781"/>
      <c r="BV50" s="781"/>
      <c r="BW50" s="781"/>
      <c r="BX50" s="782"/>
      <c r="BY50" s="758"/>
      <c r="BZ50" s="758"/>
      <c r="CA50" s="758"/>
      <c r="CB50" s="758"/>
      <c r="CC50" s="759"/>
      <c r="CD50" s="758"/>
      <c r="CE50" s="758"/>
      <c r="CF50" s="758"/>
      <c r="CG50" s="758"/>
      <c r="CH50" s="759"/>
      <c r="CI50" s="758"/>
      <c r="CJ50" s="758"/>
      <c r="CK50" s="758"/>
      <c r="CL50" s="758"/>
      <c r="CM50" s="759"/>
    </row>
    <row r="51" spans="1:91" hidden="1" outlineLevel="2" x14ac:dyDescent="0.2">
      <c r="A51" s="751" t="s">
        <v>195</v>
      </c>
      <c r="B51" s="778"/>
      <c r="C51" s="778"/>
      <c r="D51" s="778"/>
      <c r="E51" s="778"/>
      <c r="F51" s="779"/>
      <c r="G51" s="780"/>
      <c r="H51" s="780"/>
      <c r="I51" s="780"/>
      <c r="J51" s="780"/>
      <c r="K51" s="779"/>
      <c r="L51" s="758"/>
      <c r="M51" s="758"/>
      <c r="N51" s="758"/>
      <c r="O51" s="758"/>
      <c r="P51" s="759"/>
      <c r="Q51" s="758"/>
      <c r="R51" s="758"/>
      <c r="S51" s="758"/>
      <c r="T51" s="758"/>
      <c r="U51" s="759"/>
      <c r="V51" s="758"/>
      <c r="W51" s="758"/>
      <c r="X51" s="758"/>
      <c r="Y51" s="758"/>
      <c r="Z51" s="759"/>
      <c r="AA51" s="758"/>
      <c r="AB51" s="758"/>
      <c r="AC51" s="758"/>
      <c r="AD51" s="758"/>
      <c r="AE51" s="759"/>
      <c r="AF51" s="758"/>
      <c r="AG51" s="758"/>
      <c r="AH51" s="758"/>
      <c r="AI51" s="758"/>
      <c r="AJ51" s="759"/>
      <c r="AK51" s="758"/>
      <c r="AL51" s="758"/>
      <c r="AM51" s="758"/>
      <c r="AN51" s="758"/>
      <c r="AO51" s="759"/>
      <c r="AP51" s="758"/>
      <c r="AQ51" s="758"/>
      <c r="AR51" s="758"/>
      <c r="AS51" s="758"/>
      <c r="AT51" s="759"/>
      <c r="AU51" s="758"/>
      <c r="AV51" s="758"/>
      <c r="AW51" s="758"/>
      <c r="AX51" s="758"/>
      <c r="AY51" s="759"/>
      <c r="AZ51" s="758"/>
      <c r="BA51" s="758"/>
      <c r="BB51" s="758"/>
      <c r="BC51" s="758"/>
      <c r="BD51" s="759"/>
      <c r="BE51" s="758"/>
      <c r="BF51" s="781"/>
      <c r="BG51" s="781"/>
      <c r="BH51" s="781"/>
      <c r="BI51" s="782"/>
      <c r="BJ51" s="781"/>
      <c r="BK51" s="781"/>
      <c r="BL51" s="781"/>
      <c r="BM51" s="781"/>
      <c r="BN51" s="782"/>
      <c r="BO51" s="781"/>
      <c r="BP51" s="781"/>
      <c r="BQ51" s="781"/>
      <c r="BR51" s="781"/>
      <c r="BS51" s="782"/>
      <c r="BT51" s="781"/>
      <c r="BU51" s="781"/>
      <c r="BV51" s="781"/>
      <c r="BW51" s="781"/>
      <c r="BX51" s="782"/>
      <c r="BY51" s="758"/>
      <c r="BZ51" s="758"/>
      <c r="CA51" s="758"/>
      <c r="CB51" s="758"/>
      <c r="CC51" s="759"/>
      <c r="CD51" s="758"/>
      <c r="CE51" s="758"/>
      <c r="CF51" s="758"/>
      <c r="CG51" s="758"/>
      <c r="CH51" s="759"/>
      <c r="CI51" s="758"/>
      <c r="CJ51" s="758"/>
      <c r="CK51" s="758"/>
      <c r="CL51" s="758"/>
      <c r="CM51" s="759"/>
    </row>
    <row r="52" spans="1:91" hidden="1" outlineLevel="2" x14ac:dyDescent="0.2">
      <c r="A52" s="761" t="s">
        <v>191</v>
      </c>
      <c r="B52" s="758">
        <v>0.04</v>
      </c>
      <c r="C52" s="758">
        <v>0.1</v>
      </c>
      <c r="D52" s="758">
        <v>0.17</v>
      </c>
      <c r="E52" s="758">
        <v>0.22</v>
      </c>
      <c r="F52" s="759">
        <v>0.13</v>
      </c>
      <c r="G52" s="758">
        <v>0.15</v>
      </c>
      <c r="H52" s="758">
        <v>0.11</v>
      </c>
      <c r="I52" s="758">
        <v>0.16</v>
      </c>
      <c r="J52" s="758">
        <v>0.14000000000000001</v>
      </c>
      <c r="K52" s="759">
        <v>0.14000000000000001</v>
      </c>
      <c r="L52" s="758">
        <v>0.16</v>
      </c>
      <c r="M52" s="758">
        <v>0.15</v>
      </c>
      <c r="N52" s="758">
        <v>0.17</v>
      </c>
      <c r="O52" s="758">
        <v>0.13</v>
      </c>
      <c r="P52" s="759">
        <v>0.16</v>
      </c>
      <c r="Q52" s="758">
        <v>0.13</v>
      </c>
      <c r="R52" s="758">
        <v>7.0000000000000007E-2</v>
      </c>
      <c r="S52" s="758"/>
      <c r="T52" s="758"/>
      <c r="U52" s="759"/>
      <c r="V52" s="758"/>
      <c r="W52" s="758"/>
      <c r="X52" s="758"/>
      <c r="Y52" s="758"/>
      <c r="Z52" s="759"/>
      <c r="AA52" s="758"/>
      <c r="AB52" s="758"/>
      <c r="AC52" s="758"/>
      <c r="AD52" s="758"/>
      <c r="AE52" s="759"/>
      <c r="AF52" s="758"/>
      <c r="AG52" s="758"/>
      <c r="AH52" s="758"/>
      <c r="AI52" s="758"/>
      <c r="AJ52" s="759"/>
      <c r="AK52" s="758"/>
      <c r="AL52" s="758"/>
      <c r="AM52" s="758"/>
      <c r="AN52" s="758"/>
      <c r="AO52" s="759"/>
      <c r="AP52" s="758"/>
      <c r="AQ52" s="758"/>
      <c r="AR52" s="758"/>
      <c r="AS52" s="758"/>
      <c r="AT52" s="759"/>
      <c r="AU52" s="758"/>
      <c r="AV52" s="758"/>
      <c r="AW52" s="758"/>
      <c r="AX52" s="758"/>
      <c r="AY52" s="759"/>
      <c r="AZ52" s="758"/>
      <c r="BA52" s="758"/>
      <c r="BB52" s="758"/>
      <c r="BC52" s="758"/>
      <c r="BD52" s="759"/>
      <c r="BE52" s="758"/>
      <c r="BF52" s="758"/>
      <c r="BG52" s="758"/>
      <c r="BH52" s="758"/>
      <c r="BI52" s="759"/>
      <c r="BJ52" s="758"/>
      <c r="BK52" s="758"/>
      <c r="BL52" s="758"/>
      <c r="BM52" s="758"/>
      <c r="BN52" s="759"/>
      <c r="BO52" s="758"/>
      <c r="BP52" s="758"/>
      <c r="BQ52" s="758"/>
      <c r="BR52" s="758"/>
      <c r="BS52" s="759"/>
      <c r="BT52" s="758"/>
      <c r="BU52" s="758"/>
      <c r="BV52" s="758"/>
      <c r="BW52" s="758"/>
      <c r="BX52" s="759"/>
      <c r="BY52" s="758"/>
      <c r="BZ52" s="758"/>
      <c r="CA52" s="758"/>
      <c r="CB52" s="758"/>
      <c r="CC52" s="759"/>
      <c r="CD52" s="758"/>
      <c r="CE52" s="758"/>
      <c r="CF52" s="758"/>
      <c r="CG52" s="758"/>
      <c r="CH52" s="759"/>
      <c r="CI52" s="758"/>
      <c r="CJ52" s="758"/>
      <c r="CK52" s="758"/>
      <c r="CL52" s="758"/>
      <c r="CM52" s="759"/>
    </row>
    <row r="53" spans="1:91" hidden="1" outlineLevel="2" x14ac:dyDescent="0.2">
      <c r="A53" s="751" t="s">
        <v>192</v>
      </c>
      <c r="B53" s="778"/>
      <c r="C53" s="778"/>
      <c r="D53" s="778"/>
      <c r="E53" s="778"/>
      <c r="F53" s="779"/>
      <c r="G53" s="758"/>
      <c r="H53" s="758"/>
      <c r="I53" s="758"/>
      <c r="J53" s="758"/>
      <c r="K53" s="779"/>
      <c r="L53" s="758">
        <v>0.2</v>
      </c>
      <c r="M53" s="758">
        <v>0.11</v>
      </c>
      <c r="N53" s="758">
        <v>0.2</v>
      </c>
      <c r="O53" s="758" t="s">
        <v>169</v>
      </c>
      <c r="P53" s="759">
        <v>0.15</v>
      </c>
      <c r="Q53" s="758">
        <v>0.14000000000000001</v>
      </c>
      <c r="R53" s="758">
        <v>0.13</v>
      </c>
      <c r="S53" s="758"/>
      <c r="T53" s="758"/>
      <c r="U53" s="759"/>
      <c r="V53" s="758"/>
      <c r="W53" s="758"/>
      <c r="X53" s="758"/>
      <c r="Y53" s="758"/>
      <c r="Z53" s="759"/>
      <c r="AA53" s="758"/>
      <c r="AB53" s="758"/>
      <c r="AC53" s="758"/>
      <c r="AD53" s="758"/>
      <c r="AE53" s="759"/>
      <c r="AF53" s="758"/>
      <c r="AG53" s="758"/>
      <c r="AH53" s="758"/>
      <c r="AI53" s="758"/>
      <c r="AJ53" s="759"/>
      <c r="AK53" s="758"/>
      <c r="AL53" s="758"/>
      <c r="AM53" s="758"/>
      <c r="AN53" s="758"/>
      <c r="AO53" s="759"/>
      <c r="AP53" s="758"/>
      <c r="AQ53" s="758"/>
      <c r="AR53" s="758"/>
      <c r="AS53" s="758"/>
      <c r="AT53" s="759"/>
      <c r="AU53" s="758"/>
      <c r="AV53" s="758"/>
      <c r="AW53" s="758"/>
      <c r="AX53" s="758"/>
      <c r="AY53" s="759"/>
      <c r="AZ53" s="758"/>
      <c r="BA53" s="758"/>
      <c r="BB53" s="758"/>
      <c r="BC53" s="758"/>
      <c r="BD53" s="759"/>
      <c r="BE53" s="758"/>
      <c r="BF53" s="758"/>
      <c r="BG53" s="758"/>
      <c r="BH53" s="758"/>
      <c r="BI53" s="759"/>
      <c r="BJ53" s="758"/>
      <c r="BK53" s="758"/>
      <c r="BL53" s="758"/>
      <c r="BM53" s="758"/>
      <c r="BN53" s="759"/>
      <c r="BO53" s="758"/>
      <c r="BP53" s="758"/>
      <c r="BQ53" s="758"/>
      <c r="BR53" s="758"/>
      <c r="BS53" s="759"/>
      <c r="BT53" s="758"/>
      <c r="BU53" s="758"/>
      <c r="BV53" s="758"/>
      <c r="BW53" s="758"/>
      <c r="BX53" s="759"/>
      <c r="BY53" s="758"/>
      <c r="BZ53" s="758"/>
      <c r="CA53" s="758"/>
      <c r="CB53" s="758"/>
      <c r="CC53" s="759"/>
      <c r="CD53" s="758"/>
      <c r="CE53" s="758"/>
      <c r="CF53" s="758"/>
      <c r="CG53" s="758"/>
      <c r="CH53" s="759"/>
      <c r="CI53" s="758"/>
      <c r="CJ53" s="758"/>
      <c r="CK53" s="758"/>
      <c r="CL53" s="758"/>
      <c r="CM53" s="759"/>
    </row>
    <row r="54" spans="1:91" hidden="1" outlineLevel="2" x14ac:dyDescent="0.2">
      <c r="A54" s="761" t="s">
        <v>188</v>
      </c>
      <c r="B54" s="778"/>
      <c r="C54" s="778"/>
      <c r="D54" s="778"/>
      <c r="E54" s="778"/>
      <c r="F54" s="779"/>
      <c r="G54" s="760"/>
      <c r="H54" s="760"/>
      <c r="I54" s="760"/>
      <c r="J54" s="760"/>
      <c r="K54" s="779"/>
      <c r="L54" s="760">
        <f>L57-L53-L55-L56</f>
        <v>1.999999999999998E-2</v>
      </c>
      <c r="M54" s="760">
        <v>0.03</v>
      </c>
      <c r="N54" s="760">
        <v>0.02</v>
      </c>
      <c r="O54" s="758" t="s">
        <v>169</v>
      </c>
      <c r="P54" s="762">
        <v>0.04</v>
      </c>
      <c r="Q54" s="760">
        <f>Q57-Q56-Q55-Q53</f>
        <v>0.17999999999999994</v>
      </c>
      <c r="R54" s="760">
        <f>R57-R56-R55-R53</f>
        <v>7.9999999999999988E-2</v>
      </c>
      <c r="S54" s="758"/>
      <c r="T54" s="758"/>
      <c r="U54" s="759"/>
      <c r="V54" s="758"/>
      <c r="W54" s="758"/>
      <c r="X54" s="758"/>
      <c r="Y54" s="758"/>
      <c r="Z54" s="759"/>
      <c r="AA54" s="758"/>
      <c r="AB54" s="758"/>
      <c r="AC54" s="758"/>
      <c r="AD54" s="758"/>
      <c r="AE54" s="759"/>
      <c r="AF54" s="758"/>
      <c r="AG54" s="758"/>
      <c r="AH54" s="758"/>
      <c r="AI54" s="758"/>
      <c r="AJ54" s="759"/>
      <c r="AK54" s="758"/>
      <c r="AL54" s="758"/>
      <c r="AM54" s="758"/>
      <c r="AN54" s="758"/>
      <c r="AO54" s="759"/>
      <c r="AP54" s="758"/>
      <c r="AQ54" s="758"/>
      <c r="AR54" s="758"/>
      <c r="AS54" s="758"/>
      <c r="AT54" s="759"/>
      <c r="AU54" s="758"/>
      <c r="AV54" s="758"/>
      <c r="AW54" s="758"/>
      <c r="AX54" s="758"/>
      <c r="AY54" s="759"/>
      <c r="AZ54" s="758"/>
      <c r="BA54" s="758"/>
      <c r="BB54" s="758"/>
      <c r="BC54" s="758"/>
      <c r="BD54" s="759"/>
      <c r="BE54" s="758"/>
      <c r="BF54" s="758"/>
      <c r="BG54" s="758"/>
      <c r="BH54" s="758"/>
      <c r="BI54" s="759"/>
      <c r="BJ54" s="758"/>
      <c r="BK54" s="758"/>
      <c r="BL54" s="758"/>
      <c r="BM54" s="758"/>
      <c r="BN54" s="759"/>
      <c r="BO54" s="758"/>
      <c r="BP54" s="758"/>
      <c r="BQ54" s="758"/>
      <c r="BR54" s="758"/>
      <c r="BS54" s="759"/>
      <c r="BT54" s="758"/>
      <c r="BU54" s="758"/>
      <c r="BV54" s="758"/>
      <c r="BW54" s="758"/>
      <c r="BX54" s="759"/>
      <c r="BY54" s="758"/>
      <c r="BZ54" s="758"/>
      <c r="CA54" s="758"/>
      <c r="CB54" s="758"/>
      <c r="CC54" s="759"/>
      <c r="CD54" s="758"/>
      <c r="CE54" s="758"/>
      <c r="CF54" s="758"/>
      <c r="CG54" s="758"/>
      <c r="CH54" s="759"/>
      <c r="CI54" s="758"/>
      <c r="CJ54" s="758"/>
      <c r="CK54" s="758"/>
      <c r="CL54" s="758"/>
      <c r="CM54" s="759"/>
    </row>
    <row r="55" spans="1:91" hidden="1" outlineLevel="2" x14ac:dyDescent="0.2">
      <c r="A55" s="761" t="s">
        <v>189</v>
      </c>
      <c r="B55" s="778"/>
      <c r="C55" s="778"/>
      <c r="D55" s="778"/>
      <c r="E55" s="778"/>
      <c r="F55" s="779"/>
      <c r="G55" s="760"/>
      <c r="H55" s="760"/>
      <c r="I55" s="760"/>
      <c r="J55" s="760"/>
      <c r="K55" s="779"/>
      <c r="L55" s="760">
        <v>0.02</v>
      </c>
      <c r="M55" s="760">
        <f>M57-M53-M54-M56</f>
        <v>3.0000000000000013E-2</v>
      </c>
      <c r="N55" s="760">
        <f>N57-N54-N53-N56</f>
        <v>1.999999999999999E-2</v>
      </c>
      <c r="O55" s="758" t="s">
        <v>169</v>
      </c>
      <c r="P55" s="762">
        <f>P57-P56-P54-P53</f>
        <v>4.9999999999999989E-2</v>
      </c>
      <c r="Q55" s="760">
        <v>0.17</v>
      </c>
      <c r="R55" s="760">
        <v>0.09</v>
      </c>
      <c r="S55" s="758"/>
      <c r="T55" s="758"/>
      <c r="U55" s="759"/>
      <c r="V55" s="758"/>
      <c r="W55" s="758"/>
      <c r="X55" s="758"/>
      <c r="Y55" s="758"/>
      <c r="Z55" s="759"/>
      <c r="AA55" s="758"/>
      <c r="AB55" s="758"/>
      <c r="AC55" s="758"/>
      <c r="AD55" s="758"/>
      <c r="AE55" s="759"/>
      <c r="AF55" s="758"/>
      <c r="AG55" s="758"/>
      <c r="AH55" s="758"/>
      <c r="AI55" s="758"/>
      <c r="AJ55" s="759"/>
      <c r="AK55" s="758"/>
      <c r="AL55" s="758"/>
      <c r="AM55" s="758"/>
      <c r="AN55" s="758"/>
      <c r="AO55" s="759"/>
      <c r="AP55" s="758"/>
      <c r="AQ55" s="758"/>
      <c r="AR55" s="758"/>
      <c r="AS55" s="758"/>
      <c r="AT55" s="759"/>
      <c r="AU55" s="758"/>
      <c r="AV55" s="758"/>
      <c r="AW55" s="758"/>
      <c r="AX55" s="758"/>
      <c r="AY55" s="759"/>
      <c r="AZ55" s="758"/>
      <c r="BA55" s="758"/>
      <c r="BB55" s="758"/>
      <c r="BC55" s="758"/>
      <c r="BD55" s="759"/>
      <c r="BE55" s="758"/>
      <c r="BF55" s="758"/>
      <c r="BG55" s="758"/>
      <c r="BH55" s="758"/>
      <c r="BI55" s="759"/>
      <c r="BJ55" s="758"/>
      <c r="BK55" s="758"/>
      <c r="BL55" s="758"/>
      <c r="BM55" s="758"/>
      <c r="BN55" s="759"/>
      <c r="BO55" s="758"/>
      <c r="BP55" s="758"/>
      <c r="BQ55" s="758"/>
      <c r="BR55" s="758"/>
      <c r="BS55" s="759"/>
      <c r="BT55" s="758"/>
      <c r="BU55" s="758"/>
      <c r="BV55" s="758"/>
      <c r="BW55" s="758"/>
      <c r="BX55" s="759"/>
      <c r="BY55" s="758"/>
      <c r="BZ55" s="758"/>
      <c r="CA55" s="758"/>
      <c r="CB55" s="758"/>
      <c r="CC55" s="759"/>
      <c r="CD55" s="758"/>
      <c r="CE55" s="758"/>
      <c r="CF55" s="758"/>
      <c r="CG55" s="758"/>
      <c r="CH55" s="759"/>
      <c r="CI55" s="758"/>
      <c r="CJ55" s="758"/>
      <c r="CK55" s="758"/>
      <c r="CL55" s="758"/>
      <c r="CM55" s="759"/>
    </row>
    <row r="56" spans="1:91" hidden="1" outlineLevel="2" x14ac:dyDescent="0.2">
      <c r="A56" s="769" t="s">
        <v>193</v>
      </c>
      <c r="B56" s="778"/>
      <c r="C56" s="778"/>
      <c r="D56" s="778"/>
      <c r="E56" s="778"/>
      <c r="F56" s="779"/>
      <c r="G56" s="760"/>
      <c r="H56" s="760"/>
      <c r="I56" s="760"/>
      <c r="J56" s="760"/>
      <c r="K56" s="779"/>
      <c r="L56" s="760">
        <v>0</v>
      </c>
      <c r="M56" s="760">
        <v>0</v>
      </c>
      <c r="N56" s="760">
        <v>0</v>
      </c>
      <c r="O56" s="758" t="s">
        <v>169</v>
      </c>
      <c r="P56" s="759">
        <v>0</v>
      </c>
      <c r="Q56" s="760">
        <v>0</v>
      </c>
      <c r="R56" s="760">
        <v>0</v>
      </c>
      <c r="S56" s="758"/>
      <c r="T56" s="758"/>
      <c r="U56" s="759"/>
      <c r="V56" s="758"/>
      <c r="W56" s="758"/>
      <c r="X56" s="758"/>
      <c r="Y56" s="758"/>
      <c r="Z56" s="759"/>
      <c r="AA56" s="758"/>
      <c r="AB56" s="758"/>
      <c r="AC56" s="758"/>
      <c r="AD56" s="758"/>
      <c r="AE56" s="759"/>
      <c r="AF56" s="758"/>
      <c r="AG56" s="758"/>
      <c r="AH56" s="758"/>
      <c r="AI56" s="758"/>
      <c r="AJ56" s="759"/>
      <c r="AK56" s="758"/>
      <c r="AL56" s="758"/>
      <c r="AM56" s="758"/>
      <c r="AN56" s="758"/>
      <c r="AO56" s="759"/>
      <c r="AP56" s="758"/>
      <c r="AQ56" s="758"/>
      <c r="AR56" s="758"/>
      <c r="AS56" s="758"/>
      <c r="AT56" s="759"/>
      <c r="AU56" s="758"/>
      <c r="AV56" s="758"/>
      <c r="AW56" s="758"/>
      <c r="AX56" s="758"/>
      <c r="AY56" s="759"/>
      <c r="AZ56" s="758"/>
      <c r="BA56" s="758"/>
      <c r="BB56" s="758"/>
      <c r="BC56" s="758"/>
      <c r="BD56" s="759"/>
      <c r="BE56" s="758"/>
      <c r="BF56" s="758"/>
      <c r="BG56" s="758"/>
      <c r="BH56" s="758"/>
      <c r="BI56" s="759"/>
      <c r="BJ56" s="758"/>
      <c r="BK56" s="758"/>
      <c r="BL56" s="758"/>
      <c r="BM56" s="758"/>
      <c r="BN56" s="759"/>
      <c r="BO56" s="758"/>
      <c r="BP56" s="758"/>
      <c r="BQ56" s="758"/>
      <c r="BR56" s="758"/>
      <c r="BS56" s="759"/>
      <c r="BT56" s="758"/>
      <c r="BU56" s="758"/>
      <c r="BV56" s="758"/>
      <c r="BW56" s="758"/>
      <c r="BX56" s="759"/>
      <c r="BY56" s="758"/>
      <c r="BZ56" s="758"/>
      <c r="CA56" s="758"/>
      <c r="CB56" s="758"/>
      <c r="CC56" s="759"/>
      <c r="CD56" s="758"/>
      <c r="CE56" s="758"/>
      <c r="CF56" s="758"/>
      <c r="CG56" s="758"/>
      <c r="CH56" s="759"/>
      <c r="CI56" s="758"/>
      <c r="CJ56" s="758"/>
      <c r="CK56" s="758"/>
      <c r="CL56" s="758"/>
      <c r="CM56" s="759"/>
    </row>
    <row r="57" spans="1:91" hidden="1" outlineLevel="2" x14ac:dyDescent="0.2">
      <c r="A57" s="770" t="s">
        <v>190</v>
      </c>
      <c r="B57" s="783"/>
      <c r="C57" s="783"/>
      <c r="D57" s="783"/>
      <c r="E57" s="783"/>
      <c r="F57" s="784"/>
      <c r="G57" s="773"/>
      <c r="H57" s="773"/>
      <c r="I57" s="773"/>
      <c r="J57" s="773"/>
      <c r="K57" s="784"/>
      <c r="L57" s="773">
        <v>0.24</v>
      </c>
      <c r="M57" s="773">
        <v>0.17</v>
      </c>
      <c r="N57" s="773">
        <v>0.24</v>
      </c>
      <c r="O57" s="773" t="s">
        <v>169</v>
      </c>
      <c r="P57" s="774">
        <v>0.24</v>
      </c>
      <c r="Q57" s="773">
        <v>0.49</v>
      </c>
      <c r="R57" s="773">
        <v>0.3</v>
      </c>
      <c r="S57" s="773"/>
      <c r="T57" s="773"/>
      <c r="U57" s="774"/>
      <c r="V57" s="773"/>
      <c r="W57" s="773"/>
      <c r="X57" s="773"/>
      <c r="Y57" s="773"/>
      <c r="Z57" s="774"/>
      <c r="AA57" s="773"/>
      <c r="AB57" s="773"/>
      <c r="AC57" s="773"/>
      <c r="AD57" s="773"/>
      <c r="AE57" s="774"/>
      <c r="AF57" s="773"/>
      <c r="AG57" s="773"/>
      <c r="AH57" s="773"/>
      <c r="AI57" s="773"/>
      <c r="AJ57" s="774"/>
      <c r="AK57" s="773"/>
      <c r="AL57" s="773"/>
      <c r="AM57" s="773"/>
      <c r="AN57" s="773"/>
      <c r="AO57" s="774"/>
      <c r="AP57" s="773"/>
      <c r="AQ57" s="773"/>
      <c r="AR57" s="773"/>
      <c r="AS57" s="773"/>
      <c r="AT57" s="774"/>
      <c r="AU57" s="773"/>
      <c r="AV57" s="773"/>
      <c r="AW57" s="773"/>
      <c r="AX57" s="773"/>
      <c r="AY57" s="774"/>
      <c r="AZ57" s="773"/>
      <c r="BA57" s="773"/>
      <c r="BB57" s="773"/>
      <c r="BC57" s="773"/>
      <c r="BD57" s="774"/>
      <c r="BE57" s="773"/>
      <c r="BF57" s="773"/>
      <c r="BG57" s="773"/>
      <c r="BH57" s="773"/>
      <c r="BI57" s="774"/>
      <c r="BJ57" s="773"/>
      <c r="BK57" s="773"/>
      <c r="BL57" s="773"/>
      <c r="BM57" s="773"/>
      <c r="BN57" s="774"/>
      <c r="BO57" s="773"/>
      <c r="BP57" s="773"/>
      <c r="BQ57" s="773"/>
      <c r="BR57" s="773"/>
      <c r="BS57" s="774"/>
      <c r="BT57" s="773"/>
      <c r="BU57" s="773"/>
      <c r="BV57" s="773"/>
      <c r="BW57" s="773"/>
      <c r="BX57" s="774"/>
      <c r="BY57" s="773"/>
      <c r="BZ57" s="773"/>
      <c r="CA57" s="773"/>
      <c r="CB57" s="773"/>
      <c r="CC57" s="774"/>
      <c r="CD57" s="773"/>
      <c r="CE57" s="773"/>
      <c r="CF57" s="773"/>
      <c r="CG57" s="773"/>
      <c r="CH57" s="774"/>
      <c r="CI57" s="773"/>
      <c r="CJ57" s="773"/>
      <c r="CK57" s="773"/>
      <c r="CL57" s="773"/>
      <c r="CM57" s="774"/>
    </row>
    <row r="58" spans="1:91" ht="13.5" hidden="1" customHeight="1" outlineLevel="1" collapsed="1" x14ac:dyDescent="0.2">
      <c r="A58" s="769"/>
      <c r="B58" s="778"/>
      <c r="C58" s="778"/>
      <c r="D58" s="778"/>
      <c r="E58" s="778"/>
      <c r="F58" s="779"/>
      <c r="G58" s="778"/>
      <c r="H58" s="778"/>
      <c r="I58" s="778"/>
      <c r="J58" s="778"/>
      <c r="K58" s="779"/>
      <c r="L58" s="780"/>
      <c r="M58" s="780"/>
      <c r="N58" s="780"/>
      <c r="O58" s="780"/>
      <c r="P58" s="779"/>
      <c r="Q58" s="785"/>
      <c r="R58" s="785"/>
      <c r="S58" s="785"/>
      <c r="T58" s="785"/>
      <c r="U58" s="786"/>
      <c r="V58" s="785"/>
      <c r="W58" s="785"/>
      <c r="X58" s="785"/>
      <c r="Y58" s="785"/>
      <c r="Z58" s="786"/>
      <c r="AA58" s="787">
        <f>AA65+AA63</f>
        <v>0.02</v>
      </c>
      <c r="AB58" s="787">
        <f>AVERAGE(AB64,W64)</f>
        <v>-1.4999999999999999E-2</v>
      </c>
      <c r="AC58" s="787">
        <f>AVERAGE(AC64,X64)</f>
        <v>0</v>
      </c>
      <c r="AD58" s="787">
        <f>AVERAGE(AD64,Y64)</f>
        <v>-5.000000000000001E-3</v>
      </c>
      <c r="AE58" s="786"/>
      <c r="AF58" s="787"/>
      <c r="AG58" s="787"/>
      <c r="AH58" s="787"/>
      <c r="AI58" s="787"/>
      <c r="AJ58" s="786"/>
      <c r="AK58" s="787"/>
      <c r="AL58" s="787"/>
      <c r="AM58" s="787"/>
      <c r="AN58" s="787"/>
      <c r="AO58" s="786"/>
      <c r="AP58" s="787"/>
      <c r="AQ58" s="787"/>
      <c r="AR58" s="787"/>
      <c r="AS58" s="787"/>
      <c r="AT58" s="786"/>
      <c r="AU58" s="787"/>
      <c r="AV58" s="787"/>
      <c r="AW58" s="787"/>
      <c r="AX58" s="787"/>
      <c r="AY58" s="786"/>
      <c r="AZ58" s="787"/>
      <c r="BA58" s="787"/>
      <c r="BB58" s="787"/>
      <c r="BC58" s="787"/>
      <c r="BD58" s="786"/>
      <c r="BE58" s="787"/>
      <c r="BF58" s="787"/>
      <c r="BG58" s="787"/>
      <c r="BH58" s="787"/>
      <c r="BI58" s="786"/>
      <c r="BJ58" s="787"/>
      <c r="BK58" s="787"/>
      <c r="BL58" s="787"/>
      <c r="BM58" s="787"/>
      <c r="BN58" s="786"/>
      <c r="BO58" s="788"/>
      <c r="BP58" s="788"/>
      <c r="BQ58" s="788"/>
      <c r="BR58" s="788"/>
      <c r="BS58" s="789"/>
      <c r="BT58" s="758"/>
      <c r="BU58" s="758"/>
      <c r="BV58" s="758"/>
      <c r="BW58" s="758"/>
      <c r="BX58" s="759"/>
      <c r="BY58" s="758"/>
      <c r="BZ58" s="758"/>
      <c r="CA58" s="758"/>
      <c r="CB58" s="758"/>
      <c r="CC58" s="759"/>
      <c r="CD58" s="758"/>
      <c r="CE58" s="758"/>
      <c r="CF58" s="758"/>
      <c r="CG58" s="758"/>
      <c r="CH58" s="759"/>
      <c r="CI58" s="758"/>
      <c r="CJ58" s="758"/>
      <c r="CK58" s="758"/>
      <c r="CL58" s="758"/>
      <c r="CM58" s="759"/>
    </row>
    <row r="59" spans="1:91" hidden="1" outlineLevel="1" x14ac:dyDescent="0.2">
      <c r="A59" s="790" t="s">
        <v>183</v>
      </c>
      <c r="B59" s="749">
        <v>1099</v>
      </c>
      <c r="C59" s="749">
        <v>1432</v>
      </c>
      <c r="D59" s="749">
        <v>1314</v>
      </c>
      <c r="E59" s="749">
        <v>1066</v>
      </c>
      <c r="F59" s="750">
        <f>SUM(B59:E59)</f>
        <v>4911</v>
      </c>
      <c r="G59" s="749">
        <v>912</v>
      </c>
      <c r="H59" s="749">
        <v>1327</v>
      </c>
      <c r="I59" s="749">
        <v>1292</v>
      </c>
      <c r="J59" s="749">
        <v>1046</v>
      </c>
      <c r="K59" s="750">
        <f>SUM(G59:J59)</f>
        <v>4577</v>
      </c>
      <c r="L59" s="749">
        <v>1153</v>
      </c>
      <c r="M59" s="749">
        <v>1541</v>
      </c>
      <c r="N59" s="749">
        <v>1384</v>
      </c>
      <c r="O59" s="749">
        <v>1214</v>
      </c>
      <c r="P59" s="750">
        <f>SUM(L59:O59)</f>
        <v>5292</v>
      </c>
      <c r="Q59" s="749">
        <v>1354</v>
      </c>
      <c r="R59" s="749">
        <v>1743</v>
      </c>
      <c r="S59" s="749">
        <v>1529</v>
      </c>
      <c r="T59" s="749">
        <v>1175</v>
      </c>
      <c r="U59" s="750">
        <f>SUM(Q59:T59)</f>
        <v>5801</v>
      </c>
      <c r="V59" s="749">
        <v>1180</v>
      </c>
      <c r="W59" s="749">
        <v>1453</v>
      </c>
      <c r="X59" s="749">
        <v>1380</v>
      </c>
      <c r="Y59" s="749">
        <v>1190</v>
      </c>
      <c r="Z59" s="750">
        <f>SUM(V59:Y59)</f>
        <v>5203</v>
      </c>
      <c r="AA59" s="749">
        <v>1262</v>
      </c>
      <c r="AB59" s="749">
        <v>1486</v>
      </c>
      <c r="AC59" s="749">
        <v>1338</v>
      </c>
      <c r="AD59" s="749">
        <v>1163</v>
      </c>
      <c r="AE59" s="750">
        <f>SUM(AA59:AD59)</f>
        <v>5249</v>
      </c>
      <c r="AF59" s="749">
        <v>1224</v>
      </c>
      <c r="AG59" s="749">
        <v>1639</v>
      </c>
      <c r="AH59" s="749">
        <v>1399</v>
      </c>
      <c r="AI59" s="749">
        <v>1212</v>
      </c>
      <c r="AJ59" s="750">
        <f>SUM(AF59:AI59)</f>
        <v>5474</v>
      </c>
      <c r="AK59" s="749">
        <v>1204</v>
      </c>
      <c r="AL59" s="749">
        <v>1487</v>
      </c>
      <c r="AM59" s="749">
        <v>1289</v>
      </c>
      <c r="AN59" s="749">
        <v>1143</v>
      </c>
      <c r="AO59" s="750">
        <f>SUM(AK59:AN59)</f>
        <v>5123</v>
      </c>
      <c r="AP59" s="749">
        <v>1177</v>
      </c>
      <c r="AQ59" s="749">
        <v>1468</v>
      </c>
      <c r="AR59" s="749">
        <v>1420</v>
      </c>
      <c r="AS59" s="749">
        <v>1269</v>
      </c>
      <c r="AT59" s="750">
        <f>SUM(AP59:AS59)</f>
        <v>5334</v>
      </c>
      <c r="AU59" s="749">
        <v>1293</v>
      </c>
      <c r="AV59" s="749">
        <v>1569</v>
      </c>
      <c r="AW59" s="749">
        <v>1429</v>
      </c>
      <c r="AX59" s="749">
        <v>1245</v>
      </c>
      <c r="AY59" s="750">
        <f>SUM(AU59:AX59)</f>
        <v>5536</v>
      </c>
      <c r="AZ59" s="749">
        <v>1212</v>
      </c>
      <c r="BA59" s="749">
        <v>1435</v>
      </c>
      <c r="BB59" s="749">
        <v>1330</v>
      </c>
      <c r="BC59" s="749">
        <v>1151</v>
      </c>
      <c r="BD59" s="750">
        <f>SUM(AZ59:BC59)</f>
        <v>5128</v>
      </c>
      <c r="BE59" s="749">
        <v>1204</v>
      </c>
      <c r="BF59" s="749">
        <v>1410</v>
      </c>
      <c r="BG59" s="749">
        <f>BB59*(1+BG68)</f>
        <v>1363.6037251968785</v>
      </c>
      <c r="BH59" s="749">
        <f>BC59*(1+BH68)</f>
        <v>1192.2643804825402</v>
      </c>
      <c r="BI59" s="750">
        <f>SUM(BE59:BH59)</f>
        <v>5169.8681056794185</v>
      </c>
      <c r="BJ59" s="749">
        <f>BE59*(1+BJ68)</f>
        <v>1199.7784549066137</v>
      </c>
      <c r="BK59" s="749">
        <f>BF59*(1+BK68)</f>
        <v>1404.3474284333736</v>
      </c>
      <c r="BL59" s="749">
        <f>BG59*(1+BL68)</f>
        <v>1369.7442730736511</v>
      </c>
      <c r="BM59" s="749">
        <f>BH59*(1+BM68)</f>
        <v>1226.8932146059099</v>
      </c>
      <c r="BN59" s="750">
        <f>SUM(BJ59:BM59)</f>
        <v>5200.7633710195478</v>
      </c>
      <c r="BO59" s="749">
        <f>BJ59*(1+BO68)</f>
        <v>1248.6701990573408</v>
      </c>
      <c r="BP59" s="749">
        <f>BK59*(1+BP68)</f>
        <v>1457.5421614110523</v>
      </c>
      <c r="BQ59" s="749">
        <f>BL59*(1+BQ68)</f>
        <v>1391.6969201061793</v>
      </c>
      <c r="BR59" s="749">
        <f>BM59*(1+BR68)</f>
        <v>1250.9273241910432</v>
      </c>
      <c r="BS59" s="750">
        <f>SUM(BO59:BR59)</f>
        <v>5348.8366047656154</v>
      </c>
      <c r="BT59" s="749">
        <f>BO59*(1+BT68)</f>
        <v>1274.659624623064</v>
      </c>
      <c r="BU59" s="749">
        <f>BP59*(1+BU68)</f>
        <v>1493.9807154463285</v>
      </c>
      <c r="BV59" s="749">
        <f>BQ59*(1+BV68)</f>
        <v>1426.4893431088337</v>
      </c>
      <c r="BW59" s="749">
        <f>BR59*(1+BW68)</f>
        <v>1282.2005072958193</v>
      </c>
      <c r="BX59" s="750">
        <f>SUM(BT59:BW59)</f>
        <v>5477.3301904740456</v>
      </c>
      <c r="BY59" s="749">
        <f>BT59*(1+BY68)</f>
        <v>1306.5261152386406</v>
      </c>
      <c r="BZ59" s="749">
        <f>BU59*(1+BZ68)</f>
        <v>1531.3302333324866</v>
      </c>
      <c r="CA59" s="749">
        <f>BV59*(1+CA68)</f>
        <v>1462.1515766865546</v>
      </c>
      <c r="CB59" s="749">
        <f>BW59*(1+CB68)</f>
        <v>1314.2555199782146</v>
      </c>
      <c r="CC59" s="750">
        <f>SUM(BY59:CB59)</f>
        <v>5614.2634452358961</v>
      </c>
      <c r="CD59" s="749">
        <f>BY59*(1+CD68)</f>
        <v>1339.1892681196066</v>
      </c>
      <c r="CE59" s="749">
        <f>BZ59*(1+CE68)</f>
        <v>1569.6134891657987</v>
      </c>
      <c r="CF59" s="749">
        <f>CA59*(1+CF68)</f>
        <v>1498.7053661037182</v>
      </c>
      <c r="CG59" s="749">
        <f>CB59*(1+CG68)</f>
        <v>1347.1119079776697</v>
      </c>
      <c r="CH59" s="750">
        <f>SUM(CD59:CG59)</f>
        <v>5754.6200313667932</v>
      </c>
      <c r="CI59" s="749">
        <f>CD59*(1+CI68)</f>
        <v>1372.6689998225966</v>
      </c>
      <c r="CJ59" s="749">
        <f>CE59*(1+CJ68)</f>
        <v>1608.8538263949436</v>
      </c>
      <c r="CK59" s="749">
        <f>CF59*(1+CK68)</f>
        <v>1536.1730002563111</v>
      </c>
      <c r="CL59" s="749">
        <f>CG59*(1+CL68)</f>
        <v>1380.7897056771114</v>
      </c>
      <c r="CM59" s="750">
        <f>SUM(CI59:CL59)</f>
        <v>5898.4855321509631</v>
      </c>
    </row>
    <row r="60" spans="1:91" hidden="1" outlineLevel="1" x14ac:dyDescent="0.2">
      <c r="A60" s="751" t="s">
        <v>194</v>
      </c>
      <c r="B60" s="752" t="s">
        <v>169</v>
      </c>
      <c r="C60" s="752" t="s">
        <v>169</v>
      </c>
      <c r="D60" s="752" t="s">
        <v>169</v>
      </c>
      <c r="E60" s="752" t="s">
        <v>169</v>
      </c>
      <c r="F60" s="753" t="s">
        <v>169</v>
      </c>
      <c r="G60" s="752" t="s">
        <v>169</v>
      </c>
      <c r="H60" s="752" t="s">
        <v>169</v>
      </c>
      <c r="I60" s="752" t="s">
        <v>169</v>
      </c>
      <c r="J60" s="752" t="s">
        <v>169</v>
      </c>
      <c r="K60" s="753" t="s">
        <v>169</v>
      </c>
      <c r="L60" s="754">
        <f>-205+20</f>
        <v>-185</v>
      </c>
      <c r="M60" s="754">
        <f>-258+30</f>
        <v>-228</v>
      </c>
      <c r="N60" s="754">
        <f>-280+30</f>
        <v>-250</v>
      </c>
      <c r="O60" s="754">
        <v>-230</v>
      </c>
      <c r="P60" s="755">
        <v>-845</v>
      </c>
      <c r="Q60" s="756">
        <v>-231</v>
      </c>
      <c r="R60" s="756">
        <v>-299</v>
      </c>
      <c r="S60" s="756">
        <v>-280</v>
      </c>
      <c r="T60" s="756">
        <v>-206</v>
      </c>
      <c r="U60" s="757">
        <f>SUM(Q60:T60)</f>
        <v>-1016</v>
      </c>
      <c r="V60" s="756">
        <v>-200</v>
      </c>
      <c r="W60" s="756">
        <v>-242</v>
      </c>
      <c r="X60" s="756">
        <v>-243</v>
      </c>
      <c r="Y60" s="756">
        <v>-210</v>
      </c>
      <c r="Z60" s="757">
        <f>SUM(V60:Y60)</f>
        <v>-895</v>
      </c>
      <c r="AA60" s="756">
        <v>-228</v>
      </c>
      <c r="AB60" s="756">
        <v>-227</v>
      </c>
      <c r="AC60" s="756">
        <v>-231</v>
      </c>
      <c r="AD60" s="756">
        <v>-139</v>
      </c>
      <c r="AE60" s="757">
        <f>SUM(AA60:AD60)</f>
        <v>-825</v>
      </c>
      <c r="AF60" s="756">
        <v>-152</v>
      </c>
      <c r="AG60" s="756">
        <v>-193</v>
      </c>
      <c r="AH60" s="756">
        <v>-192</v>
      </c>
      <c r="AI60" s="756">
        <v>-160</v>
      </c>
      <c r="AJ60" s="757">
        <f>SUM(AF60:AI60)</f>
        <v>-697</v>
      </c>
      <c r="AK60" s="756">
        <v>-150</v>
      </c>
      <c r="AL60" s="756">
        <v>-173</v>
      </c>
      <c r="AM60" s="756">
        <v>-165</v>
      </c>
      <c r="AN60" s="756">
        <v>-154</v>
      </c>
      <c r="AO60" s="757">
        <f>SUM(AK60:AN60)</f>
        <v>-642</v>
      </c>
      <c r="AP60" s="756">
        <v>-157</v>
      </c>
      <c r="AQ60" s="756">
        <v>-175</v>
      </c>
      <c r="AR60" s="756">
        <v>-188</v>
      </c>
      <c r="AS60" s="756">
        <v>-169</v>
      </c>
      <c r="AT60" s="757">
        <f>SUM(AP60:AS60)</f>
        <v>-689</v>
      </c>
      <c r="AU60" s="756">
        <v>-159</v>
      </c>
      <c r="AV60" s="756">
        <v>-184</v>
      </c>
      <c r="AW60" s="756">
        <v>-187</v>
      </c>
      <c r="AX60" s="756">
        <v>-162</v>
      </c>
      <c r="AY60" s="757">
        <f>SUM(AU60:AX60)</f>
        <v>-692</v>
      </c>
      <c r="AZ60" s="756">
        <v>-144</v>
      </c>
      <c r="BA60" s="756">
        <v>-151</v>
      </c>
      <c r="BB60" s="756">
        <v>-154</v>
      </c>
      <c r="BC60" s="756">
        <v>-136</v>
      </c>
      <c r="BD60" s="757">
        <f>SUM(AZ60:BC60)</f>
        <v>-585</v>
      </c>
      <c r="BE60" s="756">
        <v>-135</v>
      </c>
      <c r="BF60" s="756">
        <v>-112</v>
      </c>
      <c r="BG60" s="756">
        <f>-BG61*BG59</f>
        <v>-34.090093129921961</v>
      </c>
      <c r="BH60" s="756">
        <f>-BH61*BH59</f>
        <v>-29.806609512063506</v>
      </c>
      <c r="BI60" s="757">
        <f>SUM(BE60:BH60)</f>
        <v>-310.89670264198548</v>
      </c>
      <c r="BJ60" s="756">
        <f>-BJ61*BJ59</f>
        <v>-29.994461372665342</v>
      </c>
      <c r="BK60" s="756">
        <f>-BK61*BK59</f>
        <v>-35.108685710834344</v>
      </c>
      <c r="BL60" s="756">
        <f>-BL61*BL59</f>
        <v>-34.24360682684128</v>
      </c>
      <c r="BM60" s="756">
        <f>-BM61*BM59</f>
        <v>-30.672330365147747</v>
      </c>
      <c r="BN60" s="757">
        <f>SUM(BJ60:BM60)</f>
        <v>-130.01908427548872</v>
      </c>
      <c r="BO60" s="756">
        <f>-BO61*BO59</f>
        <v>-31.216754976433521</v>
      </c>
      <c r="BP60" s="756">
        <f>-BP61*BP59</f>
        <v>-36.438554035276312</v>
      </c>
      <c r="BQ60" s="756">
        <f>-BQ61*BQ59</f>
        <v>-34.792423002654481</v>
      </c>
      <c r="BR60" s="756">
        <f>-BR61*BR59</f>
        <v>-31.273183104776081</v>
      </c>
      <c r="BS60" s="757">
        <f>SUM(BO60:BR60)</f>
        <v>-133.72091511914039</v>
      </c>
      <c r="BT60" s="756">
        <f>-BT61*BT59</f>
        <v>-31.866490615576602</v>
      </c>
      <c r="BU60" s="756">
        <f>-BU61*BU59</f>
        <v>-37.349517886158218</v>
      </c>
      <c r="BV60" s="756">
        <f>-BV61*BV59</f>
        <v>-35.662233577720848</v>
      </c>
      <c r="BW60" s="756">
        <f>-BW61*BW59</f>
        <v>-32.055012682395486</v>
      </c>
      <c r="BX60" s="757">
        <f>SUM(BT60:BW60)</f>
        <v>-136.93325476185117</v>
      </c>
      <c r="BY60" s="756">
        <f>-BY61*BY59</f>
        <v>-32.663152880966017</v>
      </c>
      <c r="BZ60" s="756">
        <f>-BZ61*BZ59</f>
        <v>-38.283255833312168</v>
      </c>
      <c r="CA60" s="756">
        <f>-CA61*CA59</f>
        <v>-36.553789417163863</v>
      </c>
      <c r="CB60" s="756">
        <f>-CB61*CB59</f>
        <v>-32.856387999455364</v>
      </c>
      <c r="CC60" s="757">
        <f>SUM(BY60:CB60)</f>
        <v>-140.35658613089743</v>
      </c>
      <c r="CD60" s="756">
        <f>-CD61*CD59</f>
        <v>-33.479731702990165</v>
      </c>
      <c r="CE60" s="756">
        <f>-CE61*CE59</f>
        <v>-39.24033722914497</v>
      </c>
      <c r="CF60" s="756">
        <f>-CF61*CF59</f>
        <v>-37.467634152592957</v>
      </c>
      <c r="CG60" s="756">
        <f>-CG61*CG59</f>
        <v>-33.677797699441747</v>
      </c>
      <c r="CH60" s="757">
        <f>SUM(CD60:CG60)</f>
        <v>-143.86550078416985</v>
      </c>
      <c r="CI60" s="756">
        <f>-CI61*CI59</f>
        <v>-34.316724995564918</v>
      </c>
      <c r="CJ60" s="756">
        <f>-CJ61*CJ59</f>
        <v>-40.221345659873592</v>
      </c>
      <c r="CK60" s="756">
        <f>-CK61*CK59</f>
        <v>-38.404325006407781</v>
      </c>
      <c r="CL60" s="756">
        <f>-CL61*CL59</f>
        <v>-34.519742641927785</v>
      </c>
      <c r="CM60" s="757">
        <f>SUM(CI60:CL60)</f>
        <v>-147.46213830377408</v>
      </c>
    </row>
    <row r="61" spans="1:91" hidden="1" outlineLevel="2" x14ac:dyDescent="0.2">
      <c r="A61" s="751" t="s">
        <v>196</v>
      </c>
      <c r="B61" s="752" t="s">
        <v>169</v>
      </c>
      <c r="C61" s="752" t="s">
        <v>169</v>
      </c>
      <c r="D61" s="752" t="s">
        <v>169</v>
      </c>
      <c r="E61" s="752" t="s">
        <v>169</v>
      </c>
      <c r="F61" s="753" t="s">
        <v>169</v>
      </c>
      <c r="G61" s="752" t="s">
        <v>169</v>
      </c>
      <c r="H61" s="752" t="s">
        <v>169</v>
      </c>
      <c r="I61" s="752" t="s">
        <v>169</v>
      </c>
      <c r="J61" s="752" t="s">
        <v>169</v>
      </c>
      <c r="K61" s="753" t="s">
        <v>169</v>
      </c>
      <c r="L61" s="758">
        <f t="shared" ref="L61:AP61" si="105">-L60/L59</f>
        <v>0.16045099739809193</v>
      </c>
      <c r="M61" s="758">
        <f t="shared" si="105"/>
        <v>0.14795587280986372</v>
      </c>
      <c r="N61" s="758">
        <f t="shared" si="105"/>
        <v>0.18063583815028902</v>
      </c>
      <c r="O61" s="758">
        <f t="shared" si="105"/>
        <v>0.18945634266886327</v>
      </c>
      <c r="P61" s="759">
        <f t="shared" si="105"/>
        <v>0.15967498110355252</v>
      </c>
      <c r="Q61" s="758">
        <f t="shared" si="105"/>
        <v>0.17060561299852289</v>
      </c>
      <c r="R61" s="758">
        <f t="shared" si="105"/>
        <v>0.17154331612162937</v>
      </c>
      <c r="S61" s="758">
        <f t="shared" si="105"/>
        <v>0.18312622629169392</v>
      </c>
      <c r="T61" s="758">
        <f t="shared" si="105"/>
        <v>0.1753191489361702</v>
      </c>
      <c r="U61" s="759">
        <f t="shared" si="105"/>
        <v>0.1751422168591622</v>
      </c>
      <c r="V61" s="758">
        <f t="shared" si="105"/>
        <v>0.16949152542372881</v>
      </c>
      <c r="W61" s="758">
        <f t="shared" si="105"/>
        <v>0.16655196145905024</v>
      </c>
      <c r="X61" s="758">
        <f t="shared" si="105"/>
        <v>0.17608695652173914</v>
      </c>
      <c r="Y61" s="758">
        <f t="shared" si="105"/>
        <v>0.17647058823529413</v>
      </c>
      <c r="Z61" s="759">
        <f t="shared" si="105"/>
        <v>0.17201614453200076</v>
      </c>
      <c r="AA61" s="758">
        <f t="shared" si="105"/>
        <v>0.18066561014263074</v>
      </c>
      <c r="AB61" s="758">
        <f t="shared" si="105"/>
        <v>0.15275908479138628</v>
      </c>
      <c r="AC61" s="758">
        <f t="shared" si="105"/>
        <v>0.1726457399103139</v>
      </c>
      <c r="AD61" s="758">
        <f t="shared" si="105"/>
        <v>0.11951848667239896</v>
      </c>
      <c r="AE61" s="759">
        <f>-AE60/AE59</f>
        <v>0.1571727948180606</v>
      </c>
      <c r="AF61" s="758">
        <f t="shared" si="105"/>
        <v>0.12418300653594772</v>
      </c>
      <c r="AG61" s="758">
        <f t="shared" si="105"/>
        <v>0.11775472849298353</v>
      </c>
      <c r="AH61" s="758">
        <f t="shared" si="105"/>
        <v>0.13724088634739098</v>
      </c>
      <c r="AI61" s="758">
        <f t="shared" si="105"/>
        <v>0.132013201320132</v>
      </c>
      <c r="AJ61" s="759">
        <f>-AJ60/AJ59</f>
        <v>0.12732919254658384</v>
      </c>
      <c r="AK61" s="758">
        <f t="shared" si="105"/>
        <v>0.12458471760797342</v>
      </c>
      <c r="AL61" s="758">
        <f t="shared" si="105"/>
        <v>0.11634162743779422</v>
      </c>
      <c r="AM61" s="758">
        <f t="shared" si="105"/>
        <v>0.12800620636152055</v>
      </c>
      <c r="AN61" s="758">
        <f t="shared" si="105"/>
        <v>0.13473315835520561</v>
      </c>
      <c r="AO61" s="759">
        <f>-AO60/AO59</f>
        <v>0.12531719695490923</v>
      </c>
      <c r="AP61" s="758">
        <f t="shared" si="105"/>
        <v>0.13338997451146983</v>
      </c>
      <c r="AQ61" s="758">
        <f t="shared" ref="AQ61:AZ61" si="106">-AQ60/AQ59</f>
        <v>0.11920980926430517</v>
      </c>
      <c r="AR61" s="758">
        <f t="shared" si="106"/>
        <v>0.13239436619718309</v>
      </c>
      <c r="AS61" s="758">
        <f t="shared" si="106"/>
        <v>0.13317572892040977</v>
      </c>
      <c r="AT61" s="759">
        <f t="shared" si="106"/>
        <v>0.12917135358080239</v>
      </c>
      <c r="AU61" s="758">
        <f t="shared" si="106"/>
        <v>0.12296983758700696</v>
      </c>
      <c r="AV61" s="758">
        <f t="shared" si="106"/>
        <v>0.11727214786488209</v>
      </c>
      <c r="AW61" s="758">
        <f t="shared" si="106"/>
        <v>0.13086074177746676</v>
      </c>
      <c r="AX61" s="758">
        <f t="shared" si="106"/>
        <v>0.13012048192771083</v>
      </c>
      <c r="AY61" s="759">
        <f>-AY60/AY59</f>
        <v>0.125</v>
      </c>
      <c r="AZ61" s="758">
        <f t="shared" si="106"/>
        <v>0.11881188118811881</v>
      </c>
      <c r="BA61" s="758">
        <f t="shared" ref="BA61:BF61" si="107">-BA60/BA59</f>
        <v>0.10522648083623694</v>
      </c>
      <c r="BB61" s="758">
        <f t="shared" si="107"/>
        <v>0.11578947368421053</v>
      </c>
      <c r="BC61" s="758">
        <f t="shared" si="107"/>
        <v>0.11815812337098175</v>
      </c>
      <c r="BD61" s="759">
        <f t="shared" si="107"/>
        <v>0.11407956318252731</v>
      </c>
      <c r="BE61" s="758">
        <f t="shared" si="107"/>
        <v>0.11212624584717608</v>
      </c>
      <c r="BF61" s="758">
        <f t="shared" si="107"/>
        <v>7.9432624113475181E-2</v>
      </c>
      <c r="BG61" s="760">
        <v>2.5000000000000001E-2</v>
      </c>
      <c r="BH61" s="760">
        <v>2.5000000000000001E-2</v>
      </c>
      <c r="BI61" s="759">
        <f>-BI60/BI59</f>
        <v>6.0136292896997956E-2</v>
      </c>
      <c r="BJ61" s="760">
        <v>2.5000000000000001E-2</v>
      </c>
      <c r="BK61" s="760">
        <v>2.5000000000000001E-2</v>
      </c>
      <c r="BL61" s="760">
        <f>BG61</f>
        <v>2.5000000000000001E-2</v>
      </c>
      <c r="BM61" s="760">
        <f>BH61</f>
        <v>2.5000000000000001E-2</v>
      </c>
      <c r="BN61" s="759">
        <f>-BN60/BN59</f>
        <v>2.5000000000000005E-2</v>
      </c>
      <c r="BO61" s="760">
        <f>BJ61</f>
        <v>2.5000000000000001E-2</v>
      </c>
      <c r="BP61" s="760">
        <f>BK61</f>
        <v>2.5000000000000001E-2</v>
      </c>
      <c r="BQ61" s="760">
        <f>BL61</f>
        <v>2.5000000000000001E-2</v>
      </c>
      <c r="BR61" s="760">
        <f>BM61</f>
        <v>2.5000000000000001E-2</v>
      </c>
      <c r="BS61" s="759">
        <f>-BS60/BS59</f>
        <v>2.5000000000000001E-2</v>
      </c>
      <c r="BT61" s="760">
        <f>BO61</f>
        <v>2.5000000000000001E-2</v>
      </c>
      <c r="BU61" s="760">
        <f>BP61</f>
        <v>2.5000000000000001E-2</v>
      </c>
      <c r="BV61" s="760">
        <f>BQ61</f>
        <v>2.5000000000000001E-2</v>
      </c>
      <c r="BW61" s="760">
        <f>BR61</f>
        <v>2.5000000000000001E-2</v>
      </c>
      <c r="BX61" s="759">
        <f>-BX60/BX59</f>
        <v>2.5000000000000005E-2</v>
      </c>
      <c r="BY61" s="760">
        <f>BT61</f>
        <v>2.5000000000000001E-2</v>
      </c>
      <c r="BZ61" s="760">
        <f>BU61</f>
        <v>2.5000000000000001E-2</v>
      </c>
      <c r="CA61" s="760">
        <f>BV61</f>
        <v>2.5000000000000001E-2</v>
      </c>
      <c r="CB61" s="760">
        <f>BW61</f>
        <v>2.5000000000000001E-2</v>
      </c>
      <c r="CC61" s="759">
        <f>-CC60/CC59</f>
        <v>2.5000000000000005E-2</v>
      </c>
      <c r="CD61" s="760">
        <f>BY61</f>
        <v>2.5000000000000001E-2</v>
      </c>
      <c r="CE61" s="760">
        <f>BZ61</f>
        <v>2.5000000000000001E-2</v>
      </c>
      <c r="CF61" s="760">
        <f>CA61</f>
        <v>2.5000000000000001E-2</v>
      </c>
      <c r="CG61" s="760">
        <f>CB61</f>
        <v>2.5000000000000001E-2</v>
      </c>
      <c r="CH61" s="759">
        <f>-CH60/CH59</f>
        <v>2.5000000000000005E-2</v>
      </c>
      <c r="CI61" s="760">
        <f>CD61</f>
        <v>2.5000000000000001E-2</v>
      </c>
      <c r="CJ61" s="760">
        <f>CE61</f>
        <v>2.5000000000000001E-2</v>
      </c>
      <c r="CK61" s="760">
        <f>CF61</f>
        <v>2.5000000000000001E-2</v>
      </c>
      <c r="CL61" s="760">
        <f>CG61</f>
        <v>2.5000000000000001E-2</v>
      </c>
      <c r="CM61" s="759">
        <f>-CM60/CM59</f>
        <v>2.5000000000000001E-2</v>
      </c>
    </row>
    <row r="62" spans="1:91" hidden="1" outlineLevel="1" collapsed="1" x14ac:dyDescent="0.2">
      <c r="A62" s="748" t="s">
        <v>198</v>
      </c>
      <c r="B62" s="752">
        <f t="shared" ref="B62:K62" si="108">B59</f>
        <v>1099</v>
      </c>
      <c r="C62" s="752">
        <f t="shared" si="108"/>
        <v>1432</v>
      </c>
      <c r="D62" s="752">
        <f t="shared" si="108"/>
        <v>1314</v>
      </c>
      <c r="E62" s="752">
        <f t="shared" si="108"/>
        <v>1066</v>
      </c>
      <c r="F62" s="750">
        <f t="shared" si="108"/>
        <v>4911</v>
      </c>
      <c r="G62" s="752">
        <f t="shared" si="108"/>
        <v>912</v>
      </c>
      <c r="H62" s="752">
        <f t="shared" si="108"/>
        <v>1327</v>
      </c>
      <c r="I62" s="752">
        <f t="shared" si="108"/>
        <v>1292</v>
      </c>
      <c r="J62" s="752">
        <f t="shared" si="108"/>
        <v>1046</v>
      </c>
      <c r="K62" s="750">
        <f t="shared" si="108"/>
        <v>4577</v>
      </c>
      <c r="L62" s="749">
        <f>SUM(L59,L60)</f>
        <v>968</v>
      </c>
      <c r="M62" s="749">
        <f>SUM(M59,M60)</f>
        <v>1313</v>
      </c>
      <c r="N62" s="749">
        <f>SUM(N59,N60)</f>
        <v>1134</v>
      </c>
      <c r="O62" s="749">
        <f>SUM(O59,O60)</f>
        <v>984</v>
      </c>
      <c r="P62" s="750">
        <f>SUM(P59,P60)</f>
        <v>4447</v>
      </c>
      <c r="Q62" s="749">
        <f t="shared" ref="Q62:AD62" si="109">SUM(Q59,Q60)</f>
        <v>1123</v>
      </c>
      <c r="R62" s="749">
        <f t="shared" si="109"/>
        <v>1444</v>
      </c>
      <c r="S62" s="749">
        <f t="shared" si="109"/>
        <v>1249</v>
      </c>
      <c r="T62" s="749">
        <f t="shared" si="109"/>
        <v>969</v>
      </c>
      <c r="U62" s="750">
        <f t="shared" si="109"/>
        <v>4785</v>
      </c>
      <c r="V62" s="749">
        <f t="shared" si="109"/>
        <v>980</v>
      </c>
      <c r="W62" s="749">
        <f t="shared" si="109"/>
        <v>1211</v>
      </c>
      <c r="X62" s="749">
        <f t="shared" si="109"/>
        <v>1137</v>
      </c>
      <c r="Y62" s="749">
        <f t="shared" si="109"/>
        <v>980</v>
      </c>
      <c r="Z62" s="750">
        <f t="shared" si="109"/>
        <v>4308</v>
      </c>
      <c r="AA62" s="749">
        <f t="shared" si="109"/>
        <v>1034</v>
      </c>
      <c r="AB62" s="749">
        <f t="shared" si="109"/>
        <v>1259</v>
      </c>
      <c r="AC62" s="749">
        <f t="shared" si="109"/>
        <v>1107</v>
      </c>
      <c r="AD62" s="749">
        <f t="shared" si="109"/>
        <v>1024</v>
      </c>
      <c r="AE62" s="750">
        <f>SUM(AA62:AD62)</f>
        <v>4424</v>
      </c>
      <c r="AF62" s="749">
        <f>SUM(AF59,AF60)</f>
        <v>1072</v>
      </c>
      <c r="AG62" s="749">
        <f>SUM(AG59,AG60)</f>
        <v>1446</v>
      </c>
      <c r="AH62" s="749">
        <f>SUM(AH59,AH60)</f>
        <v>1207</v>
      </c>
      <c r="AI62" s="749">
        <f>SUM(AI59,AI60)</f>
        <v>1052</v>
      </c>
      <c r="AJ62" s="750">
        <f>SUM(AF62:AI62)</f>
        <v>4777</v>
      </c>
      <c r="AK62" s="749">
        <f>SUM(AK59,AK60)</f>
        <v>1054</v>
      </c>
      <c r="AL62" s="749">
        <f>SUM(AL59,AL60)</f>
        <v>1314</v>
      </c>
      <c r="AM62" s="749">
        <f>SUM(AM59,AM60)</f>
        <v>1124</v>
      </c>
      <c r="AN62" s="749">
        <f>SUM(AN59,AN60)</f>
        <v>989</v>
      </c>
      <c r="AO62" s="750">
        <f>SUM(AK62:AN62)</f>
        <v>4481</v>
      </c>
      <c r="AP62" s="749">
        <f>SUM(AP59,AP60)</f>
        <v>1020</v>
      </c>
      <c r="AQ62" s="749">
        <f>SUM(AQ59,AQ60)</f>
        <v>1293</v>
      </c>
      <c r="AR62" s="749">
        <f>SUM(AR59,AR60)</f>
        <v>1232</v>
      </c>
      <c r="AS62" s="749">
        <f>SUM(AS59,AS60)</f>
        <v>1100</v>
      </c>
      <c r="AT62" s="750">
        <f>SUM(AP62:AS62)</f>
        <v>4645</v>
      </c>
      <c r="AU62" s="749">
        <f>SUM(AU59,AU60)</f>
        <v>1134</v>
      </c>
      <c r="AV62" s="749">
        <f>SUM(AV59,AV60)</f>
        <v>1385</v>
      </c>
      <c r="AW62" s="749">
        <f>SUM(AW59,AW60)</f>
        <v>1242</v>
      </c>
      <c r="AX62" s="749">
        <f>SUM(AX59,AX60)</f>
        <v>1083</v>
      </c>
      <c r="AY62" s="750">
        <f>SUM(AU62:AX62)</f>
        <v>4844</v>
      </c>
      <c r="AZ62" s="749">
        <f>SUM(AZ59,AZ60)</f>
        <v>1068</v>
      </c>
      <c r="BA62" s="749">
        <f>SUM(BA59,BA60)</f>
        <v>1284</v>
      </c>
      <c r="BB62" s="749">
        <f>SUM(BB59,BB60)</f>
        <v>1176</v>
      </c>
      <c r="BC62" s="749">
        <f>SUM(BC59,BC60)</f>
        <v>1015</v>
      </c>
      <c r="BD62" s="750">
        <f>SUM(AZ62:BC62)</f>
        <v>4543</v>
      </c>
      <c r="BE62" s="749">
        <f>SUM(BE59,BE60)</f>
        <v>1069</v>
      </c>
      <c r="BF62" s="749">
        <f>SUM(BF59,BF60)</f>
        <v>1298</v>
      </c>
      <c r="BG62" s="749">
        <f>SUM(BG59,BG60)</f>
        <v>1329.5136320669565</v>
      </c>
      <c r="BH62" s="749">
        <f>SUM(BH59,BH60)</f>
        <v>1162.4577709704768</v>
      </c>
      <c r="BI62" s="750">
        <f>SUM(BE62:BH62)</f>
        <v>4858.9714030374325</v>
      </c>
      <c r="BJ62" s="749">
        <f>SUM(BJ59,BJ60)</f>
        <v>1169.7839935339484</v>
      </c>
      <c r="BK62" s="749">
        <f>SUM(BK59,BK60)</f>
        <v>1369.2387427225392</v>
      </c>
      <c r="BL62" s="749">
        <f>SUM(BL59,BL60)</f>
        <v>1335.5006662468099</v>
      </c>
      <c r="BM62" s="749">
        <f>SUM(BM59,BM60)</f>
        <v>1196.2208842407622</v>
      </c>
      <c r="BN62" s="750">
        <f>SUM(BJ62:BM62)</f>
        <v>5070.7442867440595</v>
      </c>
      <c r="BO62" s="749">
        <f>SUM(BO59,BO60)</f>
        <v>1217.4534440809073</v>
      </c>
      <c r="BP62" s="749">
        <f>SUM(BP59,BP60)</f>
        <v>1421.1036073757759</v>
      </c>
      <c r="BQ62" s="749">
        <f>SUM(BQ59,BQ60)</f>
        <v>1356.9044971035248</v>
      </c>
      <c r="BR62" s="749">
        <f>SUM(BR59,BR60)</f>
        <v>1219.6541410862671</v>
      </c>
      <c r="BS62" s="750">
        <f>SUM(BO62:BR62)</f>
        <v>5215.1156896464754</v>
      </c>
      <c r="BT62" s="749">
        <f>SUM(BT59,BT60)</f>
        <v>1242.7931340074874</v>
      </c>
      <c r="BU62" s="749">
        <f>SUM(BU59,BU60)</f>
        <v>1456.6311975601702</v>
      </c>
      <c r="BV62" s="749">
        <f>SUM(BV59,BV60)</f>
        <v>1390.8271095311129</v>
      </c>
      <c r="BW62" s="749">
        <f>SUM(BW59,BW60)</f>
        <v>1250.1454946134238</v>
      </c>
      <c r="BX62" s="750">
        <f>SUM(BT62:BW62)</f>
        <v>5340.3969357121941</v>
      </c>
      <c r="BY62" s="749">
        <f>SUM(BY59,BY60)</f>
        <v>1273.8629623576746</v>
      </c>
      <c r="BZ62" s="749">
        <f>SUM(BZ59,BZ60)</f>
        <v>1493.0469774991745</v>
      </c>
      <c r="CA62" s="749">
        <f>SUM(CA59,CA60)</f>
        <v>1425.5977872693907</v>
      </c>
      <c r="CB62" s="749">
        <f>SUM(CB59,CB60)</f>
        <v>1281.3991319787592</v>
      </c>
      <c r="CC62" s="750">
        <f>SUM(BY62:CB62)</f>
        <v>5473.9068591049991</v>
      </c>
      <c r="CD62" s="749">
        <f>SUM(CD59,CD60)</f>
        <v>1305.7095364166164</v>
      </c>
      <c r="CE62" s="749">
        <f>SUM(CE59,CE60)</f>
        <v>1530.3731519366538</v>
      </c>
      <c r="CF62" s="749">
        <f>SUM(CF59,CF60)</f>
        <v>1461.2377319511252</v>
      </c>
      <c r="CG62" s="749">
        <f>SUM(CG59,CG60)</f>
        <v>1313.434110278228</v>
      </c>
      <c r="CH62" s="750">
        <f>SUM(CD62:CG62)</f>
        <v>5610.7545305826234</v>
      </c>
      <c r="CI62" s="749">
        <f>SUM(CI59,CI60)</f>
        <v>1338.3522748270316</v>
      </c>
      <c r="CJ62" s="749">
        <f>SUM(CJ59,CJ60)</f>
        <v>1568.63248073507</v>
      </c>
      <c r="CK62" s="749">
        <f>SUM(CK59,CK60)</f>
        <v>1497.7686752499033</v>
      </c>
      <c r="CL62" s="749">
        <f>SUM(CL59,CL60)</f>
        <v>1346.2699630351838</v>
      </c>
      <c r="CM62" s="750">
        <f>SUM(CI62:CL62)</f>
        <v>5751.0233938471883</v>
      </c>
    </row>
    <row r="63" spans="1:91" hidden="1" outlineLevel="1" x14ac:dyDescent="0.2">
      <c r="A63" s="761" t="s">
        <v>191</v>
      </c>
      <c r="B63" s="758">
        <v>-0.04</v>
      </c>
      <c r="C63" s="758">
        <v>0.04</v>
      </c>
      <c r="D63" s="758">
        <v>0.01</v>
      </c>
      <c r="E63" s="758">
        <v>-0.01</v>
      </c>
      <c r="F63" s="759">
        <v>0</v>
      </c>
      <c r="G63" s="758">
        <v>0.03</v>
      </c>
      <c r="H63" s="758">
        <v>0.04</v>
      </c>
      <c r="I63" s="758">
        <v>0.1</v>
      </c>
      <c r="J63" s="758">
        <v>0.08</v>
      </c>
      <c r="K63" s="759">
        <v>7.0000000000000007E-2</v>
      </c>
      <c r="L63" s="758">
        <v>0.12</v>
      </c>
      <c r="M63" s="758">
        <v>0.05</v>
      </c>
      <c r="N63" s="758">
        <v>-0.02</v>
      </c>
      <c r="O63" s="758">
        <v>0.03</v>
      </c>
      <c r="P63" s="759">
        <v>0.05</v>
      </c>
      <c r="Q63" s="758">
        <v>0.04</v>
      </c>
      <c r="R63" s="758">
        <v>0</v>
      </c>
      <c r="S63" s="758">
        <v>0.03</v>
      </c>
      <c r="T63" s="758">
        <v>0.02</v>
      </c>
      <c r="U63" s="759">
        <v>0.03</v>
      </c>
      <c r="V63" s="758">
        <v>-0.02</v>
      </c>
      <c r="W63" s="758">
        <v>0.01</v>
      </c>
      <c r="X63" s="758">
        <v>-0.02</v>
      </c>
      <c r="Y63" s="758">
        <v>0.01</v>
      </c>
      <c r="Z63" s="759">
        <v>-0.01</v>
      </c>
      <c r="AA63" s="758">
        <v>0</v>
      </c>
      <c r="AB63" s="758">
        <v>-0.01</v>
      </c>
      <c r="AC63" s="758">
        <v>0</v>
      </c>
      <c r="AD63" s="758">
        <v>0.02</v>
      </c>
      <c r="AE63" s="759">
        <v>0</v>
      </c>
      <c r="AF63" s="758">
        <v>0.01</v>
      </c>
      <c r="AG63" s="758">
        <v>0.05</v>
      </c>
      <c r="AH63" s="758">
        <v>0</v>
      </c>
      <c r="AI63" s="758">
        <v>0.01</v>
      </c>
      <c r="AJ63" s="759">
        <v>0.02</v>
      </c>
      <c r="AK63" s="758">
        <v>0.01</v>
      </c>
      <c r="AL63" s="758">
        <v>-0.04</v>
      </c>
      <c r="AM63" s="758">
        <v>0.01</v>
      </c>
      <c r="AN63" s="758">
        <v>-0.05</v>
      </c>
      <c r="AO63" s="759">
        <v>-0.01</v>
      </c>
      <c r="AP63" s="758">
        <v>0</v>
      </c>
      <c r="AQ63" s="758">
        <v>-0.04</v>
      </c>
      <c r="AR63" s="758">
        <v>-0.01</v>
      </c>
      <c r="AS63" s="758">
        <v>0.01</v>
      </c>
      <c r="AT63" s="759">
        <v>-0.01</v>
      </c>
      <c r="AU63" s="758">
        <v>-0.04</v>
      </c>
      <c r="AV63" s="758">
        <v>0</v>
      </c>
      <c r="AW63" s="758">
        <v>-0.05</v>
      </c>
      <c r="AX63" s="758">
        <v>-0.01</v>
      </c>
      <c r="AY63" s="759">
        <v>-0.02</v>
      </c>
      <c r="AZ63" s="758">
        <v>0.01</v>
      </c>
      <c r="BA63" s="758">
        <v>0.01</v>
      </c>
      <c r="BB63" s="758">
        <v>0.04</v>
      </c>
      <c r="BC63" s="758">
        <v>0.03</v>
      </c>
      <c r="BD63" s="759">
        <v>0.02</v>
      </c>
      <c r="BE63" s="758">
        <v>-0.01</v>
      </c>
      <c r="BF63" s="763">
        <v>0</v>
      </c>
      <c r="BG63" s="760">
        <v>0.01</v>
      </c>
      <c r="BH63" s="758">
        <f>(BI63*BD59-SUMPRODUCT(AZ59:BB59,BE63:BG63))/BC59</f>
        <v>1.0112945264986968E-2</v>
      </c>
      <c r="BI63" s="762">
        <v>2.5000000000000001E-3</v>
      </c>
      <c r="BJ63" s="758">
        <f>BJ64</f>
        <v>1.4999999999999999E-2</v>
      </c>
      <c r="BK63" s="758">
        <f>BK64</f>
        <v>1.4999999999999999E-2</v>
      </c>
      <c r="BL63" s="758">
        <f>BL64</f>
        <v>1.4999999999999999E-2</v>
      </c>
      <c r="BM63" s="758">
        <f>BM64</f>
        <v>1.5000000000000001E-2</v>
      </c>
      <c r="BN63" s="759">
        <f>SUMPRODUCT(BE59:BH59,BJ63:BM63)/BI59</f>
        <v>1.5000000000000001E-2</v>
      </c>
      <c r="BO63" s="758">
        <f>BO64</f>
        <v>0.01</v>
      </c>
      <c r="BP63" s="758">
        <f>BP64</f>
        <v>0.01</v>
      </c>
      <c r="BQ63" s="758">
        <f>BQ64</f>
        <v>0.01</v>
      </c>
      <c r="BR63" s="758">
        <f>BR64</f>
        <v>9.999999999999995E-3</v>
      </c>
      <c r="BS63" s="759">
        <f>SUMPRODUCT(BJ59:BM59,BO63:BR63)/BN59</f>
        <v>0.01</v>
      </c>
      <c r="BT63" s="758">
        <f>BT64</f>
        <v>1.4999999999999999E-2</v>
      </c>
      <c r="BU63" s="758">
        <f>BU64</f>
        <v>1.4999999999999999E-2</v>
      </c>
      <c r="BV63" s="758">
        <f>BV64</f>
        <v>1.4999999999999999E-2</v>
      </c>
      <c r="BW63" s="758">
        <f>BW64</f>
        <v>1.4999999999999998E-2</v>
      </c>
      <c r="BX63" s="759">
        <f>SUMPRODUCT(BO59:BR59,BT63:BW63)/BS59</f>
        <v>1.4999999999999999E-2</v>
      </c>
      <c r="BY63" s="758">
        <f>BY64</f>
        <v>0.01</v>
      </c>
      <c r="BZ63" s="758">
        <f>BZ64</f>
        <v>0.01</v>
      </c>
      <c r="CA63" s="758">
        <f>CA64</f>
        <v>0.01</v>
      </c>
      <c r="CB63" s="758">
        <f>CB64</f>
        <v>9.9999999999999985E-3</v>
      </c>
      <c r="CC63" s="759">
        <f>SUMPRODUCT(BT59:BW59,BY63:CB63)/BX59</f>
        <v>0.01</v>
      </c>
      <c r="CD63" s="758">
        <f>CD64</f>
        <v>0.01</v>
      </c>
      <c r="CE63" s="758">
        <f>CE64</f>
        <v>0.01</v>
      </c>
      <c r="CF63" s="758">
        <f>CF64</f>
        <v>0.01</v>
      </c>
      <c r="CG63" s="758">
        <f>CG64</f>
        <v>9.9999999999999933E-3</v>
      </c>
      <c r="CH63" s="759">
        <f>SUMPRODUCT(BY59:CB59,CD63:CG63)/CC59</f>
        <v>0.01</v>
      </c>
      <c r="CI63" s="758">
        <f>CI64</f>
        <v>0.01</v>
      </c>
      <c r="CJ63" s="758">
        <f>CJ64</f>
        <v>0.01</v>
      </c>
      <c r="CK63" s="758">
        <f>CK64</f>
        <v>0.01</v>
      </c>
      <c r="CL63" s="758">
        <f>CL64</f>
        <v>1.0000000000000002E-2</v>
      </c>
      <c r="CM63" s="759">
        <f>SUMPRODUCT(CD59:CG59,CI63:CL63)/CH59</f>
        <v>0.01</v>
      </c>
    </row>
    <row r="64" spans="1:91" hidden="1" outlineLevel="1" x14ac:dyDescent="0.2">
      <c r="A64" s="751" t="s">
        <v>192</v>
      </c>
      <c r="B64" s="752" t="s">
        <v>169</v>
      </c>
      <c r="C64" s="752" t="s">
        <v>169</v>
      </c>
      <c r="D64" s="752" t="s">
        <v>169</v>
      </c>
      <c r="E64" s="752" t="s">
        <v>169</v>
      </c>
      <c r="F64" s="753" t="s">
        <v>169</v>
      </c>
      <c r="G64" s="752" t="s">
        <v>169</v>
      </c>
      <c r="H64" s="752" t="s">
        <v>169</v>
      </c>
      <c r="I64" s="752" t="s">
        <v>169</v>
      </c>
      <c r="J64" s="752" t="s">
        <v>169</v>
      </c>
      <c r="K64" s="753" t="s">
        <v>169</v>
      </c>
      <c r="L64" s="758">
        <v>0.15</v>
      </c>
      <c r="M64" s="758">
        <v>0.05</v>
      </c>
      <c r="N64" s="758">
        <v>-0.01</v>
      </c>
      <c r="O64" s="758">
        <v>0</v>
      </c>
      <c r="P64" s="759">
        <v>0.05</v>
      </c>
      <c r="Q64" s="758">
        <v>0.02</v>
      </c>
      <c r="R64" s="758">
        <v>-0.01</v>
      </c>
      <c r="S64" s="758">
        <v>0</v>
      </c>
      <c r="T64" s="758">
        <v>0.01</v>
      </c>
      <c r="U64" s="759">
        <v>0</v>
      </c>
      <c r="V64" s="758">
        <v>0.01</v>
      </c>
      <c r="W64" s="758">
        <v>-0.02</v>
      </c>
      <c r="X64" s="758">
        <v>-0.01</v>
      </c>
      <c r="Y64" s="758">
        <v>-0.05</v>
      </c>
      <c r="Z64" s="759">
        <v>-0.02</v>
      </c>
      <c r="AA64" s="758">
        <v>-0.02</v>
      </c>
      <c r="AB64" s="758">
        <v>-0.01</v>
      </c>
      <c r="AC64" s="758">
        <v>0.01</v>
      </c>
      <c r="AD64" s="758">
        <v>0.04</v>
      </c>
      <c r="AE64" s="759">
        <v>0</v>
      </c>
      <c r="AF64" s="758">
        <v>0.01</v>
      </c>
      <c r="AG64" s="758">
        <v>0.04</v>
      </c>
      <c r="AH64" s="758">
        <v>-0.02</v>
      </c>
      <c r="AI64" s="758">
        <v>0.03</v>
      </c>
      <c r="AJ64" s="759">
        <v>0.01</v>
      </c>
      <c r="AK64" s="758">
        <v>-0.03</v>
      </c>
      <c r="AL64" s="758">
        <v>-0.04</v>
      </c>
      <c r="AM64" s="758">
        <v>0.03</v>
      </c>
      <c r="AN64" s="758">
        <v>-0.03</v>
      </c>
      <c r="AO64" s="759">
        <v>-0.02</v>
      </c>
      <c r="AP64" s="758">
        <v>-0.02</v>
      </c>
      <c r="AQ64" s="758">
        <v>-0.03</v>
      </c>
      <c r="AR64" s="758">
        <v>0</v>
      </c>
      <c r="AS64" s="758">
        <v>0.01</v>
      </c>
      <c r="AT64" s="759">
        <v>-0.01</v>
      </c>
      <c r="AU64" s="758">
        <v>-0.02</v>
      </c>
      <c r="AV64" s="758">
        <v>-0.02</v>
      </c>
      <c r="AW64" s="758">
        <v>-0.05</v>
      </c>
      <c r="AX64" s="758">
        <v>0</v>
      </c>
      <c r="AY64" s="759">
        <v>-0.02</v>
      </c>
      <c r="AZ64" s="758">
        <v>0.05</v>
      </c>
      <c r="BA64" s="758">
        <v>0.02</v>
      </c>
      <c r="BB64" s="758">
        <v>0.02</v>
      </c>
      <c r="BC64" s="758">
        <v>-0.02</v>
      </c>
      <c r="BD64" s="759">
        <v>0.02</v>
      </c>
      <c r="BE64" s="758">
        <v>-0.01</v>
      </c>
      <c r="BF64" s="763">
        <v>-0.01</v>
      </c>
      <c r="BG64" s="758">
        <f>BG63</f>
        <v>0.01</v>
      </c>
      <c r="BH64" s="758">
        <f>(BI64*BD59-SUMPRODUCT(AZ59:BB59,BE64:BG64))/BC59</f>
        <v>3.1490877497827974E-2</v>
      </c>
      <c r="BI64" s="759">
        <v>4.4999999999999997E-3</v>
      </c>
      <c r="BJ64" s="766">
        <f>BN64</f>
        <v>1.4999999999999999E-2</v>
      </c>
      <c r="BK64" s="766">
        <f>BN64</f>
        <v>1.4999999999999999E-2</v>
      </c>
      <c r="BL64" s="766">
        <f>BN64</f>
        <v>1.4999999999999999E-2</v>
      </c>
      <c r="BM64" s="758">
        <f>(BN64*BI59-SUMPRODUCT(BE59:BG59,BJ64:BL64))/BH59</f>
        <v>1.5000000000000001E-2</v>
      </c>
      <c r="BN64" s="767">
        <v>1.4999999999999999E-2</v>
      </c>
      <c r="BO64" s="760">
        <f>BS64</f>
        <v>0.01</v>
      </c>
      <c r="BP64" s="760">
        <f>BS64</f>
        <v>0.01</v>
      </c>
      <c r="BQ64" s="760">
        <f>BS64</f>
        <v>0.01</v>
      </c>
      <c r="BR64" s="758">
        <f>(BS64*BN59-SUMPRODUCT(BJ59:BL59,BO64:BQ64))/BM59</f>
        <v>9.999999999999995E-3</v>
      </c>
      <c r="BS64" s="762">
        <v>0.01</v>
      </c>
      <c r="BT64" s="760">
        <f>BX64</f>
        <v>1.4999999999999999E-2</v>
      </c>
      <c r="BU64" s="760">
        <f>BX64</f>
        <v>1.4999999999999999E-2</v>
      </c>
      <c r="BV64" s="760">
        <f>BX64</f>
        <v>1.4999999999999999E-2</v>
      </c>
      <c r="BW64" s="758">
        <f>(BX64*BS59-SUMPRODUCT(BO59:BQ59,BT64:BV64))/BR59</f>
        <v>1.4999999999999998E-2</v>
      </c>
      <c r="BX64" s="762">
        <v>1.4999999999999999E-2</v>
      </c>
      <c r="BY64" s="760">
        <f>CC64</f>
        <v>0.01</v>
      </c>
      <c r="BZ64" s="760">
        <f>CC64</f>
        <v>0.01</v>
      </c>
      <c r="CA64" s="760">
        <f>CC64</f>
        <v>0.01</v>
      </c>
      <c r="CB64" s="758">
        <f>(CC64*BX59-SUMPRODUCT(BT59:BV59,BY64:CA64))/BW59</f>
        <v>9.9999999999999985E-3</v>
      </c>
      <c r="CC64" s="762">
        <v>0.01</v>
      </c>
      <c r="CD64" s="760">
        <f>CH64</f>
        <v>0.01</v>
      </c>
      <c r="CE64" s="760">
        <f>CH64</f>
        <v>0.01</v>
      </c>
      <c r="CF64" s="760">
        <f>CH64</f>
        <v>0.01</v>
      </c>
      <c r="CG64" s="758">
        <f>(CH64*CC59-SUMPRODUCT(BY59:CA59,CD64:CF64))/CB59</f>
        <v>9.9999999999999933E-3</v>
      </c>
      <c r="CH64" s="762">
        <v>0.01</v>
      </c>
      <c r="CI64" s="760">
        <f>CM64</f>
        <v>0.01</v>
      </c>
      <c r="CJ64" s="760">
        <f>CM64</f>
        <v>0.01</v>
      </c>
      <c r="CK64" s="760">
        <f>CM64</f>
        <v>0.01</v>
      </c>
      <c r="CL64" s="758">
        <f>(CM64*CH59-SUMPRODUCT(CD59:CF59,CI64:CK64))/CG59</f>
        <v>1.0000000000000002E-2</v>
      </c>
      <c r="CM64" s="762">
        <v>0.01</v>
      </c>
    </row>
    <row r="65" spans="1:91" hidden="1" outlineLevel="1" x14ac:dyDescent="0.2">
      <c r="A65" s="761" t="s">
        <v>188</v>
      </c>
      <c r="B65" s="752" t="s">
        <v>169</v>
      </c>
      <c r="C65" s="752" t="s">
        <v>169</v>
      </c>
      <c r="D65" s="752" t="s">
        <v>169</v>
      </c>
      <c r="E65" s="752" t="s">
        <v>169</v>
      </c>
      <c r="F65" s="753" t="s">
        <v>169</v>
      </c>
      <c r="G65" s="752" t="s">
        <v>169</v>
      </c>
      <c r="H65" s="752" t="s">
        <v>169</v>
      </c>
      <c r="I65" s="752" t="s">
        <v>169</v>
      </c>
      <c r="J65" s="752" t="s">
        <v>169</v>
      </c>
      <c r="K65" s="753" t="s">
        <v>169</v>
      </c>
      <c r="L65" s="758">
        <v>0</v>
      </c>
      <c r="M65" s="758">
        <v>0.03</v>
      </c>
      <c r="N65" s="758">
        <v>0.02</v>
      </c>
      <c r="O65" s="758">
        <v>0.04</v>
      </c>
      <c r="P65" s="759">
        <v>0.02</v>
      </c>
      <c r="Q65" s="758">
        <v>0.03</v>
      </c>
      <c r="R65" s="758">
        <v>0.02</v>
      </c>
      <c r="S65" s="758">
        <v>0.02</v>
      </c>
      <c r="T65" s="758">
        <v>7.0000000000000007E-2</v>
      </c>
      <c r="U65" s="759">
        <v>0.04</v>
      </c>
      <c r="V65" s="758">
        <v>0.01</v>
      </c>
      <c r="W65" s="758">
        <v>0.01</v>
      </c>
      <c r="X65" s="758">
        <v>0.01</v>
      </c>
      <c r="Y65" s="758">
        <v>0</v>
      </c>
      <c r="Z65" s="759">
        <v>0.02</v>
      </c>
      <c r="AA65" s="758">
        <v>0.02</v>
      </c>
      <c r="AB65" s="758">
        <v>0.02</v>
      </c>
      <c r="AC65" s="758">
        <v>0</v>
      </c>
      <c r="AD65" s="758">
        <v>0</v>
      </c>
      <c r="AE65" s="759">
        <f>SUMPRODUCT(V59:Y59,AA65:AD65)/Z59</f>
        <v>1.0121083990005766E-2</v>
      </c>
      <c r="AF65" s="758">
        <f>AF68-SUM(AF64,AF66,AF67)</f>
        <v>-2.0110935023771821E-2</v>
      </c>
      <c r="AG65" s="758">
        <f>AG68-SUM(AG64,AG66,AG67)</f>
        <v>-7.0390309555855846E-3</v>
      </c>
      <c r="AH65" s="758">
        <v>0.01</v>
      </c>
      <c r="AI65" s="758">
        <v>0.01</v>
      </c>
      <c r="AJ65" s="759">
        <v>0</v>
      </c>
      <c r="AK65" s="758">
        <v>0.03</v>
      </c>
      <c r="AL65" s="758">
        <v>0.02</v>
      </c>
      <c r="AM65" s="758">
        <v>-0.04</v>
      </c>
      <c r="AN65" s="758">
        <v>-0.01</v>
      </c>
      <c r="AO65" s="759">
        <v>0</v>
      </c>
      <c r="AP65" s="758">
        <v>0</v>
      </c>
      <c r="AQ65" s="758">
        <v>0.04</v>
      </c>
      <c r="AR65" s="758">
        <v>0.08</v>
      </c>
      <c r="AS65" s="758">
        <v>7.0000000000000007E-2</v>
      </c>
      <c r="AT65" s="759">
        <v>0.05</v>
      </c>
      <c r="AU65" s="758">
        <v>0.1</v>
      </c>
      <c r="AV65" s="758">
        <v>0.06</v>
      </c>
      <c r="AW65" s="758">
        <v>0.03</v>
      </c>
      <c r="AX65" s="758">
        <v>0.02</v>
      </c>
      <c r="AY65" s="759">
        <v>0.04</v>
      </c>
      <c r="AZ65" s="758">
        <v>0</v>
      </c>
      <c r="BA65" s="758">
        <v>0.01</v>
      </c>
      <c r="BB65" s="758">
        <v>0</v>
      </c>
      <c r="BC65" s="758">
        <v>0.01</v>
      </c>
      <c r="BD65" s="759">
        <v>0.01</v>
      </c>
      <c r="BE65" s="758">
        <v>0.02</v>
      </c>
      <c r="BF65" s="763">
        <v>0.03</v>
      </c>
      <c r="BG65" s="760">
        <v>0.02</v>
      </c>
      <c r="BH65" s="758">
        <f>(BI65*BD59-SUMPRODUCT(AZ59:BB59,BE65:BG65))/BC59</f>
        <v>1.6443092962641185E-2</v>
      </c>
      <c r="BI65" s="762">
        <v>2.1999999999999999E-2</v>
      </c>
      <c r="BJ65" s="766">
        <f>BN65</f>
        <v>0.01</v>
      </c>
      <c r="BK65" s="766">
        <f>BN65</f>
        <v>0.01</v>
      </c>
      <c r="BL65" s="766">
        <f>BN65</f>
        <v>0.01</v>
      </c>
      <c r="BM65" s="758">
        <f>(BN65*BI59-SUMPRODUCT(BE59:BG59,BJ65:BL65))/BH59</f>
        <v>9.9999999999999967E-3</v>
      </c>
      <c r="BN65" s="767">
        <v>0.01</v>
      </c>
      <c r="BO65" s="760">
        <f>BS65</f>
        <v>0.01</v>
      </c>
      <c r="BP65" s="760">
        <f>BS65</f>
        <v>0.01</v>
      </c>
      <c r="BQ65" s="760">
        <f>BS65</f>
        <v>0.01</v>
      </c>
      <c r="BR65" s="758">
        <f>(BS65*BN59-SUMPRODUCT(BJ59:BL59,BO65:BQ65))/BM59</f>
        <v>9.999999999999995E-3</v>
      </c>
      <c r="BS65" s="762">
        <v>0.01</v>
      </c>
      <c r="BT65" s="760">
        <f>BX65</f>
        <v>0.01</v>
      </c>
      <c r="BU65" s="760">
        <f>BX65</f>
        <v>0.01</v>
      </c>
      <c r="BV65" s="760">
        <f>BX65</f>
        <v>0.01</v>
      </c>
      <c r="BW65" s="758">
        <f>(BX65*BS59-SUMPRODUCT(BO59:BQ59,BT65:BV65))/BR59</f>
        <v>1.0000000000000002E-2</v>
      </c>
      <c r="BX65" s="762">
        <v>0.01</v>
      </c>
      <c r="BY65" s="760">
        <f>CC65</f>
        <v>1.4999999999999999E-2</v>
      </c>
      <c r="BZ65" s="760">
        <f>CC65</f>
        <v>1.4999999999999999E-2</v>
      </c>
      <c r="CA65" s="760">
        <f>CC65</f>
        <v>1.4999999999999999E-2</v>
      </c>
      <c r="CB65" s="758">
        <f>(CC65*BX59-SUMPRODUCT(BT59:BV59,BY65:CA65))/BW59</f>
        <v>1.5000000000000003E-2</v>
      </c>
      <c r="CC65" s="762">
        <v>1.4999999999999999E-2</v>
      </c>
      <c r="CD65" s="760">
        <f>CH65</f>
        <v>1.4999999999999999E-2</v>
      </c>
      <c r="CE65" s="760">
        <f>CH65</f>
        <v>1.4999999999999999E-2</v>
      </c>
      <c r="CF65" s="760">
        <f>CH65</f>
        <v>1.4999999999999999E-2</v>
      </c>
      <c r="CG65" s="758">
        <f>(CH65*CC59-SUMPRODUCT(BY59:CA59,CD65:CF65))/CB59</f>
        <v>1.4999999999999996E-2</v>
      </c>
      <c r="CH65" s="762">
        <v>1.4999999999999999E-2</v>
      </c>
      <c r="CI65" s="760">
        <f>CM65</f>
        <v>1.4999999999999999E-2</v>
      </c>
      <c r="CJ65" s="760">
        <f>CM65</f>
        <v>1.4999999999999999E-2</v>
      </c>
      <c r="CK65" s="760">
        <f>CM65</f>
        <v>1.4999999999999999E-2</v>
      </c>
      <c r="CL65" s="758">
        <f>(CM65*CH59-SUMPRODUCT(CD59:CF59,CI65:CK65))/CG59</f>
        <v>1.5000000000000006E-2</v>
      </c>
      <c r="CM65" s="762">
        <v>1.4999999999999999E-2</v>
      </c>
    </row>
    <row r="66" spans="1:91" hidden="1" outlineLevel="1" x14ac:dyDescent="0.2">
      <c r="A66" s="761" t="s">
        <v>189</v>
      </c>
      <c r="B66" s="752" t="s">
        <v>169</v>
      </c>
      <c r="C66" s="752" t="s">
        <v>169</v>
      </c>
      <c r="D66" s="752" t="s">
        <v>169</v>
      </c>
      <c r="E66" s="752" t="s">
        <v>169</v>
      </c>
      <c r="F66" s="753" t="s">
        <v>169</v>
      </c>
      <c r="G66" s="752" t="s">
        <v>169</v>
      </c>
      <c r="H66" s="752" t="s">
        <v>169</v>
      </c>
      <c r="I66" s="752" t="s">
        <v>169</v>
      </c>
      <c r="J66" s="752" t="s">
        <v>169</v>
      </c>
      <c r="K66" s="753" t="s">
        <v>169</v>
      </c>
      <c r="L66" s="758">
        <v>0.11</v>
      </c>
      <c r="M66" s="758">
        <v>0.08</v>
      </c>
      <c r="N66" s="758">
        <v>0.06</v>
      </c>
      <c r="O66" s="758">
        <v>0.12</v>
      </c>
      <c r="P66" s="759">
        <v>0.09</v>
      </c>
      <c r="Q66" s="758">
        <v>0.13</v>
      </c>
      <c r="R66" s="758">
        <v>0.14000000000000001</v>
      </c>
      <c r="S66" s="758">
        <v>0.09</v>
      </c>
      <c r="T66" s="758">
        <v>-0.1</v>
      </c>
      <c r="U66" s="759">
        <v>7.0000000000000007E-2</v>
      </c>
      <c r="V66" s="758">
        <v>-0.15</v>
      </c>
      <c r="W66" s="758">
        <v>-0.16</v>
      </c>
      <c r="X66" s="758">
        <v>-0.1</v>
      </c>
      <c r="Y66" s="758">
        <v>0.06</v>
      </c>
      <c r="Z66" s="759">
        <v>-0.1</v>
      </c>
      <c r="AA66" s="758">
        <v>0.06</v>
      </c>
      <c r="AB66" s="758">
        <v>0</v>
      </c>
      <c r="AC66" s="758">
        <v>-0.06</v>
      </c>
      <c r="AD66" s="758">
        <v>-7.0000000000000007E-2</v>
      </c>
      <c r="AE66" s="759">
        <v>-0.02</v>
      </c>
      <c r="AF66" s="758">
        <v>-0.02</v>
      </c>
      <c r="AG66" s="758">
        <v>7.0000000000000007E-2</v>
      </c>
      <c r="AH66" s="758">
        <v>0.06</v>
      </c>
      <c r="AI66" s="758">
        <v>0</v>
      </c>
      <c r="AJ66" s="759">
        <f>SUMPRODUCT(AA59:AD59,AF66:AI66)/AE59</f>
        <v>3.0302914840922082E-2</v>
      </c>
      <c r="AK66" s="758">
        <v>-0.02</v>
      </c>
      <c r="AL66" s="758">
        <v>-7.0000000000000007E-2</v>
      </c>
      <c r="AM66" s="758">
        <v>-7.0000000000000007E-2</v>
      </c>
      <c r="AN66" s="758">
        <v>-0.02</v>
      </c>
      <c r="AO66" s="759">
        <v>-0.04</v>
      </c>
      <c r="AP66" s="758">
        <v>-2E-3</v>
      </c>
      <c r="AQ66" s="758">
        <v>-0.02</v>
      </c>
      <c r="AR66" s="758">
        <v>0.02</v>
      </c>
      <c r="AS66" s="758">
        <v>0.03</v>
      </c>
      <c r="AT66" s="759">
        <v>0</v>
      </c>
      <c r="AU66" s="758">
        <v>0.02</v>
      </c>
      <c r="AV66" s="758">
        <v>0.06</v>
      </c>
      <c r="AW66" s="758">
        <v>0.03</v>
      </c>
      <c r="AX66" s="758">
        <v>-0.04</v>
      </c>
      <c r="AY66" s="759">
        <v>0.02</v>
      </c>
      <c r="AZ66" s="758">
        <v>-0.11</v>
      </c>
      <c r="BA66" s="758">
        <v>-0.11</v>
      </c>
      <c r="BB66" s="758">
        <v>-0.08</v>
      </c>
      <c r="BC66" s="758">
        <v>-0.05</v>
      </c>
      <c r="BD66" s="759">
        <v>-0.09</v>
      </c>
      <c r="BE66" s="758">
        <v>0</v>
      </c>
      <c r="BF66" s="763">
        <v>0</v>
      </c>
      <c r="BG66" s="760">
        <v>-4.7340412053544865E-3</v>
      </c>
      <c r="BH66" s="760">
        <v>-1.2083075167211103E-2</v>
      </c>
      <c r="BI66" s="759">
        <f>SUMPRODUCT(AZ59:BC59,BE66:BH66)/BD59</f>
        <v>-3.9399169891929497E-3</v>
      </c>
      <c r="BJ66" s="760">
        <v>-2.8506266688859035E-2</v>
      </c>
      <c r="BK66" s="760">
        <v>-2.900891600469957E-2</v>
      </c>
      <c r="BL66" s="760">
        <v>-2.0496823774160705E-2</v>
      </c>
      <c r="BM66" s="760">
        <v>4.0445933722807461E-3</v>
      </c>
      <c r="BN66" s="759">
        <f>SUMPRODUCT(BE59:BH59,BJ66:BM66)/BI59</f>
        <v>-1.9023974169439826E-2</v>
      </c>
      <c r="BO66" s="760">
        <v>2.0750643546547699E-2</v>
      </c>
      <c r="BP66" s="760">
        <v>1.7878613155592464E-2</v>
      </c>
      <c r="BQ66" s="760">
        <v>-3.9731784508451329E-3</v>
      </c>
      <c r="BR66" s="760">
        <v>-4.1059376723886679E-4</v>
      </c>
      <c r="BS66" s="759">
        <f>SUMPRODUCT(BJ59:BM59,BO66:BR66)/BN59</f>
        <v>8.4714422061928207E-3</v>
      </c>
      <c r="BT66" s="760">
        <v>-4.1863171033123051E-3</v>
      </c>
      <c r="BU66" s="760">
        <v>0</v>
      </c>
      <c r="BV66" s="760">
        <v>0</v>
      </c>
      <c r="BW66" s="760">
        <v>0</v>
      </c>
      <c r="BX66" s="759">
        <f>SUMPRODUCT(BO59:BR59,BT66:BW66)/BS59</f>
        <v>-9.7728343506563089E-4</v>
      </c>
      <c r="BY66" s="768">
        <v>0</v>
      </c>
      <c r="BZ66" s="768">
        <v>0</v>
      </c>
      <c r="CA66" s="768">
        <v>0</v>
      </c>
      <c r="CB66" s="768">
        <v>0</v>
      </c>
      <c r="CC66" s="759">
        <f>SUMPRODUCT(BT59:BW59,BY66:CB66)/BX59</f>
        <v>0</v>
      </c>
      <c r="CD66" s="768">
        <v>0</v>
      </c>
      <c r="CE66" s="768">
        <v>0</v>
      </c>
      <c r="CF66" s="768">
        <v>0</v>
      </c>
      <c r="CG66" s="768">
        <v>0</v>
      </c>
      <c r="CH66" s="759">
        <f>SUMPRODUCT(BY59:CB59,CD66:CG66)/CC59</f>
        <v>0</v>
      </c>
      <c r="CI66" s="768">
        <v>0</v>
      </c>
      <c r="CJ66" s="768">
        <v>0</v>
      </c>
      <c r="CK66" s="768">
        <v>0</v>
      </c>
      <c r="CL66" s="768">
        <v>0</v>
      </c>
      <c r="CM66" s="759">
        <f>SUMPRODUCT(CD59:CG59,CI66:CL66)/CH59</f>
        <v>0</v>
      </c>
    </row>
    <row r="67" spans="1:91" hidden="1" outlineLevel="1" x14ac:dyDescent="0.2">
      <c r="A67" s="769" t="s">
        <v>193</v>
      </c>
      <c r="B67" s="752" t="s">
        <v>169</v>
      </c>
      <c r="C67" s="752" t="s">
        <v>169</v>
      </c>
      <c r="D67" s="752" t="s">
        <v>169</v>
      </c>
      <c r="E67" s="752" t="s">
        <v>169</v>
      </c>
      <c r="F67" s="753" t="s">
        <v>169</v>
      </c>
      <c r="G67" s="752" t="s">
        <v>169</v>
      </c>
      <c r="H67" s="752" t="s">
        <v>169</v>
      </c>
      <c r="I67" s="752" t="s">
        <v>169</v>
      </c>
      <c r="J67" s="752" t="s">
        <v>169</v>
      </c>
      <c r="K67" s="753" t="s">
        <v>169</v>
      </c>
      <c r="L67" s="758">
        <v>0</v>
      </c>
      <c r="M67" s="758">
        <v>0</v>
      </c>
      <c r="N67" s="758">
        <v>0</v>
      </c>
      <c r="O67" s="758">
        <f>((P67*K59)-(L67*G59)-(M67*H59)-(N67*I59))/J59</f>
        <v>0</v>
      </c>
      <c r="P67" s="759">
        <v>0</v>
      </c>
      <c r="Q67" s="758">
        <v>-0.01</v>
      </c>
      <c r="R67" s="758">
        <v>-0.02</v>
      </c>
      <c r="S67" s="758">
        <v>-0.01</v>
      </c>
      <c r="T67" s="758">
        <v>-0.01</v>
      </c>
      <c r="U67" s="759">
        <v>-0.01</v>
      </c>
      <c r="V67" s="758">
        <v>0</v>
      </c>
      <c r="W67" s="758">
        <v>0</v>
      </c>
      <c r="X67" s="758">
        <v>0</v>
      </c>
      <c r="Y67" s="758">
        <v>0</v>
      </c>
      <c r="Z67" s="759">
        <f>(V59/Z59)*V67+(W59/Z59)*W67+(X59/Z59)*X67+(Y59/Z59)*Y67</f>
        <v>0</v>
      </c>
      <c r="AA67" s="758">
        <v>0.01</v>
      </c>
      <c r="AB67" s="758">
        <v>0.01</v>
      </c>
      <c r="AC67" s="758">
        <v>0.02</v>
      </c>
      <c r="AD67" s="758">
        <v>0.01</v>
      </c>
      <c r="AE67" s="759">
        <v>0.02</v>
      </c>
      <c r="AF67" s="758">
        <v>0</v>
      </c>
      <c r="AG67" s="758">
        <v>0</v>
      </c>
      <c r="AH67" s="758">
        <v>0</v>
      </c>
      <c r="AI67" s="758">
        <v>0</v>
      </c>
      <c r="AJ67" s="759">
        <f>SUMPRODUCT(AF67:AI67,AA59:AD59)/AE59</f>
        <v>0</v>
      </c>
      <c r="AK67" s="758">
        <v>0</v>
      </c>
      <c r="AL67" s="758">
        <v>0</v>
      </c>
      <c r="AM67" s="758">
        <v>0</v>
      </c>
      <c r="AN67" s="758">
        <v>0</v>
      </c>
      <c r="AO67" s="759">
        <v>0</v>
      </c>
      <c r="AP67" s="758">
        <v>0</v>
      </c>
      <c r="AQ67" s="758">
        <v>0</v>
      </c>
      <c r="AR67" s="758">
        <v>0</v>
      </c>
      <c r="AS67" s="758">
        <v>0</v>
      </c>
      <c r="AT67" s="759">
        <v>0</v>
      </c>
      <c r="AU67" s="758">
        <v>0</v>
      </c>
      <c r="AV67" s="758">
        <v>0</v>
      </c>
      <c r="AW67" s="758">
        <v>0</v>
      </c>
      <c r="AX67" s="758">
        <v>0</v>
      </c>
      <c r="AY67" s="759">
        <v>0</v>
      </c>
      <c r="AZ67" s="758">
        <v>0</v>
      </c>
      <c r="BA67" s="758">
        <v>-0.01</v>
      </c>
      <c r="BB67" s="758">
        <v>-0.01</v>
      </c>
      <c r="BC67" s="758">
        <v>-0.01</v>
      </c>
      <c r="BD67" s="759">
        <v>-0.01</v>
      </c>
      <c r="BE67" s="758">
        <v>-0.02</v>
      </c>
      <c r="BF67" s="763">
        <v>-0.04</v>
      </c>
      <c r="BG67" s="760">
        <v>0</v>
      </c>
      <c r="BH67" s="758">
        <f>BG67</f>
        <v>0</v>
      </c>
      <c r="BI67" s="759">
        <f>SUMPRODUCT(AZ59:BC59,BE67:BH67)/BD59</f>
        <v>-1.59204368174727E-2</v>
      </c>
      <c r="BJ67" s="760">
        <v>0</v>
      </c>
      <c r="BK67" s="760">
        <v>0</v>
      </c>
      <c r="BL67" s="760">
        <v>0</v>
      </c>
      <c r="BM67" s="760">
        <v>0</v>
      </c>
      <c r="BN67" s="759">
        <f>SUMPRODUCT(BE60:BH60,BJ67:BM67)/BI60</f>
        <v>0</v>
      </c>
      <c r="BO67" s="760">
        <v>0</v>
      </c>
      <c r="BP67" s="760">
        <v>0</v>
      </c>
      <c r="BQ67" s="760">
        <v>0</v>
      </c>
      <c r="BR67" s="760">
        <v>0</v>
      </c>
      <c r="BS67" s="759">
        <f>SUMPRODUCT(BJ60:BM60,BO67:BR67)/BN60</f>
        <v>0</v>
      </c>
      <c r="BT67" s="760">
        <v>0</v>
      </c>
      <c r="BU67" s="760">
        <v>0</v>
      </c>
      <c r="BV67" s="760">
        <v>0</v>
      </c>
      <c r="BW67" s="760">
        <v>0</v>
      </c>
      <c r="BX67" s="759">
        <f>SUMPRODUCT(BO60:BR60,BT67:BW67)/BS60</f>
        <v>0</v>
      </c>
      <c r="BY67" s="760">
        <v>0</v>
      </c>
      <c r="BZ67" s="760">
        <v>0</v>
      </c>
      <c r="CA67" s="760">
        <v>0</v>
      </c>
      <c r="CB67" s="760">
        <v>0</v>
      </c>
      <c r="CC67" s="759">
        <f>SUMPRODUCT(BT60:BW60,BY67:CB67)/BX60</f>
        <v>0</v>
      </c>
      <c r="CD67" s="760">
        <v>0</v>
      </c>
      <c r="CE67" s="760">
        <v>0</v>
      </c>
      <c r="CF67" s="760">
        <v>0</v>
      </c>
      <c r="CG67" s="760">
        <v>0</v>
      </c>
      <c r="CH67" s="759">
        <f>SUMPRODUCT(BY60:CB60,CD67:CG67)/CC60</f>
        <v>0</v>
      </c>
      <c r="CI67" s="760">
        <v>0</v>
      </c>
      <c r="CJ67" s="760">
        <v>0</v>
      </c>
      <c r="CK67" s="760">
        <v>0</v>
      </c>
      <c r="CL67" s="760">
        <v>0</v>
      </c>
      <c r="CM67" s="759">
        <f>SUMPRODUCT(CD60:CG60,CI67:CL67)/CH60</f>
        <v>0</v>
      </c>
    </row>
    <row r="68" spans="1:91" hidden="1" outlineLevel="1" x14ac:dyDescent="0.2">
      <c r="A68" s="770" t="s">
        <v>190</v>
      </c>
      <c r="B68" s="771" t="s">
        <v>169</v>
      </c>
      <c r="C68" s="771" t="s">
        <v>169</v>
      </c>
      <c r="D68" s="771" t="s">
        <v>169</v>
      </c>
      <c r="E68" s="771" t="s">
        <v>169</v>
      </c>
      <c r="F68" s="772" t="s">
        <v>169</v>
      </c>
      <c r="G68" s="771" t="s">
        <v>169</v>
      </c>
      <c r="H68" s="771" t="s">
        <v>169</v>
      </c>
      <c r="I68" s="771" t="s">
        <v>169</v>
      </c>
      <c r="J68" s="771" t="s">
        <v>169</v>
      </c>
      <c r="K68" s="772" t="s">
        <v>169</v>
      </c>
      <c r="L68" s="773">
        <v>0.26</v>
      </c>
      <c r="M68" s="773">
        <v>0.16</v>
      </c>
      <c r="N68" s="773">
        <v>7.0000000000000007E-2</v>
      </c>
      <c r="O68" s="773">
        <v>0.16</v>
      </c>
      <c r="P68" s="774">
        <v>0.16</v>
      </c>
      <c r="Q68" s="773">
        <f>Q59/L59-1</f>
        <v>0.17432784041630534</v>
      </c>
      <c r="R68" s="773">
        <f>R59/M59-1</f>
        <v>0.13108371187540557</v>
      </c>
      <c r="S68" s="773">
        <f>S59/N59-1</f>
        <v>0.10476878612716756</v>
      </c>
      <c r="T68" s="773">
        <f>T59/O59-1</f>
        <v>-3.2125205930807255E-2</v>
      </c>
      <c r="U68" s="774">
        <f>U59/P59-1</f>
        <v>9.6182917611489005E-2</v>
      </c>
      <c r="V68" s="773">
        <f t="shared" ref="V68:AP68" si="110">V59/Q59-1</f>
        <v>-0.12850812407680945</v>
      </c>
      <c r="W68" s="773">
        <f t="shared" si="110"/>
        <v>-0.16637980493402182</v>
      </c>
      <c r="X68" s="773">
        <f t="shared" si="110"/>
        <v>-9.7449313276651406E-2</v>
      </c>
      <c r="Y68" s="773">
        <f t="shared" si="110"/>
        <v>1.2765957446808418E-2</v>
      </c>
      <c r="Z68" s="774">
        <f t="shared" si="110"/>
        <v>-0.10308567488364073</v>
      </c>
      <c r="AA68" s="773">
        <f t="shared" si="110"/>
        <v>6.9491525423728717E-2</v>
      </c>
      <c r="AB68" s="773">
        <f t="shared" si="110"/>
        <v>2.271163110805241E-2</v>
      </c>
      <c r="AC68" s="773">
        <f t="shared" si="110"/>
        <v>-3.0434782608695699E-2</v>
      </c>
      <c r="AD68" s="791">
        <f t="shared" si="110"/>
        <v>-2.2689075630252131E-2</v>
      </c>
      <c r="AE68" s="774">
        <f>AE59/Z59-1</f>
        <v>8.8410532385161389E-3</v>
      </c>
      <c r="AF68" s="773">
        <f t="shared" si="110"/>
        <v>-3.0110935023771823E-2</v>
      </c>
      <c r="AG68" s="773">
        <f t="shared" si="110"/>
        <v>0.10296096904441443</v>
      </c>
      <c r="AH68" s="773">
        <f t="shared" si="110"/>
        <v>4.5590433482810111E-2</v>
      </c>
      <c r="AI68" s="773">
        <f t="shared" si="110"/>
        <v>4.2132416165090225E-2</v>
      </c>
      <c r="AJ68" s="774">
        <f>AJ59/AE59-1</f>
        <v>4.2865307677652842E-2</v>
      </c>
      <c r="AK68" s="773">
        <f t="shared" si="110"/>
        <v>-1.6339869281045805E-2</v>
      </c>
      <c r="AL68" s="773">
        <f t="shared" si="110"/>
        <v>-9.2739475289810858E-2</v>
      </c>
      <c r="AM68" s="773">
        <f t="shared" si="110"/>
        <v>-7.8627591136526065E-2</v>
      </c>
      <c r="AN68" s="773">
        <f t="shared" si="110"/>
        <v>-5.6930693069306981E-2</v>
      </c>
      <c r="AO68" s="774">
        <f>AO59/AJ59-1</f>
        <v>-6.4121300694190753E-2</v>
      </c>
      <c r="AP68" s="773">
        <f t="shared" si="110"/>
        <v>-2.2425249169435224E-2</v>
      </c>
      <c r="AQ68" s="773">
        <f t="shared" ref="AQ68:AV68" si="111">AQ59/AL59-1</f>
        <v>-1.2777404169468709E-2</v>
      </c>
      <c r="AR68" s="773">
        <f>AR59/AM59-1</f>
        <v>0.10162916989914672</v>
      </c>
      <c r="AS68" s="773">
        <f t="shared" si="111"/>
        <v>0.11023622047244097</v>
      </c>
      <c r="AT68" s="774">
        <f t="shared" si="111"/>
        <v>4.1186804606675675E-2</v>
      </c>
      <c r="AU68" s="773">
        <f t="shared" si="111"/>
        <v>9.8555649957519087E-2</v>
      </c>
      <c r="AV68" s="773">
        <f t="shared" si="111"/>
        <v>6.8801089918256064E-2</v>
      </c>
      <c r="AW68" s="773">
        <f t="shared" ref="AW68:BF68" si="112">AW59/AR59-1</f>
        <v>6.3380281690141871E-3</v>
      </c>
      <c r="AX68" s="773">
        <f t="shared" si="112"/>
        <v>-1.891252955082745E-2</v>
      </c>
      <c r="AY68" s="774">
        <f t="shared" si="112"/>
        <v>3.7870266216722959E-2</v>
      </c>
      <c r="AZ68" s="773">
        <f t="shared" si="112"/>
        <v>-6.2645011600928058E-2</v>
      </c>
      <c r="BA68" s="773">
        <f t="shared" si="112"/>
        <v>-8.5404716379859802E-2</v>
      </c>
      <c r="BB68" s="773">
        <f t="shared" si="112"/>
        <v>-6.9279216235129448E-2</v>
      </c>
      <c r="BC68" s="773">
        <f t="shared" si="112"/>
        <v>-7.5502008032128476E-2</v>
      </c>
      <c r="BD68" s="774">
        <f>BD59/AY59-1</f>
        <v>-7.3699421965317868E-2</v>
      </c>
      <c r="BE68" s="773">
        <f t="shared" si="112"/>
        <v>-6.6006600660065695E-3</v>
      </c>
      <c r="BF68" s="773">
        <f t="shared" si="112"/>
        <v>-1.7421602787456414E-2</v>
      </c>
      <c r="BG68" s="773">
        <f>SUM(BG64:BG67)</f>
        <v>2.5265958794645514E-2</v>
      </c>
      <c r="BH68" s="773">
        <f>SUM(BH64:BH67)</f>
        <v>3.585089529325805E-2</v>
      </c>
      <c r="BI68" s="774">
        <f>BI59/BD59-1</f>
        <v>8.1646071917742535E-3</v>
      </c>
      <c r="BJ68" s="773">
        <f>SUM(BJ64:BJ67)</f>
        <v>-3.5062666888590333E-3</v>
      </c>
      <c r="BK68" s="773">
        <f>SUM(BK64:BK67)</f>
        <v>-4.0089160046995684E-3</v>
      </c>
      <c r="BL68" s="773">
        <f>SUM(BL64:BL67)</f>
        <v>4.5031762258392963E-3</v>
      </c>
      <c r="BM68" s="773">
        <f>SUM(BM64:BM67)</f>
        <v>2.9044593372280745E-2</v>
      </c>
      <c r="BN68" s="774">
        <f>BN59/BI59-1</f>
        <v>5.9760258305601166E-3</v>
      </c>
      <c r="BO68" s="773">
        <f>SUM(BO64:BO67)</f>
        <v>4.0750643546547699E-2</v>
      </c>
      <c r="BP68" s="773">
        <f>SUM(BP64:BP67)</f>
        <v>3.7878613155592461E-2</v>
      </c>
      <c r="BQ68" s="773">
        <f>SUM(BQ64:BQ67)</f>
        <v>1.6026821549154868E-2</v>
      </c>
      <c r="BR68" s="773">
        <f>SUM(BR64:BR67)</f>
        <v>1.9589406232761123E-2</v>
      </c>
      <c r="BS68" s="774">
        <f>BS59/BN59-1</f>
        <v>2.847144220619291E-2</v>
      </c>
      <c r="BT68" s="773">
        <f>SUM(BT64:BT67)</f>
        <v>2.0813682896687696E-2</v>
      </c>
      <c r="BU68" s="773">
        <f>SUM(BU64:BU67)</f>
        <v>2.5000000000000001E-2</v>
      </c>
      <c r="BV68" s="773">
        <f>SUM(BV64:BV67)</f>
        <v>2.5000000000000001E-2</v>
      </c>
      <c r="BW68" s="773">
        <f>SUM(BW64:BW67)</f>
        <v>2.5000000000000001E-2</v>
      </c>
      <c r="BX68" s="774">
        <f>BX59/BS59-1</f>
        <v>2.4022716564934266E-2</v>
      </c>
      <c r="BY68" s="773">
        <f>SUM(BY64:BY67)</f>
        <v>2.5000000000000001E-2</v>
      </c>
      <c r="BZ68" s="773">
        <f>SUM(BZ64:BZ67)</f>
        <v>2.5000000000000001E-2</v>
      </c>
      <c r="CA68" s="773">
        <f>SUM(CA64:CA67)</f>
        <v>2.5000000000000001E-2</v>
      </c>
      <c r="CB68" s="773">
        <f>SUM(CB64:CB67)</f>
        <v>2.5000000000000001E-2</v>
      </c>
      <c r="CC68" s="774">
        <f>CC59/BX59-1</f>
        <v>2.4999999999999911E-2</v>
      </c>
      <c r="CD68" s="773">
        <f>SUM(CD64:CD67)</f>
        <v>2.5000000000000001E-2</v>
      </c>
      <c r="CE68" s="773">
        <f>SUM(CE64:CE67)</f>
        <v>2.5000000000000001E-2</v>
      </c>
      <c r="CF68" s="773">
        <f>SUM(CF64:CF67)</f>
        <v>2.5000000000000001E-2</v>
      </c>
      <c r="CG68" s="773">
        <f>SUM(CG64:CG67)</f>
        <v>2.4999999999999988E-2</v>
      </c>
      <c r="CH68" s="774">
        <f>CH59/CC59-1</f>
        <v>2.4999999999999911E-2</v>
      </c>
      <c r="CI68" s="773">
        <f>SUM(CI64:CI67)</f>
        <v>2.5000000000000001E-2</v>
      </c>
      <c r="CJ68" s="773">
        <f>SUM(CJ64:CJ67)</f>
        <v>2.5000000000000001E-2</v>
      </c>
      <c r="CK68" s="773">
        <f>SUM(CK64:CK67)</f>
        <v>2.5000000000000001E-2</v>
      </c>
      <c r="CL68" s="773">
        <f>SUM(CL64:CL67)</f>
        <v>2.5000000000000008E-2</v>
      </c>
      <c r="CM68" s="774">
        <f>CM59/CH59-1</f>
        <v>2.4999999999999911E-2</v>
      </c>
    </row>
    <row r="69" spans="1:91" collapsed="1" x14ac:dyDescent="0.2">
      <c r="A69" s="63"/>
      <c r="B69" s="49"/>
      <c r="C69" s="49"/>
      <c r="D69" s="49"/>
      <c r="E69" s="49"/>
      <c r="F69" s="66"/>
      <c r="G69" s="49"/>
      <c r="H69" s="49"/>
      <c r="I69" s="49"/>
      <c r="J69" s="49"/>
      <c r="K69" s="66"/>
      <c r="L69" s="42"/>
      <c r="M69" s="42"/>
      <c r="N69" s="42"/>
      <c r="O69" s="42"/>
      <c r="P69" s="66"/>
      <c r="Q69" s="148"/>
      <c r="R69" s="148"/>
      <c r="S69" s="148"/>
      <c r="T69" s="148"/>
      <c r="U69" s="149"/>
      <c r="V69" s="148"/>
      <c r="W69" s="148"/>
      <c r="X69" s="148"/>
      <c r="Y69" s="148"/>
      <c r="Z69" s="149"/>
      <c r="AA69" s="62">
        <f>AVERAGE(AA77,V77)</f>
        <v>9.5000000000000001E-2</v>
      </c>
      <c r="AB69" s="62">
        <f>AVERAGE(AB77,W77)</f>
        <v>0.1</v>
      </c>
      <c r="AC69" s="62">
        <f>AVERAGE(AC77,X77)</f>
        <v>0.1</v>
      </c>
      <c r="AD69" s="62">
        <f>AVERAGE(AD77,Y77)</f>
        <v>6.5000000000000002E-2</v>
      </c>
      <c r="AE69" s="149"/>
      <c r="AF69" s="62"/>
      <c r="AG69" s="62"/>
      <c r="AH69" s="62"/>
      <c r="AI69" s="62"/>
      <c r="AJ69" s="149"/>
      <c r="AK69" s="62"/>
      <c r="AL69" s="62"/>
      <c r="AM69" s="62"/>
      <c r="AN69" s="62"/>
      <c r="AO69" s="149"/>
      <c r="AP69" s="62"/>
      <c r="AQ69" s="62"/>
      <c r="AR69" s="62"/>
      <c r="AS69" s="62"/>
      <c r="AT69" s="149"/>
      <c r="AU69" s="62"/>
      <c r="AV69" s="62"/>
      <c r="AW69" s="62"/>
      <c r="AX69" s="62"/>
      <c r="AY69" s="149"/>
      <c r="AZ69" s="62"/>
      <c r="BA69" s="62"/>
      <c r="BB69" s="62"/>
      <c r="BC69" s="62"/>
      <c r="BD69" s="149"/>
      <c r="BE69" s="62"/>
      <c r="BF69" s="62"/>
      <c r="BG69" s="62"/>
      <c r="BH69" s="62"/>
      <c r="BI69" s="651"/>
      <c r="BJ69" s="650"/>
      <c r="BK69" s="650"/>
      <c r="BL69" s="650"/>
      <c r="BM69" s="650"/>
      <c r="BN69" s="651"/>
      <c r="BO69" s="650"/>
      <c r="BP69" s="650"/>
      <c r="BQ69" s="650"/>
      <c r="BR69" s="650"/>
      <c r="BS69" s="651"/>
      <c r="BT69" s="62"/>
      <c r="BU69" s="62"/>
      <c r="BV69" s="50"/>
      <c r="BW69" s="50"/>
      <c r="BX69" s="66"/>
      <c r="BY69" s="62"/>
      <c r="BZ69" s="62"/>
      <c r="CA69" s="50"/>
      <c r="CB69" s="50"/>
      <c r="CC69" s="66"/>
      <c r="CD69" s="62"/>
      <c r="CE69" s="62"/>
      <c r="CF69" s="50"/>
      <c r="CG69" s="50"/>
      <c r="CH69" s="66"/>
      <c r="CI69" s="62"/>
      <c r="CJ69" s="62"/>
      <c r="CK69" s="50"/>
      <c r="CL69" s="50"/>
      <c r="CM69" s="66"/>
    </row>
    <row r="70" spans="1:91" ht="3.75" customHeight="1" x14ac:dyDescent="0.2">
      <c r="A70" s="63"/>
      <c r="B70" s="49"/>
      <c r="C70" s="49"/>
      <c r="D70" s="49"/>
      <c r="E70" s="49"/>
      <c r="F70" s="66"/>
      <c r="G70" s="49"/>
      <c r="H70" s="49"/>
      <c r="I70" s="49"/>
      <c r="J70" s="49"/>
      <c r="K70" s="66"/>
      <c r="L70" s="42"/>
      <c r="M70" s="42"/>
      <c r="N70" s="42"/>
      <c r="O70" s="42"/>
      <c r="P70" s="66"/>
      <c r="Q70" s="42"/>
      <c r="R70" s="42"/>
      <c r="S70" s="42"/>
      <c r="T70" s="42"/>
      <c r="U70" s="66"/>
      <c r="V70" s="50"/>
      <c r="W70" s="62"/>
      <c r="X70" s="62"/>
      <c r="Y70" s="62"/>
      <c r="Z70" s="66"/>
      <c r="AA70" s="62"/>
      <c r="AB70" s="76"/>
      <c r="AC70" s="50"/>
      <c r="AD70" s="62"/>
      <c r="AE70" s="66"/>
      <c r="AF70" s="62"/>
      <c r="AG70" s="62"/>
      <c r="AH70" s="50"/>
      <c r="AI70" s="50"/>
      <c r="AJ70" s="66"/>
      <c r="AK70" s="62"/>
      <c r="AL70" s="76"/>
      <c r="AM70" s="50"/>
      <c r="AN70" s="50"/>
      <c r="AO70" s="66"/>
      <c r="AP70" s="62"/>
      <c r="AQ70" s="76"/>
      <c r="AR70" s="50"/>
      <c r="AS70" s="50"/>
      <c r="AT70" s="66"/>
      <c r="AU70" s="62"/>
      <c r="AV70" s="76"/>
      <c r="AW70" s="50"/>
      <c r="AX70" s="50"/>
      <c r="AY70" s="66"/>
      <c r="AZ70" s="62"/>
      <c r="BA70" s="76"/>
      <c r="BB70" s="76"/>
      <c r="BC70" s="76"/>
      <c r="BD70" s="66"/>
      <c r="BE70" s="76"/>
      <c r="BF70" s="76"/>
      <c r="BG70" s="50"/>
      <c r="BH70" s="50"/>
      <c r="BI70" s="66"/>
      <c r="BJ70" s="62"/>
      <c r="BK70" s="76"/>
      <c r="BL70" s="50"/>
      <c r="BM70" s="50"/>
      <c r="BN70" s="66"/>
      <c r="BO70" s="62"/>
      <c r="BP70" s="76"/>
      <c r="BQ70" s="50"/>
      <c r="BR70" s="50"/>
      <c r="BS70" s="66"/>
      <c r="BT70" s="62"/>
      <c r="BU70" s="76"/>
      <c r="BV70" s="50"/>
      <c r="BW70" s="50"/>
      <c r="BX70" s="66"/>
      <c r="BY70" s="62"/>
      <c r="BZ70" s="76"/>
      <c r="CA70" s="50"/>
      <c r="CB70" s="50"/>
      <c r="CC70" s="66"/>
      <c r="CD70" s="62"/>
      <c r="CE70" s="76"/>
      <c r="CF70" s="50"/>
      <c r="CG70" s="50"/>
      <c r="CH70" s="66"/>
      <c r="CI70" s="62"/>
      <c r="CJ70" s="76"/>
      <c r="CK70" s="50"/>
      <c r="CL70" s="50"/>
      <c r="CM70" s="66"/>
    </row>
    <row r="71" spans="1:91" x14ac:dyDescent="0.2">
      <c r="A71" s="52" t="s">
        <v>14</v>
      </c>
      <c r="B71" s="53">
        <v>495</v>
      </c>
      <c r="C71" s="53">
        <v>525</v>
      </c>
      <c r="D71" s="53">
        <v>547</v>
      </c>
      <c r="E71" s="53">
        <v>591</v>
      </c>
      <c r="F71" s="65">
        <f>SUM(B71:E71)</f>
        <v>2158</v>
      </c>
      <c r="G71" s="53">
        <v>603</v>
      </c>
      <c r="H71" s="53">
        <v>622</v>
      </c>
      <c r="I71" s="53">
        <v>654</v>
      </c>
      <c r="J71" s="53">
        <v>737</v>
      </c>
      <c r="K71" s="65">
        <f>SUM(G71:J71)</f>
        <v>2616</v>
      </c>
      <c r="L71" s="53">
        <v>719</v>
      </c>
      <c r="M71" s="53">
        <v>779</v>
      </c>
      <c r="N71" s="53">
        <v>835</v>
      </c>
      <c r="O71" s="53">
        <v>911</v>
      </c>
      <c r="P71" s="65">
        <f>SUM(L71:O71)</f>
        <v>3244</v>
      </c>
      <c r="Q71" s="53">
        <v>901</v>
      </c>
      <c r="R71" s="53">
        <v>960</v>
      </c>
      <c r="S71" s="53">
        <v>1033</v>
      </c>
      <c r="T71" s="53">
        <v>941</v>
      </c>
      <c r="U71" s="65">
        <f>SUM(Q71:T71)</f>
        <v>3835</v>
      </c>
      <c r="V71" s="53">
        <v>860</v>
      </c>
      <c r="W71" s="53">
        <v>898</v>
      </c>
      <c r="X71" s="53">
        <v>1004</v>
      </c>
      <c r="Y71" s="53">
        <v>1120</v>
      </c>
      <c r="Z71" s="65">
        <f>SUM(V71:Y71)</f>
        <v>3882</v>
      </c>
      <c r="AA71" s="53">
        <v>985</v>
      </c>
      <c r="AB71" s="53">
        <v>1003</v>
      </c>
      <c r="AC71" s="53">
        <v>1048</v>
      </c>
      <c r="AD71" s="53">
        <v>1085</v>
      </c>
      <c r="AE71" s="65">
        <f>SUM(AA71:AD71)</f>
        <v>4121</v>
      </c>
      <c r="AF71" s="53">
        <v>1154</v>
      </c>
      <c r="AG71" s="53">
        <v>1133</v>
      </c>
      <c r="AH71" s="53">
        <v>1226</v>
      </c>
      <c r="AI71" s="53">
        <v>1177</v>
      </c>
      <c r="AJ71" s="65">
        <f>SUM(AF71:AI71)</f>
        <v>4690</v>
      </c>
      <c r="AK71" s="53">
        <v>1186</v>
      </c>
      <c r="AL71" s="53">
        <v>1145</v>
      </c>
      <c r="AM71" s="53">
        <v>1226</v>
      </c>
      <c r="AN71" s="53">
        <v>1274</v>
      </c>
      <c r="AO71" s="65">
        <f>SUM(AK71:AN71)</f>
        <v>4831</v>
      </c>
      <c r="AP71" s="53">
        <v>1228</v>
      </c>
      <c r="AQ71" s="53">
        <v>1215</v>
      </c>
      <c r="AR71" s="53">
        <v>1230</v>
      </c>
      <c r="AS71" s="53">
        <v>1266</v>
      </c>
      <c r="AT71" s="65">
        <f>SUM(AP71:AS71)</f>
        <v>4939</v>
      </c>
      <c r="AU71" s="53">
        <v>1111</v>
      </c>
      <c r="AV71" s="53">
        <v>1118</v>
      </c>
      <c r="AW71" s="53">
        <v>1177</v>
      </c>
      <c r="AX71" s="53">
        <v>1251</v>
      </c>
      <c r="AY71" s="65">
        <f>SUM(AU71:AX71)</f>
        <v>4657</v>
      </c>
      <c r="AZ71" s="547">
        <v>1066</v>
      </c>
      <c r="BA71" s="547">
        <v>973</v>
      </c>
      <c r="BB71" s="547">
        <v>1012</v>
      </c>
      <c r="BC71" s="547">
        <v>1023</v>
      </c>
      <c r="BD71" s="65">
        <f>SUM(AZ71:BC71)</f>
        <v>4074</v>
      </c>
      <c r="BE71" s="547">
        <v>935</v>
      </c>
      <c r="BF71" s="53">
        <v>937</v>
      </c>
      <c r="BG71" s="53">
        <v>965</v>
      </c>
      <c r="BH71" s="53">
        <v>982</v>
      </c>
      <c r="BI71" s="65">
        <f>SUM(BE71:BH71)</f>
        <v>3819</v>
      </c>
      <c r="BJ71" s="53">
        <v>926</v>
      </c>
      <c r="BK71" s="53">
        <v>950</v>
      </c>
      <c r="BL71" s="53">
        <v>1035</v>
      </c>
      <c r="BM71" s="53">
        <v>1118</v>
      </c>
      <c r="BN71" s="65">
        <f>SUM(BJ71:BM71)</f>
        <v>4029</v>
      </c>
      <c r="BO71" s="53">
        <v>998</v>
      </c>
      <c r="BP71" s="53">
        <f>BK71*(1+BP80)</f>
        <v>1045.7511691561306</v>
      </c>
      <c r="BQ71" s="53">
        <f>BL71*(1+BQ80)</f>
        <v>1124.4905730219941</v>
      </c>
      <c r="BR71" s="53">
        <f>BM71*(1+BR80)</f>
        <v>1232.0593509571615</v>
      </c>
      <c r="BS71" s="65">
        <f>SUM(BO71:BR71)</f>
        <v>4400.3010931352865</v>
      </c>
      <c r="BT71" s="53">
        <f>BO71*(1+BT80)</f>
        <v>1081.485313040539</v>
      </c>
      <c r="BU71" s="53">
        <f>BP71*(1+BU80)</f>
        <v>1145.0975302259631</v>
      </c>
      <c r="BV71" s="53">
        <f>BQ71*(1+BV80)</f>
        <v>1231.3171774590835</v>
      </c>
      <c r="BW71" s="53">
        <f>BR71*(1+BW80)</f>
        <v>1349.1049892980918</v>
      </c>
      <c r="BX71" s="65">
        <f>SUM(BT71:BW71)</f>
        <v>4807.0050100236776</v>
      </c>
      <c r="BY71" s="53">
        <f>BT71*(1+BY80)</f>
        <v>1178.8189912141877</v>
      </c>
      <c r="BZ71" s="53">
        <f>BU71*(1+BZ80)</f>
        <v>1248.1563079462999</v>
      </c>
      <c r="CA71" s="53">
        <f>BV71*(1+CA80)</f>
        <v>1342.1357234304012</v>
      </c>
      <c r="CB71" s="53">
        <f>BW71*(1+CB80)</f>
        <v>1470.5244383349202</v>
      </c>
      <c r="CC71" s="65">
        <f>SUM(BY71:CB71)</f>
        <v>5239.6354609258087</v>
      </c>
      <c r="CD71" s="53">
        <f>BY71*(1+CD80)</f>
        <v>1279.0186054673936</v>
      </c>
      <c r="CE71" s="53">
        <f>BZ71*(1+CE80)</f>
        <v>1354.2495941217353</v>
      </c>
      <c r="CF71" s="53">
        <f>CA71*(1+CF80)</f>
        <v>1456.2172599219853</v>
      </c>
      <c r="CG71" s="53">
        <f>CB71*(1+CG80)</f>
        <v>1595.5190155933883</v>
      </c>
      <c r="CH71" s="65">
        <f>SUM(CD71:CG71)</f>
        <v>5685.0044751045025</v>
      </c>
      <c r="CI71" s="53">
        <f>CD71*(1+CI80)</f>
        <v>1368.5499078501114</v>
      </c>
      <c r="CJ71" s="53">
        <f>CE71*(1+CJ80)</f>
        <v>1449.0470657102569</v>
      </c>
      <c r="CK71" s="53">
        <f>CF71*(1+CK80)</f>
        <v>1558.1524681165242</v>
      </c>
      <c r="CL71" s="53">
        <f>CG71*(1+CL80)</f>
        <v>1707.2053466849256</v>
      </c>
      <c r="CM71" s="65">
        <f>SUM(CI71:CL71)</f>
        <v>6082.9547883618188</v>
      </c>
    </row>
    <row r="72" spans="1:91" x14ac:dyDescent="0.2">
      <c r="A72" s="45" t="s">
        <v>194</v>
      </c>
      <c r="B72" s="61" t="s">
        <v>169</v>
      </c>
      <c r="C72" s="61" t="s">
        <v>169</v>
      </c>
      <c r="D72" s="61" t="s">
        <v>169</v>
      </c>
      <c r="E72" s="61" t="s">
        <v>169</v>
      </c>
      <c r="F72" s="113" t="s">
        <v>169</v>
      </c>
      <c r="G72" s="61" t="s">
        <v>169</v>
      </c>
      <c r="H72" s="61" t="s">
        <v>169</v>
      </c>
      <c r="I72" s="61" t="s">
        <v>169</v>
      </c>
      <c r="J72" s="61" t="s">
        <v>169</v>
      </c>
      <c r="K72" s="113" t="s">
        <v>169</v>
      </c>
      <c r="L72" s="70">
        <v>-38</v>
      </c>
      <c r="M72" s="70">
        <v>-22</v>
      </c>
      <c r="N72" s="70">
        <v>-44</v>
      </c>
      <c r="O72" s="70">
        <v>-71</v>
      </c>
      <c r="P72" s="77">
        <v>-175</v>
      </c>
      <c r="Q72" s="70">
        <v>-57</v>
      </c>
      <c r="R72" s="70">
        <v>-63</v>
      </c>
      <c r="S72" s="70">
        <v>-44</v>
      </c>
      <c r="T72" s="70">
        <v>-48</v>
      </c>
      <c r="U72" s="77">
        <f>SUM(Q72:T72)</f>
        <v>-212</v>
      </c>
      <c r="V72" s="70">
        <v>-32</v>
      </c>
      <c r="W72" s="70">
        <v>-37</v>
      </c>
      <c r="X72" s="70">
        <v>-44</v>
      </c>
      <c r="Y72" s="70">
        <v>-69</v>
      </c>
      <c r="Z72" s="77">
        <f>SUM(V72:Y72)</f>
        <v>-182</v>
      </c>
      <c r="AA72" s="70">
        <v>-54</v>
      </c>
      <c r="AB72" s="70">
        <v>-57</v>
      </c>
      <c r="AC72" s="70">
        <v>-60</v>
      </c>
      <c r="AD72" s="70">
        <v>-70</v>
      </c>
      <c r="AE72" s="77">
        <f>SUM(AA72:AD72)</f>
        <v>-241</v>
      </c>
      <c r="AF72" s="70">
        <v>-72</v>
      </c>
      <c r="AG72" s="70">
        <v>-69</v>
      </c>
      <c r="AH72" s="70">
        <v>-64</v>
      </c>
      <c r="AI72" s="70">
        <v>-82</v>
      </c>
      <c r="AJ72" s="77">
        <f>SUM(AF72:AI72)</f>
        <v>-287</v>
      </c>
      <c r="AK72" s="70">
        <v>-59</v>
      </c>
      <c r="AL72" s="70">
        <v>-62</v>
      </c>
      <c r="AM72" s="70">
        <v>-55</v>
      </c>
      <c r="AN72" s="70">
        <v>-95</v>
      </c>
      <c r="AO72" s="77">
        <f>SUM(AK72:AN72)</f>
        <v>-271</v>
      </c>
      <c r="AP72" s="70">
        <v>-71</v>
      </c>
      <c r="AQ72" s="70">
        <v>-76</v>
      </c>
      <c r="AR72" s="70">
        <v>-22</v>
      </c>
      <c r="AS72" s="70">
        <v>-22</v>
      </c>
      <c r="AT72" s="77">
        <f>SUM(AP72:AS72)</f>
        <v>-191</v>
      </c>
      <c r="AU72" s="70">
        <v>-17</v>
      </c>
      <c r="AV72" s="70">
        <v>-13</v>
      </c>
      <c r="AW72" s="70">
        <v>-16</v>
      </c>
      <c r="AX72" s="70">
        <v>-14</v>
      </c>
      <c r="AY72" s="77">
        <f>SUM(AU72:AX72)</f>
        <v>-60</v>
      </c>
      <c r="AZ72" s="548">
        <v>-19</v>
      </c>
      <c r="BA72" s="548">
        <v>-18</v>
      </c>
      <c r="BB72" s="548">
        <v>-19</v>
      </c>
      <c r="BC72" s="548">
        <v>-19</v>
      </c>
      <c r="BD72" s="77">
        <f>SUM(AZ72:BC72)</f>
        <v>-75</v>
      </c>
      <c r="BE72" s="548">
        <v>-18</v>
      </c>
      <c r="BF72" s="70">
        <v>-16</v>
      </c>
      <c r="BG72" s="70">
        <v>-16</v>
      </c>
      <c r="BH72" s="70">
        <v>-23</v>
      </c>
      <c r="BI72" s="77">
        <f>SUM(BE72:BH72)</f>
        <v>-73</v>
      </c>
      <c r="BJ72" s="70">
        <v>-13</v>
      </c>
      <c r="BK72" s="70">
        <v>-15</v>
      </c>
      <c r="BL72" s="70">
        <v>-26</v>
      </c>
      <c r="BM72" s="70">
        <v>-19</v>
      </c>
      <c r="BN72" s="77">
        <f>SUM(BJ72:BM72)</f>
        <v>-73</v>
      </c>
      <c r="BO72" s="70">
        <v>-19</v>
      </c>
      <c r="BP72" s="70">
        <f>-BP73*BP71</f>
        <v>-16.511860565623113</v>
      </c>
      <c r="BQ72" s="70">
        <f>-BQ73*BQ71</f>
        <v>-28.2480723657699</v>
      </c>
      <c r="BR72" s="70">
        <f>-BR73*BR71</f>
        <v>-20.938396840953551</v>
      </c>
      <c r="BS72" s="77">
        <f>SUM(BO72:BR72)</f>
        <v>-84.698329772346568</v>
      </c>
      <c r="BT72" s="70">
        <f>-BT73*BT71</f>
        <v>-20.589399747264775</v>
      </c>
      <c r="BU72" s="70">
        <f>-BU73*BU71</f>
        <v>-18.080487319357314</v>
      </c>
      <c r="BV72" s="70">
        <f>-BV73*BV71</f>
        <v>-30.931639240518038</v>
      </c>
      <c r="BW72" s="70">
        <f>-BW73*BW71</f>
        <v>-22.927544540844139</v>
      </c>
      <c r="BX72" s="77">
        <f>SUM(BT72:BW72)</f>
        <v>-92.529070847984258</v>
      </c>
      <c r="BY72" s="70">
        <f>-BY73*BY71</f>
        <v>-22.442445724518606</v>
      </c>
      <c r="BZ72" s="70">
        <f>-BZ73*BZ71</f>
        <v>-19.707731178099472</v>
      </c>
      <c r="CA72" s="70">
        <f>-CA73*CA71</f>
        <v>-33.715486772164667</v>
      </c>
      <c r="CB72" s="70">
        <f>-CB73*CB71</f>
        <v>-24.991023549520111</v>
      </c>
      <c r="CC72" s="77">
        <f>SUM(BY72:CB72)</f>
        <v>-100.85668722430286</v>
      </c>
      <c r="CD72" s="70">
        <f>-CD73*CD71</f>
        <v>-24.350053611102688</v>
      </c>
      <c r="CE72" s="70">
        <f>-CE73*CE71</f>
        <v>-21.382888328237925</v>
      </c>
      <c r="CF72" s="70">
        <f>-CF73*CF71</f>
        <v>-36.581303147798664</v>
      </c>
      <c r="CG72" s="70">
        <f>-CG73*CG71</f>
        <v>-27.115260551229319</v>
      </c>
      <c r="CH72" s="77">
        <f>SUM(CD72:CG72)</f>
        <v>-109.4295056383686</v>
      </c>
      <c r="CI72" s="70">
        <f>-CI73*CI71</f>
        <v>-26.054557363879876</v>
      </c>
      <c r="CJ72" s="70">
        <f>-CJ73*CJ71</f>
        <v>-22.879690511214584</v>
      </c>
      <c r="CK72" s="70">
        <f>-CK73*CK71</f>
        <v>-39.141994368144566</v>
      </c>
      <c r="CL72" s="70">
        <f>-CL73*CL71</f>
        <v>-29.013328789815375</v>
      </c>
      <c r="CM72" s="77">
        <f>SUM(CI72:CL72)</f>
        <v>-117.0895710330544</v>
      </c>
    </row>
    <row r="73" spans="1:91" hidden="1" outlineLevel="1" x14ac:dyDescent="0.2">
      <c r="A73" s="45" t="s">
        <v>196</v>
      </c>
      <c r="B73" s="61" t="s">
        <v>169</v>
      </c>
      <c r="C73" s="61" t="s">
        <v>169</v>
      </c>
      <c r="D73" s="61" t="s">
        <v>169</v>
      </c>
      <c r="E73" s="61" t="s">
        <v>169</v>
      </c>
      <c r="F73" s="113" t="s">
        <v>169</v>
      </c>
      <c r="G73" s="61" t="s">
        <v>169</v>
      </c>
      <c r="H73" s="61" t="s">
        <v>169</v>
      </c>
      <c r="I73" s="61" t="s">
        <v>169</v>
      </c>
      <c r="J73" s="61" t="s">
        <v>169</v>
      </c>
      <c r="K73" s="113" t="s">
        <v>169</v>
      </c>
      <c r="L73" s="36">
        <f t="shared" ref="L73:AS73" si="113">-L72/L71</f>
        <v>5.2851182197496523E-2</v>
      </c>
      <c r="M73" s="36">
        <f t="shared" si="113"/>
        <v>2.8241335044929396E-2</v>
      </c>
      <c r="N73" s="36">
        <f t="shared" si="113"/>
        <v>5.2694610778443111E-2</v>
      </c>
      <c r="O73" s="36">
        <f t="shared" si="113"/>
        <v>7.7936333699231614E-2</v>
      </c>
      <c r="P73" s="27">
        <f t="shared" si="113"/>
        <v>5.3945745992601726E-2</v>
      </c>
      <c r="Q73" s="36">
        <f t="shared" si="113"/>
        <v>6.3263041065482792E-2</v>
      </c>
      <c r="R73" s="36">
        <f t="shared" si="113"/>
        <v>6.5625000000000003E-2</v>
      </c>
      <c r="S73" s="36">
        <f t="shared" si="113"/>
        <v>4.2594385285575992E-2</v>
      </c>
      <c r="T73" s="36">
        <f t="shared" si="113"/>
        <v>5.1009564293304992E-2</v>
      </c>
      <c r="U73" s="27">
        <f t="shared" si="113"/>
        <v>5.5280312907431552E-2</v>
      </c>
      <c r="V73" s="36">
        <f t="shared" si="113"/>
        <v>3.7209302325581395E-2</v>
      </c>
      <c r="W73" s="36">
        <f t="shared" si="113"/>
        <v>4.1202672605790643E-2</v>
      </c>
      <c r="X73" s="36">
        <f t="shared" si="113"/>
        <v>4.3824701195219126E-2</v>
      </c>
      <c r="Y73" s="36">
        <f t="shared" si="113"/>
        <v>6.160714285714286E-2</v>
      </c>
      <c r="Z73" s="27">
        <f t="shared" si="113"/>
        <v>4.6883049974240081E-2</v>
      </c>
      <c r="AA73" s="36">
        <f t="shared" si="113"/>
        <v>5.4822335025380711E-2</v>
      </c>
      <c r="AB73" s="36">
        <f t="shared" si="113"/>
        <v>5.6829511465603187E-2</v>
      </c>
      <c r="AC73" s="36">
        <f t="shared" si="113"/>
        <v>5.7251908396946563E-2</v>
      </c>
      <c r="AD73" s="36">
        <f t="shared" si="113"/>
        <v>6.4516129032258063E-2</v>
      </c>
      <c r="AE73" s="27">
        <f>-AE72/AE71</f>
        <v>5.8480951225430719E-2</v>
      </c>
      <c r="AF73" s="36">
        <f t="shared" si="113"/>
        <v>6.2391681109185443E-2</v>
      </c>
      <c r="AG73" s="36">
        <f t="shared" si="113"/>
        <v>6.0900264783759928E-2</v>
      </c>
      <c r="AH73" s="36">
        <f t="shared" si="113"/>
        <v>5.2202283849918436E-2</v>
      </c>
      <c r="AI73" s="36">
        <f t="shared" si="113"/>
        <v>6.9668649107901451E-2</v>
      </c>
      <c r="AJ73" s="27">
        <f>-AJ72/AJ71</f>
        <v>6.1194029850746269E-2</v>
      </c>
      <c r="AK73" s="36">
        <f t="shared" si="113"/>
        <v>4.9747048903878585E-2</v>
      </c>
      <c r="AL73" s="36">
        <f t="shared" si="113"/>
        <v>5.4148471615720527E-2</v>
      </c>
      <c r="AM73" s="36">
        <f t="shared" si="113"/>
        <v>4.4861337683523655E-2</v>
      </c>
      <c r="AN73" s="36">
        <f t="shared" si="113"/>
        <v>7.4568288854003142E-2</v>
      </c>
      <c r="AO73" s="27">
        <f>-AO72/AO71</f>
        <v>5.6096046367211758E-2</v>
      </c>
      <c r="AP73" s="36">
        <f t="shared" si="113"/>
        <v>5.7817589576547229E-2</v>
      </c>
      <c r="AQ73" s="36">
        <f t="shared" si="113"/>
        <v>6.2551440329218111E-2</v>
      </c>
      <c r="AR73" s="36">
        <f t="shared" si="113"/>
        <v>1.7886178861788619E-2</v>
      </c>
      <c r="AS73" s="36">
        <f t="shared" si="113"/>
        <v>1.7377567140600316E-2</v>
      </c>
      <c r="AT73" s="27">
        <f t="shared" ref="AT73:BF73" si="114">-AT72/AT71</f>
        <v>3.8671795910103259E-2</v>
      </c>
      <c r="AU73" s="36">
        <f t="shared" si="114"/>
        <v>1.5301530153015301E-2</v>
      </c>
      <c r="AV73" s="36">
        <f t="shared" si="114"/>
        <v>1.1627906976744186E-2</v>
      </c>
      <c r="AW73" s="36">
        <f t="shared" si="114"/>
        <v>1.3593882752761258E-2</v>
      </c>
      <c r="AX73" s="36">
        <f t="shared" si="114"/>
        <v>1.1191047162270184E-2</v>
      </c>
      <c r="AY73" s="27">
        <f t="shared" si="114"/>
        <v>1.2883830792355593E-2</v>
      </c>
      <c r="AZ73" s="36">
        <f t="shared" si="114"/>
        <v>1.7823639774859287E-2</v>
      </c>
      <c r="BA73" s="36">
        <f t="shared" si="114"/>
        <v>1.8499486125385406E-2</v>
      </c>
      <c r="BB73" s="36">
        <f t="shared" si="114"/>
        <v>1.8774703557312252E-2</v>
      </c>
      <c r="BC73" s="36">
        <f t="shared" si="114"/>
        <v>1.8572825024437929E-2</v>
      </c>
      <c r="BD73" s="27">
        <f>-BD72/BD71</f>
        <v>1.8409425625920472E-2</v>
      </c>
      <c r="BE73" s="36">
        <f t="shared" si="114"/>
        <v>1.9251336898395723E-2</v>
      </c>
      <c r="BF73" s="36">
        <f t="shared" si="114"/>
        <v>1.7075773745997867E-2</v>
      </c>
      <c r="BG73" s="36">
        <f t="shared" ref="BG73:BL73" si="115">-BG72/BG71</f>
        <v>1.6580310880829015E-2</v>
      </c>
      <c r="BH73" s="36">
        <f t="shared" si="115"/>
        <v>2.3421588594704685E-2</v>
      </c>
      <c r="BI73" s="27">
        <f t="shared" si="115"/>
        <v>1.9114951557999478E-2</v>
      </c>
      <c r="BJ73" s="36">
        <f t="shared" si="115"/>
        <v>1.4038876889848811E-2</v>
      </c>
      <c r="BK73" s="36">
        <f t="shared" si="115"/>
        <v>1.5789473684210527E-2</v>
      </c>
      <c r="BL73" s="36">
        <f t="shared" si="115"/>
        <v>2.5120772946859903E-2</v>
      </c>
      <c r="BM73" s="36">
        <f t="shared" ref="BM73" si="116">-BM72/BM71</f>
        <v>1.6994633273703041E-2</v>
      </c>
      <c r="BN73" s="27">
        <f>-BN72/BN71</f>
        <v>1.8118639861007695E-2</v>
      </c>
      <c r="BO73" s="36">
        <f t="shared" ref="BO73" si="117">-BO72/BO71</f>
        <v>1.9038076152304611E-2</v>
      </c>
      <c r="BP73" s="41">
        <f>BK73</f>
        <v>1.5789473684210527E-2</v>
      </c>
      <c r="BQ73" s="41">
        <f>BL73</f>
        <v>2.5120772946859903E-2</v>
      </c>
      <c r="BR73" s="41">
        <f>BM73</f>
        <v>1.6994633273703041E-2</v>
      </c>
      <c r="BS73" s="27">
        <f>-BS72/BS71</f>
        <v>1.9248303236449129E-2</v>
      </c>
      <c r="BT73" s="41">
        <f>BO73</f>
        <v>1.9038076152304611E-2</v>
      </c>
      <c r="BU73" s="41">
        <f>BP73</f>
        <v>1.5789473684210527E-2</v>
      </c>
      <c r="BV73" s="41">
        <f>BQ73</f>
        <v>2.5120772946859903E-2</v>
      </c>
      <c r="BW73" s="41">
        <f>BR73</f>
        <v>1.6994633273703041E-2</v>
      </c>
      <c r="BX73" s="27">
        <f>-BX72/BX71</f>
        <v>1.9248798504482627E-2</v>
      </c>
      <c r="BY73" s="41">
        <f>BT73</f>
        <v>1.9038076152304611E-2</v>
      </c>
      <c r="BZ73" s="41">
        <f>BU73</f>
        <v>1.5789473684210527E-2</v>
      </c>
      <c r="CA73" s="41">
        <f>BV73</f>
        <v>2.5120772946859903E-2</v>
      </c>
      <c r="CB73" s="41">
        <f>BW73</f>
        <v>1.6994633273703041E-2</v>
      </c>
      <c r="CC73" s="27">
        <f>-CC72/CC71</f>
        <v>1.924879850448263E-2</v>
      </c>
      <c r="CD73" s="41">
        <f>BY73</f>
        <v>1.9038076152304611E-2</v>
      </c>
      <c r="CE73" s="41">
        <f>BZ73</f>
        <v>1.5789473684210527E-2</v>
      </c>
      <c r="CF73" s="41">
        <f>CA73</f>
        <v>2.5120772946859903E-2</v>
      </c>
      <c r="CG73" s="41">
        <f>CB73</f>
        <v>1.6994633273703041E-2</v>
      </c>
      <c r="CH73" s="27">
        <f>-CH72/CH71</f>
        <v>1.9248798504482627E-2</v>
      </c>
      <c r="CI73" s="41">
        <f>CD73</f>
        <v>1.9038076152304611E-2</v>
      </c>
      <c r="CJ73" s="41">
        <f>CE73</f>
        <v>1.5789473684210527E-2</v>
      </c>
      <c r="CK73" s="41">
        <f>CF73</f>
        <v>2.5120772946859903E-2</v>
      </c>
      <c r="CL73" s="41">
        <f>CG73</f>
        <v>1.6994633273703041E-2</v>
      </c>
      <c r="CM73" s="27">
        <f>-CM72/CM71</f>
        <v>1.9248798504482623E-2</v>
      </c>
    </row>
    <row r="74" spans="1:91" collapsed="1" x14ac:dyDescent="0.2">
      <c r="A74" s="58" t="s">
        <v>198</v>
      </c>
      <c r="B74" s="61">
        <f t="shared" ref="B74:K74" si="118">B71</f>
        <v>495</v>
      </c>
      <c r="C74" s="61">
        <f t="shared" si="118"/>
        <v>525</v>
      </c>
      <c r="D74" s="61">
        <f t="shared" si="118"/>
        <v>547</v>
      </c>
      <c r="E74" s="61">
        <f t="shared" si="118"/>
        <v>591</v>
      </c>
      <c r="F74" s="65">
        <f t="shared" si="118"/>
        <v>2158</v>
      </c>
      <c r="G74" s="61">
        <f t="shared" si="118"/>
        <v>603</v>
      </c>
      <c r="H74" s="61">
        <f t="shared" si="118"/>
        <v>622</v>
      </c>
      <c r="I74" s="61">
        <f t="shared" si="118"/>
        <v>654</v>
      </c>
      <c r="J74" s="61">
        <f t="shared" si="118"/>
        <v>737</v>
      </c>
      <c r="K74" s="65">
        <f t="shared" si="118"/>
        <v>2616</v>
      </c>
      <c r="L74" s="53">
        <f t="shared" ref="L74:AD74" si="119">SUM(L71,L72)</f>
        <v>681</v>
      </c>
      <c r="M74" s="53">
        <f t="shared" si="119"/>
        <v>757</v>
      </c>
      <c r="N74" s="53">
        <f t="shared" si="119"/>
        <v>791</v>
      </c>
      <c r="O74" s="53">
        <f t="shared" si="119"/>
        <v>840</v>
      </c>
      <c r="P74" s="65">
        <f t="shared" si="119"/>
        <v>3069</v>
      </c>
      <c r="Q74" s="53">
        <f t="shared" si="119"/>
        <v>844</v>
      </c>
      <c r="R74" s="53">
        <f t="shared" si="119"/>
        <v>897</v>
      </c>
      <c r="S74" s="53">
        <f t="shared" si="119"/>
        <v>989</v>
      </c>
      <c r="T74" s="53">
        <f t="shared" si="119"/>
        <v>893</v>
      </c>
      <c r="U74" s="65">
        <f t="shared" si="119"/>
        <v>3623</v>
      </c>
      <c r="V74" s="53">
        <f t="shared" si="119"/>
        <v>828</v>
      </c>
      <c r="W74" s="53">
        <f t="shared" si="119"/>
        <v>861</v>
      </c>
      <c r="X74" s="53">
        <f t="shared" si="119"/>
        <v>960</v>
      </c>
      <c r="Y74" s="53">
        <f t="shared" si="119"/>
        <v>1051</v>
      </c>
      <c r="Z74" s="65">
        <f t="shared" si="119"/>
        <v>3700</v>
      </c>
      <c r="AA74" s="53">
        <f t="shared" si="119"/>
        <v>931</v>
      </c>
      <c r="AB74" s="53">
        <f t="shared" si="119"/>
        <v>946</v>
      </c>
      <c r="AC74" s="53">
        <f t="shared" si="119"/>
        <v>988</v>
      </c>
      <c r="AD74" s="53">
        <f t="shared" si="119"/>
        <v>1015</v>
      </c>
      <c r="AE74" s="65">
        <f>SUM(AA74:AD74)</f>
        <v>3880</v>
      </c>
      <c r="AF74" s="53">
        <f>SUM(AF71,AF72)</f>
        <v>1082</v>
      </c>
      <c r="AG74" s="53">
        <f>SUM(AG71,AG72)</f>
        <v>1064</v>
      </c>
      <c r="AH74" s="53">
        <f>SUM(AH71,AH72)</f>
        <v>1162</v>
      </c>
      <c r="AI74" s="53">
        <f>SUM(AI71,AI72)</f>
        <v>1095</v>
      </c>
      <c r="AJ74" s="65">
        <f>SUM(AF74:AI74)</f>
        <v>4403</v>
      </c>
      <c r="AK74" s="53">
        <f>SUM(AK71,AK72)</f>
        <v>1127</v>
      </c>
      <c r="AL74" s="53">
        <f>SUM(AL71,AL72)</f>
        <v>1083</v>
      </c>
      <c r="AM74" s="53">
        <f>SUM(AM71,AM72)</f>
        <v>1171</v>
      </c>
      <c r="AN74" s="53">
        <f>SUM(AN71,AN72)</f>
        <v>1179</v>
      </c>
      <c r="AO74" s="65">
        <f>SUM(AK74:AN74)</f>
        <v>4560</v>
      </c>
      <c r="AP74" s="53">
        <f>SUM(AP71,AP72)</f>
        <v>1157</v>
      </c>
      <c r="AQ74" s="53">
        <f>SUM(AQ71,AQ72)</f>
        <v>1139</v>
      </c>
      <c r="AR74" s="53">
        <f>SUM(AR71,AR72)</f>
        <v>1208</v>
      </c>
      <c r="AS74" s="53">
        <f>SUM(AS71,AS72)</f>
        <v>1244</v>
      </c>
      <c r="AT74" s="65">
        <f>SUM(AP74:AS74)</f>
        <v>4748</v>
      </c>
      <c r="AU74" s="53">
        <f>SUM(AU71,AU72)</f>
        <v>1094</v>
      </c>
      <c r="AV74" s="53">
        <f>SUM(AV71,AV72)</f>
        <v>1105</v>
      </c>
      <c r="AW74" s="53">
        <f>SUM(AW71,AW72)</f>
        <v>1161</v>
      </c>
      <c r="AX74" s="53">
        <f>SUM(AX71,AX72)</f>
        <v>1237</v>
      </c>
      <c r="AY74" s="65">
        <f>SUM(AU74:AX74)</f>
        <v>4597</v>
      </c>
      <c r="AZ74" s="53">
        <f>SUM(AZ71,AZ72)</f>
        <v>1047</v>
      </c>
      <c r="BA74" s="53">
        <f>SUM(BA71,BA72)</f>
        <v>955</v>
      </c>
      <c r="BB74" s="53">
        <f>SUM(BB71,BB72)</f>
        <v>993</v>
      </c>
      <c r="BC74" s="53">
        <f>SUM(BC71,BC72)</f>
        <v>1004</v>
      </c>
      <c r="BD74" s="65">
        <f>SUM(AZ74:BC74)</f>
        <v>3999</v>
      </c>
      <c r="BE74" s="53">
        <f>SUM(BE71,BE72)</f>
        <v>917</v>
      </c>
      <c r="BF74" s="53">
        <f>SUM(BF71,BF72)</f>
        <v>921</v>
      </c>
      <c r="BG74" s="53">
        <f>SUM(BG71,BG72)</f>
        <v>949</v>
      </c>
      <c r="BH74" s="53">
        <f>SUM(BH71,BH72)</f>
        <v>959</v>
      </c>
      <c r="BI74" s="65">
        <f>SUM(BE74:BH74)</f>
        <v>3746</v>
      </c>
      <c r="BJ74" s="53">
        <f>SUM(BJ71,BJ72)</f>
        <v>913</v>
      </c>
      <c r="BK74" s="53">
        <f>SUM(BK71,BK72)</f>
        <v>935</v>
      </c>
      <c r="BL74" s="53">
        <f>SUM(BL71,BL72)</f>
        <v>1009</v>
      </c>
      <c r="BM74" s="53">
        <f>SUM(BM71,BM72)</f>
        <v>1099</v>
      </c>
      <c r="BN74" s="65">
        <f>SUM(BJ74:BM74)</f>
        <v>3956</v>
      </c>
      <c r="BO74" s="53">
        <f>SUM(BO71,BO72)</f>
        <v>979</v>
      </c>
      <c r="BP74" s="53">
        <f>SUM(BP71,BP72)</f>
        <v>1029.2393085905076</v>
      </c>
      <c r="BQ74" s="53">
        <f>SUM(BQ71,BQ72)</f>
        <v>1096.2425006562241</v>
      </c>
      <c r="BR74" s="53">
        <f>SUM(BR71,BR72)</f>
        <v>1211.1209541162079</v>
      </c>
      <c r="BS74" s="65">
        <f>SUM(BO74:BR74)</f>
        <v>4315.6027633629401</v>
      </c>
      <c r="BT74" s="53">
        <f>SUM(BT71,BT72)</f>
        <v>1060.8959132932744</v>
      </c>
      <c r="BU74" s="53">
        <f>SUM(BU71,BU72)</f>
        <v>1127.0170429066056</v>
      </c>
      <c r="BV74" s="53">
        <f>SUM(BV71,BV72)</f>
        <v>1200.3855382185654</v>
      </c>
      <c r="BW74" s="53">
        <f>SUM(BW71,BW72)</f>
        <v>1326.1774447572477</v>
      </c>
      <c r="BX74" s="65">
        <f>SUM(BT74:BW74)</f>
        <v>4714.4759391756934</v>
      </c>
      <c r="BY74" s="53">
        <f>SUM(BY71,BY72)</f>
        <v>1156.3765454896691</v>
      </c>
      <c r="BZ74" s="53">
        <f>SUM(BZ71,BZ72)</f>
        <v>1228.4485767682004</v>
      </c>
      <c r="CA74" s="53">
        <f>SUM(CA71,CA72)</f>
        <v>1308.4202366582365</v>
      </c>
      <c r="CB74" s="53">
        <f>SUM(CB71,CB72)</f>
        <v>1445.5334147854001</v>
      </c>
      <c r="CC74" s="65">
        <f>SUM(BY74:CB74)</f>
        <v>5138.778773701506</v>
      </c>
      <c r="CD74" s="53">
        <f>SUM(CD71,CD72)</f>
        <v>1254.6685518562908</v>
      </c>
      <c r="CE74" s="53">
        <f>SUM(CE71,CE72)</f>
        <v>1332.8667057934974</v>
      </c>
      <c r="CF74" s="53">
        <f>SUM(CF71,CF72)</f>
        <v>1419.6359567741865</v>
      </c>
      <c r="CG74" s="53">
        <f>SUM(CG71,CG72)</f>
        <v>1568.403755042159</v>
      </c>
      <c r="CH74" s="65">
        <f>SUM(CD74:CG74)</f>
        <v>5575.5749694661336</v>
      </c>
      <c r="CI74" s="53">
        <f>SUM(CI71,CI72)</f>
        <v>1342.4953504862315</v>
      </c>
      <c r="CJ74" s="53">
        <f>SUM(CJ71,CJ72)</f>
        <v>1426.1673751990422</v>
      </c>
      <c r="CK74" s="53">
        <f>SUM(CK71,CK72)</f>
        <v>1519.0104737483796</v>
      </c>
      <c r="CL74" s="53">
        <f>SUM(CL71,CL72)</f>
        <v>1678.1920178951102</v>
      </c>
      <c r="CM74" s="65">
        <f>SUM(CI74:CL74)</f>
        <v>5965.8652173287637</v>
      </c>
    </row>
    <row r="75" spans="1:91" x14ac:dyDescent="0.2">
      <c r="A75" s="25" t="s">
        <v>191</v>
      </c>
      <c r="B75" s="36">
        <v>0.06</v>
      </c>
      <c r="C75" s="36">
        <v>0.09</v>
      </c>
      <c r="D75" s="36">
        <v>0.05</v>
      </c>
      <c r="E75" s="36">
        <v>0.05</v>
      </c>
      <c r="F75" s="27">
        <v>0.06</v>
      </c>
      <c r="G75" s="36">
        <v>7.0000000000000007E-2</v>
      </c>
      <c r="H75" s="36">
        <v>7.0000000000000007E-2</v>
      </c>
      <c r="I75" s="36">
        <v>7.0000000000000007E-2</v>
      </c>
      <c r="J75" s="36">
        <v>7.0000000000000007E-2</v>
      </c>
      <c r="K75" s="27">
        <v>7.0000000000000007E-2</v>
      </c>
      <c r="L75" s="36">
        <v>7.0000000000000007E-2</v>
      </c>
      <c r="M75" s="36">
        <v>0.09</v>
      </c>
      <c r="N75" s="36">
        <v>0.09</v>
      </c>
      <c r="O75" s="36">
        <v>0.1</v>
      </c>
      <c r="P75" s="27">
        <v>0.09</v>
      </c>
      <c r="Q75" s="36">
        <v>0.09</v>
      </c>
      <c r="R75" s="36">
        <v>7.0000000000000007E-2</v>
      </c>
      <c r="S75" s="36">
        <v>0.08</v>
      </c>
      <c r="T75" s="36">
        <v>0.06</v>
      </c>
      <c r="U75" s="27">
        <v>0.08</v>
      </c>
      <c r="V75" s="36">
        <v>0.05</v>
      </c>
      <c r="W75" s="36">
        <v>0.06</v>
      </c>
      <c r="X75" s="36">
        <v>7.0000000000000007E-2</v>
      </c>
      <c r="Y75" s="36">
        <v>7.0000000000000007E-2</v>
      </c>
      <c r="Z75" s="27">
        <v>0.06</v>
      </c>
      <c r="AA75" s="36">
        <v>0.04</v>
      </c>
      <c r="AB75" s="36">
        <v>7.0000000000000007E-2</v>
      </c>
      <c r="AC75" s="36">
        <v>0.04</v>
      </c>
      <c r="AD75" s="36">
        <v>0.05</v>
      </c>
      <c r="AE75" s="27">
        <v>0.05</v>
      </c>
      <c r="AF75" s="36">
        <v>7.0000000000000007E-2</v>
      </c>
      <c r="AG75" s="36">
        <v>0.06</v>
      </c>
      <c r="AH75" s="36">
        <v>7.0000000000000007E-2</v>
      </c>
      <c r="AI75" s="36">
        <v>0.04</v>
      </c>
      <c r="AJ75" s="27">
        <f>SUMPRODUCT(AA71:AD71,AF75:AI75)/AE71</f>
        <v>5.9667556418345064E-2</v>
      </c>
      <c r="AK75" s="36">
        <v>0.05</v>
      </c>
      <c r="AL75" s="36">
        <v>0.03</v>
      </c>
      <c r="AM75" s="36">
        <v>0.05</v>
      </c>
      <c r="AN75" s="36">
        <v>0.05</v>
      </c>
      <c r="AO75" s="27">
        <v>0.05</v>
      </c>
      <c r="AP75" s="36">
        <v>0.04</v>
      </c>
      <c r="AQ75" s="36">
        <v>0.02</v>
      </c>
      <c r="AR75" s="36">
        <v>0</v>
      </c>
      <c r="AS75" s="36">
        <v>0</v>
      </c>
      <c r="AT75" s="27">
        <v>0.01</v>
      </c>
      <c r="AU75" s="36">
        <v>0.01</v>
      </c>
      <c r="AV75" s="36">
        <v>0</v>
      </c>
      <c r="AW75" s="36">
        <v>0.02</v>
      </c>
      <c r="AX75" s="36">
        <v>0.02</v>
      </c>
      <c r="AY75" s="27">
        <v>0.01</v>
      </c>
      <c r="AZ75" s="36">
        <v>0</v>
      </c>
      <c r="BA75" s="36">
        <v>0.02</v>
      </c>
      <c r="BB75" s="36">
        <v>0.02</v>
      </c>
      <c r="BC75" s="36">
        <v>0.02</v>
      </c>
      <c r="BD75" s="27">
        <v>0.01</v>
      </c>
      <c r="BE75" s="36">
        <v>0.01</v>
      </c>
      <c r="BF75" s="729">
        <v>0</v>
      </c>
      <c r="BG75" s="729">
        <v>-0.02</v>
      </c>
      <c r="BH75" s="729">
        <v>-0.04</v>
      </c>
      <c r="BI75" s="27">
        <v>-0.01</v>
      </c>
      <c r="BJ75" s="729">
        <v>-0.03</v>
      </c>
      <c r="BK75" s="729">
        <v>-0.02</v>
      </c>
      <c r="BL75" s="729">
        <v>-0.03</v>
      </c>
      <c r="BM75" s="796">
        <v>0</v>
      </c>
      <c r="BN75" s="27">
        <v>-0.02</v>
      </c>
      <c r="BO75" s="796">
        <v>0.01</v>
      </c>
      <c r="BP75" s="41">
        <v>0.03</v>
      </c>
      <c r="BQ75" s="41">
        <v>3.5000000000000003E-2</v>
      </c>
      <c r="BR75" s="36">
        <f>(BS75*BN71-SUMPRODUCT(BJ71:BL71,BO75:BQ75))/BM71</f>
        <v>2.3917710196779973E-2</v>
      </c>
      <c r="BS75" s="44">
        <v>2.5000000000000001E-2</v>
      </c>
      <c r="BT75" s="36">
        <f>BT76</f>
        <v>5.5E-2</v>
      </c>
      <c r="BU75" s="36">
        <f>BU76</f>
        <v>5.5E-2</v>
      </c>
      <c r="BV75" s="36">
        <f>BV76</f>
        <v>5.5E-2</v>
      </c>
      <c r="BW75" s="36">
        <f>BW76</f>
        <v>5.5000000000000014E-2</v>
      </c>
      <c r="BX75" s="27">
        <f>SUMPRODUCT(BO71:BR71,BT75:BW75)/BS71</f>
        <v>5.5E-2</v>
      </c>
      <c r="BY75" s="36">
        <f>BY76</f>
        <v>0.05</v>
      </c>
      <c r="BZ75" s="36">
        <f>BZ76</f>
        <v>0.05</v>
      </c>
      <c r="CA75" s="36">
        <f>CA76</f>
        <v>0.05</v>
      </c>
      <c r="CB75" s="36">
        <f>CB76</f>
        <v>0.05</v>
      </c>
      <c r="CC75" s="27">
        <f>SUMPRODUCT(BT71:BW71,BY75:CB75)/BX71</f>
        <v>0.05</v>
      </c>
      <c r="CD75" s="36">
        <f>CD76</f>
        <v>0.05</v>
      </c>
      <c r="CE75" s="36">
        <f>CE76</f>
        <v>0.05</v>
      </c>
      <c r="CF75" s="36">
        <f>CF76</f>
        <v>0.05</v>
      </c>
      <c r="CG75" s="36">
        <f>CG76</f>
        <v>0.05</v>
      </c>
      <c r="CH75" s="27">
        <f>SUMPRODUCT(BY71:CB71,CD75:CG75)/CC71</f>
        <v>5.000000000000001E-2</v>
      </c>
      <c r="CI75" s="36">
        <f>CI76</f>
        <v>3.5000000000000003E-2</v>
      </c>
      <c r="CJ75" s="36">
        <f>CJ76</f>
        <v>3.5000000000000003E-2</v>
      </c>
      <c r="CK75" s="36">
        <f>CK76</f>
        <v>3.5000000000000003E-2</v>
      </c>
      <c r="CL75" s="36">
        <f>CL76</f>
        <v>3.5000000000000017E-2</v>
      </c>
      <c r="CM75" s="27">
        <f>SUMPRODUCT(CD71:CG71,CI75:CL75)/CH71</f>
        <v>3.5000000000000003E-2</v>
      </c>
    </row>
    <row r="76" spans="1:91" x14ac:dyDescent="0.2">
      <c r="A76" s="45" t="s">
        <v>192</v>
      </c>
      <c r="B76" s="61" t="s">
        <v>169</v>
      </c>
      <c r="C76" s="61" t="s">
        <v>169</v>
      </c>
      <c r="D76" s="61" t="s">
        <v>169</v>
      </c>
      <c r="E76" s="61" t="s">
        <v>169</v>
      </c>
      <c r="F76" s="113" t="s">
        <v>169</v>
      </c>
      <c r="G76" s="61" t="s">
        <v>169</v>
      </c>
      <c r="H76" s="61" t="s">
        <v>169</v>
      </c>
      <c r="I76" s="61" t="s">
        <v>169</v>
      </c>
      <c r="J76" s="61" t="s">
        <v>169</v>
      </c>
      <c r="K76" s="113" t="s">
        <v>169</v>
      </c>
      <c r="L76" s="36">
        <v>0.1</v>
      </c>
      <c r="M76" s="36">
        <v>0.09</v>
      </c>
      <c r="N76" s="36">
        <v>0.12</v>
      </c>
      <c r="O76" s="36">
        <v>0.06</v>
      </c>
      <c r="P76" s="27">
        <v>0.09</v>
      </c>
      <c r="Q76" s="36">
        <v>0.05</v>
      </c>
      <c r="R76" s="36">
        <v>0.05</v>
      </c>
      <c r="S76" s="36">
        <v>0.05</v>
      </c>
      <c r="T76" s="36">
        <v>7.0000000000000007E-2</v>
      </c>
      <c r="U76" s="27">
        <v>0.06</v>
      </c>
      <c r="V76" s="36">
        <v>0.1</v>
      </c>
      <c r="W76" s="36">
        <v>0.08</v>
      </c>
      <c r="X76" s="36">
        <v>0.06</v>
      </c>
      <c r="Y76" s="36">
        <v>0.04</v>
      </c>
      <c r="Z76" s="27">
        <v>7.0000000000000007E-2</v>
      </c>
      <c r="AA76" s="36">
        <v>0.06</v>
      </c>
      <c r="AB76" s="36">
        <v>0.06</v>
      </c>
      <c r="AC76" s="36">
        <v>0.08</v>
      </c>
      <c r="AD76" s="36">
        <v>7.0000000000000007E-2</v>
      </c>
      <c r="AE76" s="27">
        <v>7.0000000000000007E-2</v>
      </c>
      <c r="AF76" s="36">
        <v>0.06</v>
      </c>
      <c r="AG76" s="36">
        <v>0.05</v>
      </c>
      <c r="AH76" s="36">
        <v>0.05</v>
      </c>
      <c r="AI76" s="36">
        <v>0.06</v>
      </c>
      <c r="AJ76" s="27">
        <v>0.05</v>
      </c>
      <c r="AK76" s="36">
        <v>0.03</v>
      </c>
      <c r="AL76" s="36">
        <v>0.03</v>
      </c>
      <c r="AM76" s="36">
        <v>0.08</v>
      </c>
      <c r="AN76" s="36">
        <v>0.06</v>
      </c>
      <c r="AO76" s="27">
        <v>0.05</v>
      </c>
      <c r="AP76" s="36">
        <v>0.02</v>
      </c>
      <c r="AQ76" s="36">
        <v>0.02</v>
      </c>
      <c r="AR76" s="36">
        <v>-0.03</v>
      </c>
      <c r="AS76" s="36">
        <v>0.02</v>
      </c>
      <c r="AT76" s="27">
        <v>0.01</v>
      </c>
      <c r="AU76" s="36">
        <v>-0.04</v>
      </c>
      <c r="AV76" s="36">
        <v>0</v>
      </c>
      <c r="AW76" s="36">
        <v>0.01</v>
      </c>
      <c r="AX76" s="36">
        <v>0.04</v>
      </c>
      <c r="AY76" s="27">
        <v>0</v>
      </c>
      <c r="AZ76" s="36">
        <v>7.0000000000000007E-2</v>
      </c>
      <c r="BA76" s="36">
        <v>0.01</v>
      </c>
      <c r="BB76" s="36">
        <v>0.01</v>
      </c>
      <c r="BC76" s="36">
        <v>-0.03</v>
      </c>
      <c r="BD76" s="27">
        <v>0.01</v>
      </c>
      <c r="BE76" s="36">
        <v>0.01</v>
      </c>
      <c r="BF76" s="729">
        <v>0.01</v>
      </c>
      <c r="BG76" s="729">
        <v>0</v>
      </c>
      <c r="BH76" s="729">
        <v>-0.05</v>
      </c>
      <c r="BI76" s="27">
        <v>-0.01</v>
      </c>
      <c r="BJ76" s="729">
        <v>-0.06</v>
      </c>
      <c r="BK76" s="729">
        <v>-0.03</v>
      </c>
      <c r="BL76" s="729">
        <v>-0.04</v>
      </c>
      <c r="BM76" s="796">
        <v>0.02</v>
      </c>
      <c r="BN76" s="27">
        <v>-0.03</v>
      </c>
      <c r="BO76" s="796">
        <v>0</v>
      </c>
      <c r="BP76" s="796">
        <f>BP75</f>
        <v>0.03</v>
      </c>
      <c r="BQ76" s="796">
        <f>BQ75</f>
        <v>3.5000000000000003E-2</v>
      </c>
      <c r="BR76" s="796">
        <f>BR75+0.01</f>
        <v>3.3917710196779971E-2</v>
      </c>
      <c r="BS76" s="186">
        <f>SUMPRODUCT(BJ71:BM71,BO76:BR76)/BN71</f>
        <v>2.5476545048399107E-2</v>
      </c>
      <c r="BT76" s="41">
        <f>BX76</f>
        <v>5.5E-2</v>
      </c>
      <c r="BU76" s="41">
        <f>BX76</f>
        <v>5.5E-2</v>
      </c>
      <c r="BV76" s="41">
        <f>BX76</f>
        <v>5.5E-2</v>
      </c>
      <c r="BW76" s="36">
        <f>(BX76*BS71-SUMPRODUCT(BO71:BQ71,BT76:BV76))/BR71</f>
        <v>5.5000000000000014E-2</v>
      </c>
      <c r="BX76" s="44">
        <v>5.5E-2</v>
      </c>
      <c r="BY76" s="41">
        <f>CC76</f>
        <v>0.05</v>
      </c>
      <c r="BZ76" s="41">
        <f>CC76</f>
        <v>0.05</v>
      </c>
      <c r="CA76" s="41">
        <f>CC76</f>
        <v>0.05</v>
      </c>
      <c r="CB76" s="36">
        <f>(CC76*BX71-SUMPRODUCT(BT71:BV71,BY76:CA76))/BW71</f>
        <v>0.05</v>
      </c>
      <c r="CC76" s="44">
        <v>0.05</v>
      </c>
      <c r="CD76" s="41">
        <f>CH76</f>
        <v>0.05</v>
      </c>
      <c r="CE76" s="41">
        <f>CH76</f>
        <v>0.05</v>
      </c>
      <c r="CF76" s="41">
        <f>CH76</f>
        <v>0.05</v>
      </c>
      <c r="CG76" s="36">
        <f>(CH76*CC71-SUMPRODUCT(BY71:CA71,CD76:CF76))/CB71</f>
        <v>0.05</v>
      </c>
      <c r="CH76" s="44">
        <v>0.05</v>
      </c>
      <c r="CI76" s="41">
        <f>CM76</f>
        <v>3.5000000000000003E-2</v>
      </c>
      <c r="CJ76" s="41">
        <f>CM76</f>
        <v>3.5000000000000003E-2</v>
      </c>
      <c r="CK76" s="41">
        <f>CM76</f>
        <v>3.5000000000000003E-2</v>
      </c>
      <c r="CL76" s="36">
        <f>(CM76*CH71-SUMPRODUCT(CD71:CF71,CI76:CK76))/CG71</f>
        <v>3.5000000000000017E-2</v>
      </c>
      <c r="CM76" s="44">
        <v>3.5000000000000003E-2</v>
      </c>
    </row>
    <row r="77" spans="1:91" x14ac:dyDescent="0.2">
      <c r="A77" s="25" t="s">
        <v>188</v>
      </c>
      <c r="B77" s="61" t="s">
        <v>169</v>
      </c>
      <c r="C77" s="61" t="s">
        <v>169</v>
      </c>
      <c r="D77" s="61" t="s">
        <v>169</v>
      </c>
      <c r="E77" s="61" t="s">
        <v>169</v>
      </c>
      <c r="F77" s="113" t="s">
        <v>169</v>
      </c>
      <c r="G77" s="61" t="s">
        <v>169</v>
      </c>
      <c r="H77" s="61" t="s">
        <v>169</v>
      </c>
      <c r="I77" s="61" t="s">
        <v>169</v>
      </c>
      <c r="J77" s="61" t="s">
        <v>169</v>
      </c>
      <c r="K77" s="113" t="s">
        <v>169</v>
      </c>
      <c r="L77" s="36">
        <v>0.09</v>
      </c>
      <c r="M77" s="36">
        <v>0.12</v>
      </c>
      <c r="N77" s="36">
        <v>0.11</v>
      </c>
      <c r="O77" s="36">
        <v>0.09</v>
      </c>
      <c r="P77" s="27">
        <v>0.1</v>
      </c>
      <c r="Q77" s="36">
        <v>0.1</v>
      </c>
      <c r="R77" s="36">
        <v>0.08</v>
      </c>
      <c r="S77" s="36">
        <v>7.0000000000000007E-2</v>
      </c>
      <c r="T77" s="36">
        <v>0.11</v>
      </c>
      <c r="U77" s="27">
        <v>0.08</v>
      </c>
      <c r="V77" s="36">
        <v>0.09</v>
      </c>
      <c r="W77" s="36">
        <v>0.08</v>
      </c>
      <c r="X77" s="36">
        <v>0.1</v>
      </c>
      <c r="Y77" s="36">
        <v>0.09</v>
      </c>
      <c r="Z77" s="27">
        <v>0.09</v>
      </c>
      <c r="AA77" s="36">
        <v>0.1</v>
      </c>
      <c r="AB77" s="36">
        <v>0.12</v>
      </c>
      <c r="AC77" s="36">
        <v>0.1</v>
      </c>
      <c r="AD77" s="36">
        <v>0.04</v>
      </c>
      <c r="AE77" s="27">
        <v>0.09</v>
      </c>
      <c r="AF77" s="36">
        <v>0.08</v>
      </c>
      <c r="AG77" s="36">
        <v>0.04</v>
      </c>
      <c r="AH77" s="36">
        <v>0.08</v>
      </c>
      <c r="AI77" s="36">
        <v>0.08</v>
      </c>
      <c r="AJ77" s="27">
        <v>7.0000000000000007E-2</v>
      </c>
      <c r="AK77" s="36">
        <v>0.06</v>
      </c>
      <c r="AL77" s="36">
        <v>0.09</v>
      </c>
      <c r="AM77" s="36">
        <v>0.06</v>
      </c>
      <c r="AN77" s="36">
        <v>0.08</v>
      </c>
      <c r="AO77" s="27">
        <v>7.0000000000000007E-2</v>
      </c>
      <c r="AP77" s="36">
        <v>0.08</v>
      </c>
      <c r="AQ77" s="36">
        <v>0.09</v>
      </c>
      <c r="AR77" s="36">
        <v>0.12</v>
      </c>
      <c r="AS77" s="36">
        <v>0.1</v>
      </c>
      <c r="AT77" s="27">
        <v>0.1</v>
      </c>
      <c r="AU77" s="36">
        <v>0.11</v>
      </c>
      <c r="AV77" s="36">
        <v>0.09</v>
      </c>
      <c r="AW77" s="36">
        <v>0.05</v>
      </c>
      <c r="AX77" s="36">
        <v>0.1</v>
      </c>
      <c r="AY77" s="27">
        <v>0.08</v>
      </c>
      <c r="AZ77" s="36">
        <v>0.04</v>
      </c>
      <c r="BA77" s="36">
        <v>0.1</v>
      </c>
      <c r="BB77" s="36">
        <v>0.13</v>
      </c>
      <c r="BC77" s="36">
        <v>0.1</v>
      </c>
      <c r="BD77" s="27">
        <v>0.09</v>
      </c>
      <c r="BE77" s="36">
        <v>0.11</v>
      </c>
      <c r="BF77" s="729">
        <v>0.15</v>
      </c>
      <c r="BG77" s="729">
        <v>0.11</v>
      </c>
      <c r="BH77" s="729">
        <v>0.15</v>
      </c>
      <c r="BI77" s="27">
        <v>0.13</v>
      </c>
      <c r="BJ77" s="729">
        <v>0.06</v>
      </c>
      <c r="BK77" s="729">
        <v>0.05</v>
      </c>
      <c r="BL77" s="729">
        <v>0.1</v>
      </c>
      <c r="BM77" s="796">
        <v>0.11</v>
      </c>
      <c r="BN77" s="27">
        <v>0.08</v>
      </c>
      <c r="BO77" s="796">
        <v>0.06</v>
      </c>
      <c r="BP77" s="41">
        <v>7.4999999999999997E-2</v>
      </c>
      <c r="BQ77" s="41">
        <v>7.1999999999999995E-2</v>
      </c>
      <c r="BR77" s="36">
        <f>(BS77*BN71-SUMPRODUCT(BJ71:BL71,BO77:BQ77))/BM71</f>
        <v>7.2182468694096641E-2</v>
      </c>
      <c r="BS77" s="44">
        <v>7.0000000000000007E-2</v>
      </c>
      <c r="BT77" s="41">
        <f>BX77</f>
        <v>0.04</v>
      </c>
      <c r="BU77" s="41">
        <f>BX77</f>
        <v>0.04</v>
      </c>
      <c r="BV77" s="41">
        <f>BX77</f>
        <v>0.04</v>
      </c>
      <c r="BW77" s="36">
        <f>(BX77*BS71-SUMPRODUCT(BO71:BQ71,BT77:BV77))/BR71</f>
        <v>4.0000000000000022E-2</v>
      </c>
      <c r="BX77" s="44">
        <v>0.04</v>
      </c>
      <c r="BY77" s="41">
        <f>CC77</f>
        <v>0.04</v>
      </c>
      <c r="BZ77" s="41">
        <f>CC77</f>
        <v>0.04</v>
      </c>
      <c r="CA77" s="41">
        <f>CC77</f>
        <v>0.04</v>
      </c>
      <c r="CB77" s="36">
        <f>(CC77*BX71-SUMPRODUCT(BT71:BV71,BY77:CA77))/BW71</f>
        <v>0.04</v>
      </c>
      <c r="CC77" s="44">
        <v>0.04</v>
      </c>
      <c r="CD77" s="41">
        <f>CH77</f>
        <v>3.5000000000000003E-2</v>
      </c>
      <c r="CE77" s="41">
        <f>CH77</f>
        <v>3.5000000000000003E-2</v>
      </c>
      <c r="CF77" s="41">
        <f>CH77</f>
        <v>3.5000000000000003E-2</v>
      </c>
      <c r="CG77" s="36">
        <f>(CH77*CC71-SUMPRODUCT(BY71:CA71,CD77:CF77))/CB71</f>
        <v>3.4999999999999996E-2</v>
      </c>
      <c r="CH77" s="44">
        <v>3.5000000000000003E-2</v>
      </c>
      <c r="CI77" s="41">
        <f>CM77</f>
        <v>3.5000000000000003E-2</v>
      </c>
      <c r="CJ77" s="41">
        <f>CM77</f>
        <v>3.5000000000000003E-2</v>
      </c>
      <c r="CK77" s="41">
        <f>CM77</f>
        <v>3.5000000000000003E-2</v>
      </c>
      <c r="CL77" s="36">
        <f>(CM77*CH71-SUMPRODUCT(CD71:CF71,CI77:CK77))/CG71</f>
        <v>3.5000000000000017E-2</v>
      </c>
      <c r="CM77" s="44">
        <v>3.5000000000000003E-2</v>
      </c>
    </row>
    <row r="78" spans="1:91" x14ac:dyDescent="0.2">
      <c r="A78" s="25" t="s">
        <v>189</v>
      </c>
      <c r="B78" s="61" t="s">
        <v>169</v>
      </c>
      <c r="C78" s="61" t="s">
        <v>169</v>
      </c>
      <c r="D78" s="61" t="s">
        <v>169</v>
      </c>
      <c r="E78" s="61" t="s">
        <v>169</v>
      </c>
      <c r="F78" s="113" t="s">
        <v>169</v>
      </c>
      <c r="G78" s="61" t="s">
        <v>169</v>
      </c>
      <c r="H78" s="61" t="s">
        <v>169</v>
      </c>
      <c r="I78" s="61" t="s">
        <v>169</v>
      </c>
      <c r="J78" s="61" t="s">
        <v>169</v>
      </c>
      <c r="K78" s="113" t="s">
        <v>169</v>
      </c>
      <c r="L78" s="36">
        <v>0</v>
      </c>
      <c r="M78" s="36">
        <v>0.04</v>
      </c>
      <c r="N78" s="36">
        <v>0.05</v>
      </c>
      <c r="O78" s="36">
        <v>0.09</v>
      </c>
      <c r="P78" s="27">
        <v>0.05</v>
      </c>
      <c r="Q78" s="36">
        <v>0.1</v>
      </c>
      <c r="R78" s="36">
        <v>0.1</v>
      </c>
      <c r="S78" s="36">
        <v>0.12</v>
      </c>
      <c r="T78" s="36">
        <v>-0.15</v>
      </c>
      <c r="U78" s="27">
        <v>0.04</v>
      </c>
      <c r="V78" s="36">
        <v>-0.24</v>
      </c>
      <c r="W78" s="36">
        <v>-0.22</v>
      </c>
      <c r="X78" s="36">
        <v>-0.19</v>
      </c>
      <c r="Y78" s="36">
        <v>0.06</v>
      </c>
      <c r="Z78" s="27">
        <v>-0.15</v>
      </c>
      <c r="AA78" s="36">
        <v>0.09</v>
      </c>
      <c r="AB78" s="36">
        <v>0.04</v>
      </c>
      <c r="AC78" s="36">
        <v>-0.01</v>
      </c>
      <c r="AD78" s="36">
        <v>0.01</v>
      </c>
      <c r="AE78" s="27">
        <v>0.03</v>
      </c>
      <c r="AF78" s="36">
        <v>0.06</v>
      </c>
      <c r="AG78" s="36">
        <v>7.0000000000000007E-2</v>
      </c>
      <c r="AH78" s="36">
        <v>0.05</v>
      </c>
      <c r="AI78" s="36">
        <v>-0.06</v>
      </c>
      <c r="AJ78" s="27">
        <v>0.04</v>
      </c>
      <c r="AK78" s="36">
        <v>-0.06</v>
      </c>
      <c r="AL78" s="36">
        <v>-0.1</v>
      </c>
      <c r="AM78" s="36">
        <v>-0.13</v>
      </c>
      <c r="AN78" s="36">
        <v>-0.04</v>
      </c>
      <c r="AO78" s="27">
        <v>-0.08</v>
      </c>
      <c r="AP78" s="36">
        <v>-0.05</v>
      </c>
      <c r="AQ78" s="36">
        <v>-0.05</v>
      </c>
      <c r="AR78" s="36">
        <v>-0.09</v>
      </c>
      <c r="AS78" s="36">
        <v>-0.11</v>
      </c>
      <c r="AT78" s="27">
        <v>-0.08</v>
      </c>
      <c r="AU78" s="36">
        <v>-0.17</v>
      </c>
      <c r="AV78" s="36">
        <v>-0.11</v>
      </c>
      <c r="AW78" s="36">
        <v>-0.05</v>
      </c>
      <c r="AX78" s="36">
        <v>-0.1</v>
      </c>
      <c r="AY78" s="27">
        <v>-0.1</v>
      </c>
      <c r="AZ78" s="36">
        <v>-0.15</v>
      </c>
      <c r="BA78" s="36">
        <v>-0.24</v>
      </c>
      <c r="BB78" s="36">
        <v>-0.28000000000000003</v>
      </c>
      <c r="BC78" s="36">
        <v>-0.25</v>
      </c>
      <c r="BD78" s="27">
        <v>-0.23</v>
      </c>
      <c r="BE78" s="36">
        <v>-0.24</v>
      </c>
      <c r="BF78" s="729">
        <v>-0.2</v>
      </c>
      <c r="BG78" s="729">
        <v>-0.16</v>
      </c>
      <c r="BH78" s="729">
        <v>-0.14000000000000001</v>
      </c>
      <c r="BI78" s="27">
        <v>-0.18</v>
      </c>
      <c r="BJ78" s="729">
        <v>-0.01</v>
      </c>
      <c r="BK78" s="729">
        <v>0</v>
      </c>
      <c r="BL78" s="729">
        <v>0.01</v>
      </c>
      <c r="BM78" s="796">
        <v>0.01</v>
      </c>
      <c r="BN78" s="27">
        <v>0</v>
      </c>
      <c r="BO78" s="796">
        <v>0.01</v>
      </c>
      <c r="BP78" s="41">
        <v>-1.4209295625125733E-2</v>
      </c>
      <c r="BQ78" s="41">
        <v>-3.0535678239619085E-2</v>
      </c>
      <c r="BR78" s="41">
        <v>-1.4079292524900153E-2</v>
      </c>
      <c r="BS78" s="27">
        <f>SUMPRODUCT(BJ71:BM71,BO78:BR78)/BN71</f>
        <v>-1.280315385076038E-2</v>
      </c>
      <c r="BT78" s="41">
        <v>-1.1347381722906799E-2</v>
      </c>
      <c r="BU78" s="41">
        <v>0</v>
      </c>
      <c r="BV78" s="41">
        <v>0</v>
      </c>
      <c r="BW78" s="41">
        <v>0</v>
      </c>
      <c r="BX78" s="27">
        <f>SUMPRODUCT(BO71:BR71,BT78:BW78)/BS71</f>
        <v>-2.573616377553828E-3</v>
      </c>
      <c r="BY78" s="662">
        <v>0</v>
      </c>
      <c r="BZ78" s="662">
        <v>0</v>
      </c>
      <c r="CA78" s="662">
        <v>0</v>
      </c>
      <c r="CB78" s="662">
        <v>0</v>
      </c>
      <c r="CC78" s="27">
        <f>SUMPRODUCT(BT71:BW71,BY78:CB78)/BX71</f>
        <v>0</v>
      </c>
      <c r="CD78" s="662">
        <v>0</v>
      </c>
      <c r="CE78" s="662">
        <v>0</v>
      </c>
      <c r="CF78" s="662">
        <v>0</v>
      </c>
      <c r="CG78" s="662">
        <v>0</v>
      </c>
      <c r="CH78" s="27">
        <f>SUMPRODUCT(BY71:CB71,CD78:CG78)/CC71</f>
        <v>0</v>
      </c>
      <c r="CI78" s="662">
        <v>0</v>
      </c>
      <c r="CJ78" s="662">
        <v>0</v>
      </c>
      <c r="CK78" s="662">
        <v>0</v>
      </c>
      <c r="CL78" s="662">
        <v>0</v>
      </c>
      <c r="CM78" s="27">
        <f>SUMPRODUCT(CD71:CG71,CI78:CL78)/CH71</f>
        <v>0</v>
      </c>
    </row>
    <row r="79" spans="1:91" x14ac:dyDescent="0.2">
      <c r="A79" s="30" t="s">
        <v>193</v>
      </c>
      <c r="B79" s="61" t="s">
        <v>169</v>
      </c>
      <c r="C79" s="61" t="s">
        <v>169</v>
      </c>
      <c r="D79" s="61" t="s">
        <v>169</v>
      </c>
      <c r="E79" s="61" t="s">
        <v>169</v>
      </c>
      <c r="F79" s="113" t="s">
        <v>169</v>
      </c>
      <c r="G79" s="61" t="s">
        <v>169</v>
      </c>
      <c r="H79" s="61" t="s">
        <v>169</v>
      </c>
      <c r="I79" s="61" t="s">
        <v>169</v>
      </c>
      <c r="J79" s="61" t="s">
        <v>169</v>
      </c>
      <c r="K79" s="113" t="s">
        <v>169</v>
      </c>
      <c r="L79" s="36">
        <v>0</v>
      </c>
      <c r="M79" s="36">
        <v>0</v>
      </c>
      <c r="N79" s="36">
        <v>0</v>
      </c>
      <c r="O79" s="36">
        <f>((P79*K71)-(L79*G71)-(M79*H71)-(N79*I71))/J71</f>
        <v>0</v>
      </c>
      <c r="P79" s="27">
        <v>0</v>
      </c>
      <c r="Q79" s="36">
        <v>0</v>
      </c>
      <c r="R79" s="36">
        <v>0</v>
      </c>
      <c r="S79" s="36">
        <v>0</v>
      </c>
      <c r="T79" s="36">
        <f>((U79*P71)-(Q79*L71)-(R79*M71)-(S79*N71))/O71</f>
        <v>0</v>
      </c>
      <c r="U79" s="27">
        <v>0</v>
      </c>
      <c r="V79" s="36">
        <v>0</v>
      </c>
      <c r="W79" s="36">
        <v>0</v>
      </c>
      <c r="X79" s="36">
        <v>0</v>
      </c>
      <c r="Y79" s="36">
        <v>0</v>
      </c>
      <c r="Z79" s="27">
        <f>(V71/Z71)*V79+(W71/Z71)*W79+(X71/Z71)*X79+(Y71/Z71)*Y79</f>
        <v>0</v>
      </c>
      <c r="AA79" s="36">
        <v>-0.1</v>
      </c>
      <c r="AB79" s="36">
        <v>-0.1</v>
      </c>
      <c r="AC79" s="36">
        <v>-0.13</v>
      </c>
      <c r="AD79" s="36">
        <v>-0.15</v>
      </c>
      <c r="AE79" s="27">
        <v>-0.13</v>
      </c>
      <c r="AF79" s="36">
        <f>AF80-SUM(AF76:AF78)</f>
        <v>-2.8426395939086302E-2</v>
      </c>
      <c r="AG79" s="36">
        <f>AG80-SUM(AG76:AG78)</f>
        <v>-3.0388833499501583E-2</v>
      </c>
      <c r="AH79" s="36">
        <v>-0.01</v>
      </c>
      <c r="AI79" s="36">
        <v>0</v>
      </c>
      <c r="AJ79" s="27">
        <f>AJ80-AJ78-AJ77-AJ76</f>
        <v>-2.1926716816306743E-2</v>
      </c>
      <c r="AK79" s="36">
        <f>AO79</f>
        <v>-0.01</v>
      </c>
      <c r="AL79" s="36">
        <v>-0.01</v>
      </c>
      <c r="AM79" s="36">
        <v>-0.01</v>
      </c>
      <c r="AN79" s="36">
        <v>-0.02</v>
      </c>
      <c r="AO79" s="27">
        <v>-0.01</v>
      </c>
      <c r="AP79" s="36">
        <v>-0.01</v>
      </c>
      <c r="AQ79" s="36">
        <v>0</v>
      </c>
      <c r="AR79" s="36">
        <v>0</v>
      </c>
      <c r="AS79" s="36">
        <v>-0.02</v>
      </c>
      <c r="AT79" s="27">
        <v>-0.01</v>
      </c>
      <c r="AU79" s="36">
        <v>0</v>
      </c>
      <c r="AV79" s="36">
        <v>-0.04</v>
      </c>
      <c r="AW79" s="36">
        <v>-0.05</v>
      </c>
      <c r="AX79" s="36">
        <v>-0.05</v>
      </c>
      <c r="AY79" s="27">
        <v>-0.04</v>
      </c>
      <c r="AZ79" s="36">
        <v>0</v>
      </c>
      <c r="BA79" s="36">
        <v>0</v>
      </c>
      <c r="BB79" s="36">
        <v>0</v>
      </c>
      <c r="BC79" s="36">
        <v>0</v>
      </c>
      <c r="BD79" s="27">
        <v>0</v>
      </c>
      <c r="BE79" s="36">
        <v>0</v>
      </c>
      <c r="BF79" s="729">
        <f>BI79</f>
        <v>0</v>
      </c>
      <c r="BG79" s="729">
        <v>0</v>
      </c>
      <c r="BH79" s="729">
        <v>0</v>
      </c>
      <c r="BI79" s="27">
        <v>0</v>
      </c>
      <c r="BJ79" s="729">
        <v>0</v>
      </c>
      <c r="BK79" s="729">
        <v>-0.01</v>
      </c>
      <c r="BL79" s="729">
        <v>0</v>
      </c>
      <c r="BM79" s="796">
        <v>0</v>
      </c>
      <c r="BN79" s="27">
        <v>0</v>
      </c>
      <c r="BO79" s="796">
        <v>0.01</v>
      </c>
      <c r="BP79" s="41">
        <v>0.01</v>
      </c>
      <c r="BQ79" s="41">
        <v>0.01</v>
      </c>
      <c r="BR79" s="41">
        <v>0.01</v>
      </c>
      <c r="BS79" s="27">
        <f>SUMPRODUCT(BJ71:BM71,BO79:BR79)/BN71</f>
        <v>0.01</v>
      </c>
      <c r="BT79" s="41">
        <f>BX79</f>
        <v>0</v>
      </c>
      <c r="BU79" s="41">
        <f>BX79</f>
        <v>0</v>
      </c>
      <c r="BV79" s="41">
        <f>BX79</f>
        <v>0</v>
      </c>
      <c r="BW79" s="41">
        <f>BX79</f>
        <v>0</v>
      </c>
      <c r="BX79" s="44">
        <v>0</v>
      </c>
      <c r="BY79" s="41">
        <f>CC79</f>
        <v>0</v>
      </c>
      <c r="BZ79" s="41">
        <f>CC79</f>
        <v>0</v>
      </c>
      <c r="CA79" s="41">
        <f>CC79</f>
        <v>0</v>
      </c>
      <c r="CB79" s="41">
        <f>CC79</f>
        <v>0</v>
      </c>
      <c r="CC79" s="44">
        <v>0</v>
      </c>
      <c r="CD79" s="41">
        <f>CH79</f>
        <v>0</v>
      </c>
      <c r="CE79" s="41">
        <f>CH79</f>
        <v>0</v>
      </c>
      <c r="CF79" s="41">
        <f>CH79</f>
        <v>0</v>
      </c>
      <c r="CG79" s="41">
        <f>CH79</f>
        <v>0</v>
      </c>
      <c r="CH79" s="44">
        <v>0</v>
      </c>
      <c r="CI79" s="41">
        <f>CM79</f>
        <v>0</v>
      </c>
      <c r="CJ79" s="41">
        <f>CM79</f>
        <v>0</v>
      </c>
      <c r="CK79" s="41">
        <f>CM79</f>
        <v>0</v>
      </c>
      <c r="CL79" s="41">
        <f>CM79</f>
        <v>0</v>
      </c>
      <c r="CM79" s="44">
        <v>0</v>
      </c>
    </row>
    <row r="80" spans="1:91" x14ac:dyDescent="0.2">
      <c r="A80" s="33" t="s">
        <v>190</v>
      </c>
      <c r="B80" s="114" t="s">
        <v>169</v>
      </c>
      <c r="C80" s="114" t="s">
        <v>169</v>
      </c>
      <c r="D80" s="114" t="s">
        <v>169</v>
      </c>
      <c r="E80" s="114" t="s">
        <v>169</v>
      </c>
      <c r="F80" s="115" t="s">
        <v>169</v>
      </c>
      <c r="G80" s="114" t="s">
        <v>169</v>
      </c>
      <c r="H80" s="114" t="s">
        <v>169</v>
      </c>
      <c r="I80" s="114" t="s">
        <v>169</v>
      </c>
      <c r="J80" s="114" t="s">
        <v>169</v>
      </c>
      <c r="K80" s="115" t="s">
        <v>169</v>
      </c>
      <c r="L80" s="80">
        <f>L71/G71-1</f>
        <v>0.19237147595356552</v>
      </c>
      <c r="M80" s="80">
        <f>M71/H71-1</f>
        <v>0.252411575562701</v>
      </c>
      <c r="N80" s="80">
        <f>N71/I71-1</f>
        <v>0.2767584097859328</v>
      </c>
      <c r="O80" s="80">
        <f>O71/J71-1</f>
        <v>0.23609226594301225</v>
      </c>
      <c r="P80" s="35">
        <f t="shared" ref="P80:BA80" si="120">P71/K71-1</f>
        <v>0.24006116207951078</v>
      </c>
      <c r="Q80" s="80">
        <f t="shared" si="120"/>
        <v>0.25312934631432538</v>
      </c>
      <c r="R80" s="80">
        <f t="shared" si="120"/>
        <v>0.2323491655969192</v>
      </c>
      <c r="S80" s="80">
        <f t="shared" si="120"/>
        <v>0.23712574850299406</v>
      </c>
      <c r="T80" s="80">
        <f t="shared" si="120"/>
        <v>3.2930845225027428E-2</v>
      </c>
      <c r="U80" s="35">
        <f t="shared" si="120"/>
        <v>0.18218249075215787</v>
      </c>
      <c r="V80" s="80">
        <f t="shared" si="120"/>
        <v>-4.5504994450610403E-2</v>
      </c>
      <c r="W80" s="80">
        <f t="shared" si="120"/>
        <v>-6.4583333333333326E-2</v>
      </c>
      <c r="X80" s="80">
        <f t="shared" si="120"/>
        <v>-2.8073572120038692E-2</v>
      </c>
      <c r="Y80" s="80">
        <f t="shared" si="120"/>
        <v>0.19022316684378326</v>
      </c>
      <c r="Z80" s="35">
        <f t="shared" si="120"/>
        <v>1.2255541069100317E-2</v>
      </c>
      <c r="AA80" s="80">
        <f t="shared" si="120"/>
        <v>0.14534883720930236</v>
      </c>
      <c r="AB80" s="80">
        <f t="shared" si="120"/>
        <v>0.11692650334075716</v>
      </c>
      <c r="AC80" s="80">
        <f t="shared" si="120"/>
        <v>4.3824701195219085E-2</v>
      </c>
      <c r="AD80" s="80">
        <f t="shared" si="120"/>
        <v>-3.125E-2</v>
      </c>
      <c r="AE80" s="35">
        <f>AE71/Z71-1</f>
        <v>6.156620298815052E-2</v>
      </c>
      <c r="AF80" s="80">
        <f t="shared" si="120"/>
        <v>0.17157360406091371</v>
      </c>
      <c r="AG80" s="80">
        <f t="shared" si="120"/>
        <v>0.12961116650049842</v>
      </c>
      <c r="AH80" s="80">
        <f t="shared" si="120"/>
        <v>0.16984732824427473</v>
      </c>
      <c r="AI80" s="80">
        <f t="shared" si="120"/>
        <v>8.4792626728110498E-2</v>
      </c>
      <c r="AJ80" s="35">
        <f>AJ71/AE71-1</f>
        <v>0.13807328318369327</v>
      </c>
      <c r="AK80" s="80">
        <f t="shared" si="120"/>
        <v>2.7729636048526851E-2</v>
      </c>
      <c r="AL80" s="80">
        <f t="shared" si="120"/>
        <v>1.0591350397175736E-2</v>
      </c>
      <c r="AM80" s="80">
        <f t="shared" si="120"/>
        <v>0</v>
      </c>
      <c r="AN80" s="80">
        <f t="shared" si="120"/>
        <v>8.2412914188615183E-2</v>
      </c>
      <c r="AO80" s="35">
        <f>AO71/AJ71-1</f>
        <v>3.0063965884861377E-2</v>
      </c>
      <c r="AP80" s="80">
        <f t="shared" si="120"/>
        <v>3.5413153456998359E-2</v>
      </c>
      <c r="AQ80" s="80">
        <f t="shared" si="120"/>
        <v>6.1135371179039222E-2</v>
      </c>
      <c r="AR80" s="80">
        <f t="shared" si="120"/>
        <v>3.2626427406199365E-3</v>
      </c>
      <c r="AS80" s="80">
        <f t="shared" si="120"/>
        <v>-6.2794348508634634E-3</v>
      </c>
      <c r="AT80" s="35">
        <f>AT71/AO71-1</f>
        <v>2.2355619954460781E-2</v>
      </c>
      <c r="AU80" s="80">
        <f t="shared" si="120"/>
        <v>-9.5276872964169423E-2</v>
      </c>
      <c r="AV80" s="80">
        <f t="shared" si="120"/>
        <v>-7.9835390946502049E-2</v>
      </c>
      <c r="AW80" s="80">
        <f t="shared" si="120"/>
        <v>-4.3089430894308944E-2</v>
      </c>
      <c r="AX80" s="80">
        <f t="shared" si="120"/>
        <v>-1.1848341232227444E-2</v>
      </c>
      <c r="AY80" s="35">
        <f>AY71/AT71-1</f>
        <v>-5.7096578254707375E-2</v>
      </c>
      <c r="AZ80" s="80">
        <f t="shared" si="120"/>
        <v>-4.0504050405040459E-2</v>
      </c>
      <c r="BA80" s="80">
        <f t="shared" si="120"/>
        <v>-0.12969588550983902</v>
      </c>
      <c r="BB80" s="80">
        <f t="shared" ref="BB80:BO80" si="121">BB71/AW71-1</f>
        <v>-0.14018691588785048</v>
      </c>
      <c r="BC80" s="80">
        <f t="shared" si="121"/>
        <v>-0.18225419664268583</v>
      </c>
      <c r="BD80" s="35">
        <f t="shared" si="121"/>
        <v>-0.12518788919905521</v>
      </c>
      <c r="BE80" s="80">
        <f t="shared" si="121"/>
        <v>-0.12288930581613511</v>
      </c>
      <c r="BF80" s="80">
        <f t="shared" si="121"/>
        <v>-3.6998972250770867E-2</v>
      </c>
      <c r="BG80" s="80">
        <f t="shared" si="121"/>
        <v>-4.6442687747035527E-2</v>
      </c>
      <c r="BH80" s="80">
        <f t="shared" si="121"/>
        <v>-4.0078201368523914E-2</v>
      </c>
      <c r="BI80" s="35">
        <f>BI71/BD71-1</f>
        <v>-6.2592047128129602E-2</v>
      </c>
      <c r="BJ80" s="80">
        <f t="shared" si="121"/>
        <v>-9.6256684491978772E-3</v>
      </c>
      <c r="BK80" s="80">
        <f t="shared" si="121"/>
        <v>1.3874066168623189E-2</v>
      </c>
      <c r="BL80" s="80">
        <f t="shared" si="121"/>
        <v>7.2538860103626979E-2</v>
      </c>
      <c r="BM80" s="80">
        <f t="shared" si="121"/>
        <v>0.13849287169042768</v>
      </c>
      <c r="BN80" s="35">
        <f>BN71/BI71-1</f>
        <v>5.4988216810683443E-2</v>
      </c>
      <c r="BO80" s="80">
        <f t="shared" si="121"/>
        <v>7.7753779697624203E-2</v>
      </c>
      <c r="BP80" s="80">
        <f>SUM(BP76:BP79)</f>
        <v>0.10079070437487427</v>
      </c>
      <c r="BQ80" s="80">
        <f>SUM(BQ76:BQ79)</f>
        <v>8.6464321760380908E-2</v>
      </c>
      <c r="BR80" s="80">
        <f>SUM(BR76:BR79)</f>
        <v>0.10202088636597645</v>
      </c>
      <c r="BS80" s="35">
        <f>BS71/BN71-1</f>
        <v>9.2157134061872981E-2</v>
      </c>
      <c r="BT80" s="80">
        <f>SUM(BT76:BT79)</f>
        <v>8.3652618277093208E-2</v>
      </c>
      <c r="BU80" s="80">
        <f>SUM(BU76:BU79)</f>
        <v>9.5000000000000001E-2</v>
      </c>
      <c r="BV80" s="80">
        <f>SUM(BV76:BV79)</f>
        <v>9.5000000000000001E-2</v>
      </c>
      <c r="BW80" s="80">
        <f>SUM(BW76:BW79)</f>
        <v>9.5000000000000029E-2</v>
      </c>
      <c r="BX80" s="35">
        <f>BX71/BS71-1</f>
        <v>9.2426383622446151E-2</v>
      </c>
      <c r="BY80" s="80">
        <f>SUM(BY76:BY79)</f>
        <v>0.09</v>
      </c>
      <c r="BZ80" s="80">
        <f>SUM(BZ76:BZ79)</f>
        <v>0.09</v>
      </c>
      <c r="CA80" s="80">
        <f>SUM(CA76:CA79)</f>
        <v>0.09</v>
      </c>
      <c r="CB80" s="80">
        <f>SUM(CB76:CB79)</f>
        <v>0.09</v>
      </c>
      <c r="CC80" s="35">
        <f>CC71/BX71-1</f>
        <v>9.000000000000008E-2</v>
      </c>
      <c r="CD80" s="80">
        <f>SUM(CD76:CD79)</f>
        <v>8.5000000000000006E-2</v>
      </c>
      <c r="CE80" s="80">
        <f>SUM(CE76:CE79)</f>
        <v>8.5000000000000006E-2</v>
      </c>
      <c r="CF80" s="80">
        <f>SUM(CF76:CF79)</f>
        <v>8.5000000000000006E-2</v>
      </c>
      <c r="CG80" s="80">
        <f>SUM(CG76:CG79)</f>
        <v>8.4999999999999992E-2</v>
      </c>
      <c r="CH80" s="35">
        <f>CH71/CC71-1</f>
        <v>8.4999999999999964E-2</v>
      </c>
      <c r="CI80" s="80">
        <f>SUM(CI76:CI79)</f>
        <v>7.0000000000000007E-2</v>
      </c>
      <c r="CJ80" s="80">
        <f>SUM(CJ76:CJ79)</f>
        <v>7.0000000000000007E-2</v>
      </c>
      <c r="CK80" s="80">
        <f>SUM(CK76:CK79)</f>
        <v>7.0000000000000007E-2</v>
      </c>
      <c r="CL80" s="80">
        <f>SUM(CL76:CL79)</f>
        <v>7.0000000000000034E-2</v>
      </c>
      <c r="CM80" s="35">
        <f>CM71/CH71-1</f>
        <v>7.0000000000000284E-2</v>
      </c>
    </row>
    <row r="81" spans="1:91" ht="13.5" hidden="1" customHeight="1" outlineLevel="1" x14ac:dyDescent="0.2">
      <c r="A81" s="63"/>
      <c r="B81" s="49"/>
      <c r="C81" s="49"/>
      <c r="D81" s="49"/>
      <c r="E81" s="49"/>
      <c r="F81" s="66"/>
      <c r="G81" s="49"/>
      <c r="H81" s="49"/>
      <c r="I81" s="49"/>
      <c r="J81" s="49"/>
      <c r="K81" s="66"/>
      <c r="L81" s="42"/>
      <c r="M81" s="42"/>
      <c r="N81" s="42"/>
      <c r="O81" s="42"/>
      <c r="P81" s="66"/>
      <c r="Q81" s="148"/>
      <c r="R81" s="148"/>
      <c r="S81" s="148"/>
      <c r="T81" s="148"/>
      <c r="U81" s="149"/>
      <c r="V81" s="148"/>
      <c r="W81" s="148"/>
      <c r="X81" s="148"/>
      <c r="Y81" s="148"/>
      <c r="Z81" s="149"/>
      <c r="AA81" s="62"/>
      <c r="AB81" s="62"/>
      <c r="AC81" s="62"/>
      <c r="AD81" s="62"/>
      <c r="AE81" s="149"/>
      <c r="AF81" s="62"/>
      <c r="AG81" s="62"/>
      <c r="AH81" s="62"/>
      <c r="AI81" s="62"/>
      <c r="AJ81" s="149"/>
      <c r="AK81" s="62"/>
      <c r="AL81" s="62"/>
      <c r="AM81" s="62"/>
      <c r="AN81" s="62"/>
      <c r="AO81" s="149"/>
      <c r="AP81" s="62"/>
      <c r="AQ81" s="62"/>
      <c r="AR81" s="62"/>
      <c r="AS81" s="62"/>
      <c r="AT81" s="149"/>
      <c r="AU81" s="62"/>
      <c r="AV81" s="62"/>
      <c r="AW81" s="62"/>
      <c r="AX81" s="62"/>
      <c r="AY81" s="149"/>
      <c r="AZ81" s="62"/>
      <c r="BA81" s="62"/>
      <c r="BB81" s="62"/>
      <c r="BC81" s="62"/>
      <c r="BD81" s="646"/>
      <c r="BE81" s="62"/>
      <c r="BF81" s="647"/>
      <c r="BG81" s="647"/>
      <c r="BH81" s="647"/>
      <c r="BI81" s="646"/>
      <c r="BJ81" s="647"/>
      <c r="BK81" s="647"/>
      <c r="BL81" s="648"/>
      <c r="BM81" s="648"/>
      <c r="BN81" s="649"/>
      <c r="BO81" s="647"/>
      <c r="BP81" s="647"/>
      <c r="BQ81" s="648"/>
      <c r="BR81" s="648"/>
      <c r="BS81" s="649"/>
      <c r="BT81" s="62"/>
      <c r="BU81" s="62"/>
      <c r="BV81" s="50"/>
      <c r="BW81" s="50"/>
      <c r="BX81" s="66"/>
      <c r="BY81" s="62"/>
      <c r="BZ81" s="62"/>
      <c r="CA81" s="50"/>
      <c r="CB81" s="50"/>
      <c r="CC81" s="66"/>
      <c r="CD81" s="62"/>
      <c r="CE81" s="62"/>
      <c r="CF81" s="50"/>
      <c r="CG81" s="50"/>
      <c r="CH81" s="66"/>
      <c r="CI81" s="62"/>
      <c r="CJ81" s="62"/>
      <c r="CK81" s="50"/>
      <c r="CL81" s="50"/>
      <c r="CM81" s="66"/>
    </row>
    <row r="82" spans="1:91" hidden="1" outlineLevel="1" x14ac:dyDescent="0.2">
      <c r="A82" s="52" t="s">
        <v>361</v>
      </c>
      <c r="B82" s="53">
        <v>1528</v>
      </c>
      <c r="C82" s="53">
        <v>1775</v>
      </c>
      <c r="D82" s="53">
        <v>1745</v>
      </c>
      <c r="E82" s="53">
        <v>1628</v>
      </c>
      <c r="F82" s="65">
        <f>SUM(B82:E82)</f>
        <v>6676</v>
      </c>
      <c r="G82" s="53">
        <v>1645</v>
      </c>
      <c r="H82" s="53">
        <v>1909</v>
      </c>
      <c r="I82" s="53">
        <v>1809</v>
      </c>
      <c r="J82" s="53">
        <v>1666</v>
      </c>
      <c r="K82" s="65">
        <f>SUM(G82:J82)</f>
        <v>7029</v>
      </c>
      <c r="L82" s="53">
        <v>1681</v>
      </c>
      <c r="M82" s="53">
        <v>2083</v>
      </c>
      <c r="N82" s="53">
        <v>2186</v>
      </c>
      <c r="O82" s="53">
        <v>1886</v>
      </c>
      <c r="P82" s="65">
        <f>SUM(L82:O82)</f>
        <v>7836</v>
      </c>
      <c r="Q82" s="53">
        <v>1898</v>
      </c>
      <c r="R82" s="53">
        <v>2256</v>
      </c>
      <c r="S82" s="53">
        <v>2152</v>
      </c>
      <c r="T82" s="53">
        <v>1974</v>
      </c>
      <c r="U82" s="65">
        <f>SUM(Q82:T82)</f>
        <v>8280</v>
      </c>
      <c r="V82" s="53">
        <v>2056</v>
      </c>
      <c r="W82" s="53">
        <v>2210</v>
      </c>
      <c r="X82" s="53">
        <v>2119</v>
      </c>
      <c r="Y82" s="53">
        <v>1886</v>
      </c>
      <c r="Z82" s="65">
        <f>SUM(V82:Y82)</f>
        <v>8271</v>
      </c>
      <c r="AA82" s="53">
        <v>1932</v>
      </c>
      <c r="AB82" s="53">
        <v>2280</v>
      </c>
      <c r="AC82" s="53">
        <v>2171</v>
      </c>
      <c r="AD82" s="53">
        <v>4822</v>
      </c>
      <c r="AE82" s="65">
        <f>SUM(AA82:AD82)</f>
        <v>11205</v>
      </c>
      <c r="AF82" s="53">
        <v>4687</v>
      </c>
      <c r="AG82" s="53">
        <v>5504</v>
      </c>
      <c r="AH82" s="53">
        <v>5387</v>
      </c>
      <c r="AI82" s="53">
        <v>4993</v>
      </c>
      <c r="AJ82" s="65">
        <f>SUM(AF82:AI82)</f>
        <v>20571</v>
      </c>
      <c r="AK82" s="53">
        <v>4921</v>
      </c>
      <c r="AL82" s="53">
        <v>5797</v>
      </c>
      <c r="AM82" s="53">
        <v>5670</v>
      </c>
      <c r="AN82" s="53">
        <v>5292</v>
      </c>
      <c r="AO82" s="65">
        <f>SUM(AK82:AN82)</f>
        <v>21680</v>
      </c>
      <c r="AP82" s="53">
        <v>4887</v>
      </c>
      <c r="AQ82" s="53">
        <v>5713</v>
      </c>
      <c r="AR82" s="53">
        <v>5719</v>
      </c>
      <c r="AS82" s="53">
        <v>5271</v>
      </c>
      <c r="AT82" s="65">
        <f>SUM(AP82:AS82)</f>
        <v>21590</v>
      </c>
      <c r="AU82" s="53">
        <v>4793</v>
      </c>
      <c r="AV82" s="53">
        <v>5717</v>
      </c>
      <c r="AW82" s="53">
        <v>5599</v>
      </c>
      <c r="AX82" s="53">
        <v>5370</v>
      </c>
      <c r="AY82" s="65">
        <f>SUM(AU82:AX82)</f>
        <v>21479</v>
      </c>
      <c r="AZ82" s="547">
        <v>5101</v>
      </c>
      <c r="BA82" s="547">
        <v>5917</v>
      </c>
      <c r="BB82" s="547">
        <v>5639</v>
      </c>
      <c r="BC82" s="547">
        <v>5145</v>
      </c>
      <c r="BD82" s="65">
        <f>SUM(AZ82:BC82)</f>
        <v>21802</v>
      </c>
      <c r="BE82" s="547">
        <f>AZ82*(1+BE91)</f>
        <v>5017.6051838745252</v>
      </c>
      <c r="BF82" s="53">
        <f>BA82*(1+BF91)</f>
        <v>5682.4886732947089</v>
      </c>
      <c r="BG82" s="53">
        <f>BB82*(1+BG91)</f>
        <v>5151.7851088507832</v>
      </c>
      <c r="BH82" s="53">
        <f>BC82*(1+BH91)</f>
        <v>4629.0711235589542</v>
      </c>
      <c r="BI82" s="65">
        <f>SUM(BE82:BH82)</f>
        <v>20480.950089578972</v>
      </c>
      <c r="BJ82" s="53">
        <f>BE82*(1+BJ91)</f>
        <v>3719.9884276739394</v>
      </c>
      <c r="BK82" s="53">
        <f>BF82*(1+BK91)</f>
        <v>4241.3370020742741</v>
      </c>
      <c r="BL82" s="53">
        <f>BG82*(1+BL91)</f>
        <v>3845.2266366305248</v>
      </c>
      <c r="BM82" s="53">
        <f>BH82*(1+BM91)</f>
        <v>3455.079591069496</v>
      </c>
      <c r="BN82" s="65">
        <f>SUM(BJ82:BM82)</f>
        <v>15261.631657448235</v>
      </c>
      <c r="BO82" s="53">
        <f>BJ82*(1+BO91)</f>
        <v>2654.4162949386941</v>
      </c>
      <c r="BP82" s="53">
        <f>BK82*(1+BP91)</f>
        <v>3026.4271702780634</v>
      </c>
      <c r="BQ82" s="53">
        <f>BL82*(1+BQ91)</f>
        <v>2743.7806435291986</v>
      </c>
      <c r="BR82" s="53">
        <f>BM82*(1+BR91)</f>
        <v>2465.3892734229912</v>
      </c>
      <c r="BS82" s="65">
        <f>SUM(BO82:BR82)</f>
        <v>10890.013382168949</v>
      </c>
      <c r="BT82" s="53">
        <f>BO82*(1+BT91)</f>
        <v>2707.5046208374679</v>
      </c>
      <c r="BU82" s="53">
        <f>BP82*(1+BU91)</f>
        <v>3086.9557136836247</v>
      </c>
      <c r="BV82" s="53">
        <f>BQ82*(1+BV91)</f>
        <v>2798.6562563997827</v>
      </c>
      <c r="BW82" s="53">
        <f>BR82*(1+BW91)</f>
        <v>2514.697058891451</v>
      </c>
      <c r="BX82" s="65">
        <f>SUM(BT82:BW82)</f>
        <v>11107.813649812328</v>
      </c>
      <c r="BY82" s="53">
        <f>BT82*(1+BY91)</f>
        <v>2761.6547132542173</v>
      </c>
      <c r="BZ82" s="53">
        <f>BU82*(1+BZ91)</f>
        <v>3148.6948279572971</v>
      </c>
      <c r="CA82" s="53">
        <f>BV82*(1+CA91)</f>
        <v>2854.6293815277786</v>
      </c>
      <c r="CB82" s="53">
        <f>BW82*(1+CB91)</f>
        <v>2564.9910000692798</v>
      </c>
      <c r="CC82" s="65">
        <f>SUM(BY82:CB82)</f>
        <v>11329.969922808574</v>
      </c>
      <c r="CD82" s="53">
        <f>BY82*(1+CD91)</f>
        <v>2816.8878075193015</v>
      </c>
      <c r="CE82" s="53">
        <f>BZ82*(1+CE91)</f>
        <v>3211.668724516443</v>
      </c>
      <c r="CF82" s="53">
        <f>CA82*(1+CF91)</f>
        <v>2911.7219691583341</v>
      </c>
      <c r="CG82" s="53">
        <f>CB82*(1+CG91)</f>
        <v>2616.2908200706656</v>
      </c>
      <c r="CH82" s="65">
        <f>SUM(CD82:CG82)</f>
        <v>11556.569321264746</v>
      </c>
      <c r="CI82" s="53">
        <f>CD82*(1+CI91)</f>
        <v>2873.2255636696877</v>
      </c>
      <c r="CJ82" s="53">
        <f>CE82*(1+CJ91)</f>
        <v>3275.902099006772</v>
      </c>
      <c r="CK82" s="53">
        <f>CF82*(1+CK91)</f>
        <v>2969.9564085415009</v>
      </c>
      <c r="CL82" s="53">
        <f>CG82*(1+CL91)</f>
        <v>2668.6166364720789</v>
      </c>
      <c r="CM82" s="65">
        <f>SUM(CI82:CL82)</f>
        <v>11787.700707690039</v>
      </c>
    </row>
    <row r="83" spans="1:91" hidden="1" outlineLevel="1" x14ac:dyDescent="0.2">
      <c r="A83" s="45" t="s">
        <v>194</v>
      </c>
      <c r="B83" s="61" t="s">
        <v>169</v>
      </c>
      <c r="C83" s="61" t="s">
        <v>169</v>
      </c>
      <c r="D83" s="61" t="s">
        <v>169</v>
      </c>
      <c r="E83" s="61" t="s">
        <v>169</v>
      </c>
      <c r="F83" s="113" t="s">
        <v>169</v>
      </c>
      <c r="G83" s="61" t="s">
        <v>169</v>
      </c>
      <c r="H83" s="61" t="s">
        <v>169</v>
      </c>
      <c r="I83" s="61" t="s">
        <v>169</v>
      </c>
      <c r="J83" s="61" t="s">
        <v>169</v>
      </c>
      <c r="K83" s="113" t="s">
        <v>169</v>
      </c>
      <c r="L83" s="70">
        <v>-16</v>
      </c>
      <c r="M83" s="70">
        <v>-21</v>
      </c>
      <c r="N83" s="70">
        <v>-26</v>
      </c>
      <c r="O83" s="70">
        <v>-12</v>
      </c>
      <c r="P83" s="77">
        <v>-75</v>
      </c>
      <c r="Q83" s="70">
        <v>-14</v>
      </c>
      <c r="R83" s="70">
        <v>-16</v>
      </c>
      <c r="S83" s="70">
        <v>-17</v>
      </c>
      <c r="T83" s="70">
        <v>-28</v>
      </c>
      <c r="U83" s="77">
        <f>SUM(Q83:T83)</f>
        <v>-75</v>
      </c>
      <c r="V83" s="70">
        <v>-12</v>
      </c>
      <c r="W83" s="70">
        <v>-37</v>
      </c>
      <c r="X83" s="70">
        <v>-7</v>
      </c>
      <c r="Y83" s="70">
        <v>-24</v>
      </c>
      <c r="Z83" s="77">
        <f>SUM(V83:Y83)</f>
        <v>-80</v>
      </c>
      <c r="AA83" s="70">
        <v>-15</v>
      </c>
      <c r="AB83" s="70">
        <v>-20</v>
      </c>
      <c r="AC83" s="70">
        <v>-12</v>
      </c>
      <c r="AD83" s="70">
        <v>-18</v>
      </c>
      <c r="AE83" s="77">
        <f>SUM(AA83:AD83)</f>
        <v>-65</v>
      </c>
      <c r="AF83" s="70">
        <v>-3</v>
      </c>
      <c r="AG83" s="70">
        <v>-8</v>
      </c>
      <c r="AH83" s="70">
        <v>0</v>
      </c>
      <c r="AI83" s="70">
        <v>-1</v>
      </c>
      <c r="AJ83" s="77">
        <f>SUM(AF83:AI83)</f>
        <v>-12</v>
      </c>
      <c r="AK83" s="70">
        <v>-4</v>
      </c>
      <c r="AL83" s="70">
        <v>-8</v>
      </c>
      <c r="AM83" s="70">
        <v>-1</v>
      </c>
      <c r="AN83" s="70">
        <v>-2</v>
      </c>
      <c r="AO83" s="77">
        <f>SUM(AK83:AN83)</f>
        <v>-15</v>
      </c>
      <c r="AP83" s="70">
        <v>-4</v>
      </c>
      <c r="AQ83" s="70">
        <v>-5</v>
      </c>
      <c r="AR83" s="70">
        <v>-4</v>
      </c>
      <c r="AS83" s="70">
        <v>-3</v>
      </c>
      <c r="AT83" s="77">
        <f>SUM(AP83:AS83)</f>
        <v>-16</v>
      </c>
      <c r="AU83" s="70">
        <v>-3</v>
      </c>
      <c r="AV83" s="70">
        <v>-7</v>
      </c>
      <c r="AW83" s="70">
        <v>-3</v>
      </c>
      <c r="AX83" s="70">
        <v>-4</v>
      </c>
      <c r="AY83" s="77">
        <f>SUM(AU83:AX83)</f>
        <v>-17</v>
      </c>
      <c r="AZ83" s="548">
        <v>-4</v>
      </c>
      <c r="BA83" s="548">
        <v>-6</v>
      </c>
      <c r="BB83" s="548">
        <v>-4</v>
      </c>
      <c r="BC83" s="548">
        <v>-4</v>
      </c>
      <c r="BD83" s="77">
        <f>SUM(AZ83:BC83)</f>
        <v>-18</v>
      </c>
      <c r="BE83" s="548">
        <f>-BE84*BE82</f>
        <v>-3.934605123602843</v>
      </c>
      <c r="BF83" s="70">
        <f>-BF84*BF82</f>
        <v>-5.7621990940963759</v>
      </c>
      <c r="BG83" s="70">
        <f>-BG84*BG82</f>
        <v>-3.6543962467464324</v>
      </c>
      <c r="BH83" s="70">
        <f>-BH84*BH82</f>
        <v>-3.5988891145259121</v>
      </c>
      <c r="BI83" s="77">
        <f>SUM(BE83:BH83)</f>
        <v>-16.950089578971564</v>
      </c>
      <c r="BJ83" s="70">
        <f>-BJ84*BJ82</f>
        <v>-2.917066008762156</v>
      </c>
      <c r="BK83" s="70">
        <f>-BK84*BK82</f>
        <v>-4.3008318425630634</v>
      </c>
      <c r="BL83" s="70">
        <f>-BL84*BL82</f>
        <v>-2.7275947058914878</v>
      </c>
      <c r="BM83" s="70">
        <f>-BM84*BM82</f>
        <v>-2.6861648910161291</v>
      </c>
      <c r="BN83" s="77">
        <f>SUM(BJ83:BM83)</f>
        <v>-12.631657448232836</v>
      </c>
      <c r="BO83" s="70">
        <f>-BO84*BO82</f>
        <v>-2.0814869985796465</v>
      </c>
      <c r="BP83" s="70">
        <f>-BP84*BP82</f>
        <v>-3.0688800104222378</v>
      </c>
      <c r="BQ83" s="70">
        <f>-BQ84*BQ82</f>
        <v>-1.9462888054826732</v>
      </c>
      <c r="BR83" s="70">
        <f>-BR84*BR82</f>
        <v>-1.9167263544590798</v>
      </c>
      <c r="BS83" s="77">
        <f>SUM(BO83:BR83)</f>
        <v>-9.0133821689436378</v>
      </c>
      <c r="BT83" s="70">
        <f>-BT84*BT82</f>
        <v>-2.1231167385512393</v>
      </c>
      <c r="BU83" s="70">
        <f>-BU84*BU82</f>
        <v>-3.1302576106306828</v>
      </c>
      <c r="BV83" s="70">
        <f>-BV84*BV82</f>
        <v>-1.9852145815923268</v>
      </c>
      <c r="BW83" s="70">
        <f>-BW84*BW82</f>
        <v>-1.9550608815482613</v>
      </c>
      <c r="BX83" s="77">
        <f>SUM(BT83:BW83)</f>
        <v>-9.1936498123225103</v>
      </c>
      <c r="BY83" s="70">
        <f>-BY84*BY82</f>
        <v>-2.165579073322264</v>
      </c>
      <c r="BZ83" s="70">
        <f>-BZ84*BZ82</f>
        <v>-3.192862762843296</v>
      </c>
      <c r="CA83" s="70">
        <f>-CA84*CA82</f>
        <v>-2.0249188732241734</v>
      </c>
      <c r="CB83" s="70">
        <f>-CB84*CB82</f>
        <v>-1.9941620991792264</v>
      </c>
      <c r="CC83" s="77">
        <f>SUM(BY83:CB83)</f>
        <v>-9.3775228085689601</v>
      </c>
      <c r="CD83" s="70">
        <f>-CD84*CD82</f>
        <v>-2.2088906547887093</v>
      </c>
      <c r="CE83" s="70">
        <f>-CE84*CE82</f>
        <v>-3.2567200181001619</v>
      </c>
      <c r="CF83" s="70">
        <f>-CF84*CF82</f>
        <v>-2.065417250688657</v>
      </c>
      <c r="CG83" s="70">
        <f>-CG84*CG82</f>
        <v>-2.0340453411628112</v>
      </c>
      <c r="CH83" s="77">
        <f>SUM(CD83:CG83)</f>
        <v>-9.5650732647403398</v>
      </c>
      <c r="CI83" s="70">
        <f>-CI84*CI82</f>
        <v>-2.2530684678844835</v>
      </c>
      <c r="CJ83" s="70">
        <f>-CJ84*CJ82</f>
        <v>-3.3218544184621654</v>
      </c>
      <c r="CK83" s="70">
        <f>-CK84*CK82</f>
        <v>-2.10672559570243</v>
      </c>
      <c r="CL83" s="70">
        <f>-CL84*CL82</f>
        <v>-2.0747262479860673</v>
      </c>
      <c r="CM83" s="77">
        <f>SUM(CI83:CL83)</f>
        <v>-9.7563747300351462</v>
      </c>
    </row>
    <row r="84" spans="1:91" hidden="1" outlineLevel="2" x14ac:dyDescent="0.2">
      <c r="A84" s="45" t="s">
        <v>196</v>
      </c>
      <c r="B84" s="61" t="s">
        <v>169</v>
      </c>
      <c r="C84" s="61" t="s">
        <v>169</v>
      </c>
      <c r="D84" s="61" t="s">
        <v>169</v>
      </c>
      <c r="E84" s="61" t="s">
        <v>169</v>
      </c>
      <c r="F84" s="113" t="s">
        <v>169</v>
      </c>
      <c r="G84" s="61" t="s">
        <v>169</v>
      </c>
      <c r="H84" s="61" t="s">
        <v>169</v>
      </c>
      <c r="I84" s="61" t="s">
        <v>169</v>
      </c>
      <c r="J84" s="61" t="s">
        <v>169</v>
      </c>
      <c r="K84" s="113" t="s">
        <v>169</v>
      </c>
      <c r="L84" s="36">
        <f t="shared" ref="L84:AS84" si="122">-L83/L82</f>
        <v>9.5181439619274246E-3</v>
      </c>
      <c r="M84" s="36">
        <f t="shared" si="122"/>
        <v>1.0081613058089293E-2</v>
      </c>
      <c r="N84" s="36">
        <f t="shared" si="122"/>
        <v>1.1893870082342177E-2</v>
      </c>
      <c r="O84" s="36">
        <f t="shared" si="122"/>
        <v>6.3626723223753979E-3</v>
      </c>
      <c r="P84" s="27">
        <f t="shared" si="122"/>
        <v>9.5712098009188354E-3</v>
      </c>
      <c r="Q84" s="36">
        <f t="shared" si="122"/>
        <v>7.3761854583772393E-3</v>
      </c>
      <c r="R84" s="36">
        <f t="shared" si="122"/>
        <v>7.0921985815602835E-3</v>
      </c>
      <c r="S84" s="36">
        <f t="shared" si="122"/>
        <v>7.8996282527881035E-3</v>
      </c>
      <c r="T84" s="36">
        <f t="shared" si="122"/>
        <v>1.4184397163120567E-2</v>
      </c>
      <c r="U84" s="27">
        <f t="shared" si="122"/>
        <v>9.057971014492754E-3</v>
      </c>
      <c r="V84" s="36">
        <f t="shared" si="122"/>
        <v>5.8365758754863814E-3</v>
      </c>
      <c r="W84" s="36">
        <f t="shared" si="122"/>
        <v>1.67420814479638E-2</v>
      </c>
      <c r="X84" s="36">
        <f t="shared" si="122"/>
        <v>3.3034450212364322E-3</v>
      </c>
      <c r="Y84" s="36">
        <f t="shared" si="122"/>
        <v>1.2725344644750796E-2</v>
      </c>
      <c r="Z84" s="27">
        <f t="shared" si="122"/>
        <v>9.6723491718051016E-3</v>
      </c>
      <c r="AA84" s="36">
        <f t="shared" si="122"/>
        <v>7.763975155279503E-3</v>
      </c>
      <c r="AB84" s="36">
        <f t="shared" si="122"/>
        <v>8.771929824561403E-3</v>
      </c>
      <c r="AC84" s="36">
        <f t="shared" si="122"/>
        <v>5.5274067250115156E-3</v>
      </c>
      <c r="AD84" s="36">
        <f t="shared" si="122"/>
        <v>3.7328909166321027E-3</v>
      </c>
      <c r="AE84" s="27">
        <f>-AE83/AE82</f>
        <v>5.8009817045961629E-3</v>
      </c>
      <c r="AF84" s="36">
        <f t="shared" si="122"/>
        <v>6.400682739492212E-4</v>
      </c>
      <c r="AG84" s="36">
        <f t="shared" si="122"/>
        <v>1.4534883720930232E-3</v>
      </c>
      <c r="AH84" s="36">
        <f t="shared" si="122"/>
        <v>0</v>
      </c>
      <c r="AI84" s="36">
        <f t="shared" si="122"/>
        <v>2.002803925495694E-4</v>
      </c>
      <c r="AJ84" s="27">
        <f>-AJ83/AJ82</f>
        <v>5.8334548636429929E-4</v>
      </c>
      <c r="AK84" s="36">
        <f t="shared" si="122"/>
        <v>8.1284291810607601E-4</v>
      </c>
      <c r="AL84" s="36">
        <f t="shared" si="122"/>
        <v>1.3800241504226323E-3</v>
      </c>
      <c r="AM84" s="36">
        <f t="shared" si="122"/>
        <v>1.7636684303350971E-4</v>
      </c>
      <c r="AN84" s="36">
        <f t="shared" si="122"/>
        <v>3.779289493575208E-4</v>
      </c>
      <c r="AO84" s="27">
        <f>-AO83/AO82</f>
        <v>6.9188191881918814E-4</v>
      </c>
      <c r="AP84" s="36">
        <f t="shared" si="122"/>
        <v>8.1849805606711685E-4</v>
      </c>
      <c r="AQ84" s="36">
        <f t="shared" si="122"/>
        <v>8.7519691930684404E-4</v>
      </c>
      <c r="AR84" s="36">
        <f t="shared" si="122"/>
        <v>6.9942297604476302E-4</v>
      </c>
      <c r="AS84" s="36">
        <f t="shared" si="122"/>
        <v>5.6915196357427435E-4</v>
      </c>
      <c r="AT84" s="27">
        <f t="shared" ref="AT84:BC84" si="123">-AT83/AT82</f>
        <v>7.4108383510884668E-4</v>
      </c>
      <c r="AU84" s="36">
        <f t="shared" si="123"/>
        <v>6.259127894846651E-4</v>
      </c>
      <c r="AV84" s="36">
        <f t="shared" si="123"/>
        <v>1.2244184012594017E-3</v>
      </c>
      <c r="AW84" s="36">
        <f t="shared" si="123"/>
        <v>5.3580996606536881E-4</v>
      </c>
      <c r="AX84" s="36">
        <f t="shared" si="123"/>
        <v>7.4487895716945994E-4</v>
      </c>
      <c r="AY84" s="27">
        <f t="shared" si="123"/>
        <v>7.9147073886121327E-4</v>
      </c>
      <c r="AZ84" s="36">
        <f t="shared" si="123"/>
        <v>7.8415996863360126E-4</v>
      </c>
      <c r="BA84" s="36">
        <f t="shared" si="123"/>
        <v>1.014027378739226E-3</v>
      </c>
      <c r="BB84" s="36">
        <f t="shared" si="123"/>
        <v>7.093456286575634E-4</v>
      </c>
      <c r="BC84" s="36">
        <f t="shared" si="123"/>
        <v>7.774538386783285E-4</v>
      </c>
      <c r="BD84" s="27">
        <f>-BD83/BD82</f>
        <v>8.2561232914411527E-4</v>
      </c>
      <c r="BE84" s="36">
        <f>AZ84</f>
        <v>7.8415996863360126E-4</v>
      </c>
      <c r="BF84" s="41">
        <f>BA84</f>
        <v>1.014027378739226E-3</v>
      </c>
      <c r="BG84" s="41">
        <f>BB84</f>
        <v>7.093456286575634E-4</v>
      </c>
      <c r="BH84" s="41">
        <f>BC84</f>
        <v>7.774538386783285E-4</v>
      </c>
      <c r="BI84" s="27">
        <f>-BI83/BI82</f>
        <v>8.2760269932965829E-4</v>
      </c>
      <c r="BJ84" s="41">
        <f>BE84</f>
        <v>7.8415996863360126E-4</v>
      </c>
      <c r="BK84" s="41">
        <f>BF84</f>
        <v>1.014027378739226E-3</v>
      </c>
      <c r="BL84" s="41">
        <f>BG84</f>
        <v>7.093456286575634E-4</v>
      </c>
      <c r="BM84" s="41">
        <f>BH84</f>
        <v>7.774538386783285E-4</v>
      </c>
      <c r="BN84" s="27">
        <f>-BN83/BN82</f>
        <v>8.2767411321109461E-4</v>
      </c>
      <c r="BO84" s="41">
        <f>BJ84</f>
        <v>7.8415996863360126E-4</v>
      </c>
      <c r="BP84" s="41">
        <f>BK84</f>
        <v>1.014027378739226E-3</v>
      </c>
      <c r="BQ84" s="41">
        <f>BL84</f>
        <v>7.093456286575634E-4</v>
      </c>
      <c r="BR84" s="41">
        <f>BM84</f>
        <v>7.774538386783285E-4</v>
      </c>
      <c r="BS84" s="27">
        <f>-BS83/BS82</f>
        <v>8.2767411321109461E-4</v>
      </c>
      <c r="BT84" s="41">
        <f>BO84</f>
        <v>7.8415996863360126E-4</v>
      </c>
      <c r="BU84" s="41">
        <f>BP84</f>
        <v>1.014027378739226E-3</v>
      </c>
      <c r="BV84" s="41">
        <f>BQ84</f>
        <v>7.093456286575634E-4</v>
      </c>
      <c r="BW84" s="41">
        <f>BR84</f>
        <v>7.774538386783285E-4</v>
      </c>
      <c r="BX84" s="27">
        <f>-BX83/BX82</f>
        <v>8.2767411321109461E-4</v>
      </c>
      <c r="BY84" s="41">
        <f>BT84</f>
        <v>7.8415996863360126E-4</v>
      </c>
      <c r="BZ84" s="41">
        <f>BU84</f>
        <v>1.014027378739226E-3</v>
      </c>
      <c r="CA84" s="41">
        <f>BV84</f>
        <v>7.093456286575634E-4</v>
      </c>
      <c r="CB84" s="41">
        <f>BW84</f>
        <v>7.774538386783285E-4</v>
      </c>
      <c r="CC84" s="27">
        <f>-CC83/CC82</f>
        <v>8.2767411321109461E-4</v>
      </c>
      <c r="CD84" s="41">
        <f>BY84</f>
        <v>7.8415996863360126E-4</v>
      </c>
      <c r="CE84" s="41">
        <f>BZ84</f>
        <v>1.014027378739226E-3</v>
      </c>
      <c r="CF84" s="41">
        <f>CA84</f>
        <v>7.093456286575634E-4</v>
      </c>
      <c r="CG84" s="41">
        <f>CB84</f>
        <v>7.774538386783285E-4</v>
      </c>
      <c r="CH84" s="27">
        <f>-CH83/CH82</f>
        <v>8.2767411321109461E-4</v>
      </c>
      <c r="CI84" s="41">
        <f>CD84</f>
        <v>7.8415996863360126E-4</v>
      </c>
      <c r="CJ84" s="41">
        <f>CE84</f>
        <v>1.014027378739226E-3</v>
      </c>
      <c r="CK84" s="41">
        <f>CF84</f>
        <v>7.093456286575634E-4</v>
      </c>
      <c r="CL84" s="41">
        <f>CG84</f>
        <v>7.774538386783285E-4</v>
      </c>
      <c r="CM84" s="27">
        <f>-CM83/CM82</f>
        <v>8.2767411321109472E-4</v>
      </c>
    </row>
    <row r="85" spans="1:91" hidden="1" outlineLevel="1" collapsed="1" x14ac:dyDescent="0.2">
      <c r="A85" s="58" t="s">
        <v>198</v>
      </c>
      <c r="B85" s="61">
        <f t="shared" ref="B85:K85" si="124">B82</f>
        <v>1528</v>
      </c>
      <c r="C85" s="61">
        <f t="shared" si="124"/>
        <v>1775</v>
      </c>
      <c r="D85" s="61">
        <f t="shared" si="124"/>
        <v>1745</v>
      </c>
      <c r="E85" s="61">
        <f t="shared" si="124"/>
        <v>1628</v>
      </c>
      <c r="F85" s="65">
        <f t="shared" si="124"/>
        <v>6676</v>
      </c>
      <c r="G85" s="61">
        <f t="shared" si="124"/>
        <v>1645</v>
      </c>
      <c r="H85" s="61">
        <f t="shared" si="124"/>
        <v>1909</v>
      </c>
      <c r="I85" s="61">
        <f t="shared" si="124"/>
        <v>1809</v>
      </c>
      <c r="J85" s="61">
        <f t="shared" si="124"/>
        <v>1666</v>
      </c>
      <c r="K85" s="65">
        <f t="shared" si="124"/>
        <v>7029</v>
      </c>
      <c r="L85" s="53">
        <f t="shared" ref="L85:AD85" si="125">SUM(L82,L83)</f>
        <v>1665</v>
      </c>
      <c r="M85" s="53">
        <f t="shared" si="125"/>
        <v>2062</v>
      </c>
      <c r="N85" s="53">
        <f t="shared" si="125"/>
        <v>2160</v>
      </c>
      <c r="O85" s="53">
        <f t="shared" si="125"/>
        <v>1874</v>
      </c>
      <c r="P85" s="65">
        <f t="shared" si="125"/>
        <v>7761</v>
      </c>
      <c r="Q85" s="53">
        <f t="shared" si="125"/>
        <v>1884</v>
      </c>
      <c r="R85" s="53">
        <f t="shared" si="125"/>
        <v>2240</v>
      </c>
      <c r="S85" s="53">
        <f t="shared" si="125"/>
        <v>2135</v>
      </c>
      <c r="T85" s="53">
        <f t="shared" si="125"/>
        <v>1946</v>
      </c>
      <c r="U85" s="65">
        <f t="shared" si="125"/>
        <v>8205</v>
      </c>
      <c r="V85" s="53">
        <f t="shared" si="125"/>
        <v>2044</v>
      </c>
      <c r="W85" s="53">
        <f t="shared" si="125"/>
        <v>2173</v>
      </c>
      <c r="X85" s="53">
        <f t="shared" si="125"/>
        <v>2112</v>
      </c>
      <c r="Y85" s="53">
        <f t="shared" si="125"/>
        <v>1862</v>
      </c>
      <c r="Z85" s="65">
        <f t="shared" si="125"/>
        <v>8191</v>
      </c>
      <c r="AA85" s="53">
        <f t="shared" si="125"/>
        <v>1917</v>
      </c>
      <c r="AB85" s="53">
        <f t="shared" si="125"/>
        <v>2260</v>
      </c>
      <c r="AC85" s="53">
        <f t="shared" si="125"/>
        <v>2159</v>
      </c>
      <c r="AD85" s="53">
        <f t="shared" si="125"/>
        <v>4804</v>
      </c>
      <c r="AE85" s="65">
        <f>SUM(AA85:AD85)</f>
        <v>11140</v>
      </c>
      <c r="AF85" s="53">
        <f>SUM(AF82,AF83)</f>
        <v>4684</v>
      </c>
      <c r="AG85" s="53">
        <f>SUM(AG82,AG83)</f>
        <v>5496</v>
      </c>
      <c r="AH85" s="53">
        <f>SUM(AH82,AH83)</f>
        <v>5387</v>
      </c>
      <c r="AI85" s="53">
        <f>SUM(AI82,AI83)</f>
        <v>4992</v>
      </c>
      <c r="AJ85" s="65">
        <f>SUM(AF85:AI85)</f>
        <v>20559</v>
      </c>
      <c r="AK85" s="53">
        <f>SUM(AK82,AK83)</f>
        <v>4917</v>
      </c>
      <c r="AL85" s="53">
        <f>SUM(AL82,AL83)</f>
        <v>5789</v>
      </c>
      <c r="AM85" s="53">
        <f>SUM(AM82,AM83)</f>
        <v>5669</v>
      </c>
      <c r="AN85" s="53">
        <f>SUM(AN82,AN83)</f>
        <v>5290</v>
      </c>
      <c r="AO85" s="65">
        <f>SUM(AK85:AN85)</f>
        <v>21665</v>
      </c>
      <c r="AP85" s="53">
        <f>SUM(AP82,AP83)</f>
        <v>4883</v>
      </c>
      <c r="AQ85" s="53">
        <f>SUM(AQ82,AQ83)</f>
        <v>5708</v>
      </c>
      <c r="AR85" s="53">
        <f>SUM(AR82,AR83)</f>
        <v>5715</v>
      </c>
      <c r="AS85" s="53">
        <f>SUM(AS82,AS83)</f>
        <v>5268</v>
      </c>
      <c r="AT85" s="65">
        <f>SUM(AP85:AS85)</f>
        <v>21574</v>
      </c>
      <c r="AU85" s="53">
        <f>SUM(AU82,AU83)</f>
        <v>4790</v>
      </c>
      <c r="AV85" s="53">
        <f>SUM(AV82,AV83)</f>
        <v>5710</v>
      </c>
      <c r="AW85" s="53">
        <f>SUM(AW82,AW83)</f>
        <v>5596</v>
      </c>
      <c r="AX85" s="53">
        <f>SUM(AX82,AX83)</f>
        <v>5366</v>
      </c>
      <c r="AY85" s="65">
        <f>SUM(AU85:AX85)</f>
        <v>21462</v>
      </c>
      <c r="AZ85" s="53">
        <f>SUM(AZ82,AZ83)</f>
        <v>5097</v>
      </c>
      <c r="BA85" s="53">
        <f>SUM(BA82,BA83)</f>
        <v>5911</v>
      </c>
      <c r="BB85" s="53">
        <f>SUM(BB82,BB83)</f>
        <v>5635</v>
      </c>
      <c r="BC85" s="53">
        <f>SUM(BC82,BC83)</f>
        <v>5141</v>
      </c>
      <c r="BD85" s="65">
        <f>SUM(AZ85:BC85)</f>
        <v>21784</v>
      </c>
      <c r="BE85" s="53">
        <f>SUM(BE82,BE83)</f>
        <v>5013.6705787509227</v>
      </c>
      <c r="BF85" s="53">
        <f>SUM(BF82,BF83)</f>
        <v>5676.7264742006128</v>
      </c>
      <c r="BG85" s="53">
        <f>SUM(BG82,BG83)</f>
        <v>5148.1307126040365</v>
      </c>
      <c r="BH85" s="53">
        <f>SUM(BH82,BH83)</f>
        <v>4625.4722344444281</v>
      </c>
      <c r="BI85" s="65">
        <f>SUM(BE85:BH85)</f>
        <v>20464</v>
      </c>
      <c r="BJ85" s="53">
        <f>SUM(BJ82,BJ83)</f>
        <v>3717.0713616651774</v>
      </c>
      <c r="BK85" s="53">
        <f>SUM(BK82,BK83)</f>
        <v>4237.0361702317114</v>
      </c>
      <c r="BL85" s="53">
        <f>SUM(BL82,BL83)</f>
        <v>3842.4990419246333</v>
      </c>
      <c r="BM85" s="53">
        <f>SUM(BM82,BM83)</f>
        <v>3452.3934261784798</v>
      </c>
      <c r="BN85" s="65">
        <f>SUM(BJ85:BM85)</f>
        <v>15249.000000000002</v>
      </c>
      <c r="BO85" s="53">
        <f>SUM(BO82,BO83)</f>
        <v>2652.3348079401144</v>
      </c>
      <c r="BP85" s="53">
        <f>SUM(BP82,BP83)</f>
        <v>3023.3582902676412</v>
      </c>
      <c r="BQ85" s="53">
        <f>SUM(BQ82,BQ83)</f>
        <v>2741.8343547237159</v>
      </c>
      <c r="BR85" s="53">
        <f>SUM(BR82,BR83)</f>
        <v>2463.4725470685321</v>
      </c>
      <c r="BS85" s="65">
        <f>SUM(BO85:BR85)</f>
        <v>10881.000000000004</v>
      </c>
      <c r="BT85" s="53">
        <f>SUM(BT82,BT83)</f>
        <v>2705.3815040989166</v>
      </c>
      <c r="BU85" s="53">
        <f>SUM(BU82,BU83)</f>
        <v>3083.8254560729938</v>
      </c>
      <c r="BV85" s="53">
        <f>SUM(BV82,BV83)</f>
        <v>2796.6710418181906</v>
      </c>
      <c r="BW85" s="53">
        <f>SUM(BW82,BW83)</f>
        <v>2512.7419980099025</v>
      </c>
      <c r="BX85" s="65">
        <f>SUM(BT85:BW85)</f>
        <v>11098.620000000003</v>
      </c>
      <c r="BY85" s="53">
        <f>SUM(BY82,BY83)</f>
        <v>2759.4891341808952</v>
      </c>
      <c r="BZ85" s="53">
        <f>SUM(BZ82,BZ83)</f>
        <v>3145.501965194454</v>
      </c>
      <c r="CA85" s="53">
        <f>SUM(CA82,CA83)</f>
        <v>2852.6044626545545</v>
      </c>
      <c r="CB85" s="53">
        <f>SUM(CB82,CB83)</f>
        <v>2562.9968379701004</v>
      </c>
      <c r="CC85" s="65">
        <f>SUM(BY85:CB85)</f>
        <v>11320.592400000003</v>
      </c>
      <c r="CD85" s="53">
        <f>SUM(CD82,CD83)</f>
        <v>2814.6789168645128</v>
      </c>
      <c r="CE85" s="53">
        <f>SUM(CE82,CE83)</f>
        <v>3208.4120044983429</v>
      </c>
      <c r="CF85" s="53">
        <f>SUM(CF82,CF83)</f>
        <v>2909.6565519076453</v>
      </c>
      <c r="CG85" s="53">
        <f>SUM(CG82,CG83)</f>
        <v>2614.2567747295029</v>
      </c>
      <c r="CH85" s="65">
        <f>SUM(CD85:CG85)</f>
        <v>11547.004248000005</v>
      </c>
      <c r="CI85" s="53">
        <f>SUM(CI82,CI83)</f>
        <v>2870.9724952018032</v>
      </c>
      <c r="CJ85" s="53">
        <f>SUM(CJ82,CJ83)</f>
        <v>3272.5802445883101</v>
      </c>
      <c r="CK85" s="53">
        <f>SUM(CK82,CK83)</f>
        <v>2967.8496829457986</v>
      </c>
      <c r="CL85" s="53">
        <f>SUM(CL82,CL83)</f>
        <v>2666.5419102240926</v>
      </c>
      <c r="CM85" s="65">
        <f>SUM(CI85:CL85)</f>
        <v>11777.944332960004</v>
      </c>
    </row>
    <row r="86" spans="1:91" hidden="1" outlineLevel="1" x14ac:dyDescent="0.2">
      <c r="A86" s="25" t="s">
        <v>191</v>
      </c>
      <c r="B86" s="36">
        <v>0</v>
      </c>
      <c r="C86" s="36">
        <v>0.01</v>
      </c>
      <c r="D86" s="36">
        <v>0.03</v>
      </c>
      <c r="E86" s="36">
        <v>0.03</v>
      </c>
      <c r="F86" s="27">
        <v>0.02</v>
      </c>
      <c r="G86" s="36">
        <v>0.02</v>
      </c>
      <c r="H86" s="36">
        <v>0.02</v>
      </c>
      <c r="I86" s="36">
        <v>-0.01</v>
      </c>
      <c r="J86" s="36">
        <v>-0.02</v>
      </c>
      <c r="K86" s="27">
        <v>0</v>
      </c>
      <c r="L86" s="36">
        <v>-0.03</v>
      </c>
      <c r="M86" s="36">
        <v>-0.02</v>
      </c>
      <c r="N86" s="36">
        <v>0.01</v>
      </c>
      <c r="O86" s="36">
        <v>0.01</v>
      </c>
      <c r="P86" s="27">
        <v>-0.01</v>
      </c>
      <c r="Q86" s="36">
        <v>0</v>
      </c>
      <c r="R86" s="36">
        <v>0</v>
      </c>
      <c r="S86" s="36">
        <v>-0.02</v>
      </c>
      <c r="T86" s="36">
        <v>-0.03</v>
      </c>
      <c r="U86" s="27">
        <v>-0.01</v>
      </c>
      <c r="V86" s="36">
        <v>-0.02</v>
      </c>
      <c r="W86" s="36">
        <v>-0.01</v>
      </c>
      <c r="X86" s="36">
        <v>-0.04</v>
      </c>
      <c r="Y86" s="36">
        <v>-0.01</v>
      </c>
      <c r="Z86" s="27">
        <v>-0.02</v>
      </c>
      <c r="AA86" s="36">
        <v>-0.02</v>
      </c>
      <c r="AB86" s="36">
        <v>0.02</v>
      </c>
      <c r="AC86" s="36">
        <f>AC87</f>
        <v>0.02</v>
      </c>
      <c r="AD86" s="36">
        <v>0.03</v>
      </c>
      <c r="AE86" s="27">
        <v>0.01</v>
      </c>
      <c r="AF86" s="36">
        <v>0.02</v>
      </c>
      <c r="AG86" s="36">
        <v>0</v>
      </c>
      <c r="AH86" s="36">
        <v>0.01</v>
      </c>
      <c r="AI86" s="36">
        <v>0.01</v>
      </c>
      <c r="AJ86" s="27">
        <v>0.01</v>
      </c>
      <c r="AK86" s="36">
        <v>0.02</v>
      </c>
      <c r="AL86" s="36">
        <v>0.01</v>
      </c>
      <c r="AM86" s="36">
        <v>0.02</v>
      </c>
      <c r="AN86" s="36">
        <v>0.01</v>
      </c>
      <c r="AO86" s="27">
        <v>0.02</v>
      </c>
      <c r="AP86" s="36">
        <v>0.01</v>
      </c>
      <c r="AQ86" s="36">
        <v>-0.01</v>
      </c>
      <c r="AR86" s="36">
        <v>0.02</v>
      </c>
      <c r="AS86" s="36">
        <v>-0.01</v>
      </c>
      <c r="AT86" s="27">
        <v>0</v>
      </c>
      <c r="AU86" s="36">
        <v>0</v>
      </c>
      <c r="AV86" s="36">
        <v>0</v>
      </c>
      <c r="AW86" s="36">
        <v>-0.01</v>
      </c>
      <c r="AX86" s="36">
        <v>0.01</v>
      </c>
      <c r="AY86" s="27">
        <f>SUMPRODUCT(AP82:AS82,AU86:AX86)/AT82</f>
        <v>-2.0750347383047694E-4</v>
      </c>
      <c r="AZ86" s="36">
        <v>0</v>
      </c>
      <c r="BA86" s="36">
        <v>0.02</v>
      </c>
      <c r="BB86" s="36">
        <v>0.01</v>
      </c>
      <c r="BC86" s="36">
        <v>0.03</v>
      </c>
      <c r="BD86" s="27">
        <v>0.01</v>
      </c>
      <c r="BE86" s="36">
        <v>0.03</v>
      </c>
      <c r="BF86" s="41">
        <v>2.5000000000000001E-2</v>
      </c>
      <c r="BG86" s="41">
        <v>0.01</v>
      </c>
      <c r="BH86" s="36">
        <f>(BI86*BD82-SUMPRODUCT(AZ82:BB82,BE86:BG86))/BC82</f>
        <v>-5.8921282798833925E-3</v>
      </c>
      <c r="BI86" s="44">
        <v>1.4999999999999999E-2</v>
      </c>
      <c r="BJ86" s="36">
        <f>BJ87</f>
        <v>0.01</v>
      </c>
      <c r="BK86" s="36">
        <f>BK87</f>
        <v>0.01</v>
      </c>
      <c r="BL86" s="36">
        <f>BL87</f>
        <v>0.01</v>
      </c>
      <c r="BM86" s="36">
        <f>BM87</f>
        <v>9.9999999999999967E-3</v>
      </c>
      <c r="BN86" s="27">
        <f>SUMPRODUCT(BE82:BH82,BJ86:BM86)/BI82</f>
        <v>0.01</v>
      </c>
      <c r="BO86" s="36">
        <f>BO87</f>
        <v>0.01</v>
      </c>
      <c r="BP86" s="36">
        <f>BP87</f>
        <v>0.01</v>
      </c>
      <c r="BQ86" s="36">
        <f>BQ87</f>
        <v>0.01</v>
      </c>
      <c r="BR86" s="36">
        <f>BR87</f>
        <v>1.0000000000000004E-2</v>
      </c>
      <c r="BS86" s="27">
        <f>SUMPRODUCT(BJ82:BM82,BO86:BR86)/BN82</f>
        <v>0.01</v>
      </c>
      <c r="BT86" s="36">
        <f>BT87</f>
        <v>0.01</v>
      </c>
      <c r="BU86" s="36">
        <f>BU87</f>
        <v>0.01</v>
      </c>
      <c r="BV86" s="36">
        <f>BV87</f>
        <v>0.01</v>
      </c>
      <c r="BW86" s="36">
        <f>BW87</f>
        <v>1.0000000000000005E-2</v>
      </c>
      <c r="BX86" s="27">
        <f>SUMPRODUCT(BO82:BR82,BT86:BW86)/BS82</f>
        <v>0.01</v>
      </c>
      <c r="BY86" s="36">
        <f>BY87</f>
        <v>0.01</v>
      </c>
      <c r="BZ86" s="36">
        <f>BZ87</f>
        <v>0.01</v>
      </c>
      <c r="CA86" s="36">
        <f>CA87</f>
        <v>0.01</v>
      </c>
      <c r="CB86" s="36">
        <f>CB87</f>
        <v>1.0000000000000007E-2</v>
      </c>
      <c r="CC86" s="27">
        <f>SUMPRODUCT(BT82:BW82,BY86:CB86)/BX82</f>
        <v>0.01</v>
      </c>
      <c r="CD86" s="36">
        <f>CD87</f>
        <v>0.01</v>
      </c>
      <c r="CE86" s="36">
        <f>CE87</f>
        <v>0.01</v>
      </c>
      <c r="CF86" s="36">
        <f>CF87</f>
        <v>0.01</v>
      </c>
      <c r="CG86" s="36">
        <f>CG87</f>
        <v>1.0000000000000005E-2</v>
      </c>
      <c r="CH86" s="27">
        <f>SUMPRODUCT(BY82:CB82,CD86:CG86)/CC82</f>
        <v>0.01</v>
      </c>
      <c r="CI86" s="36">
        <f>CI87</f>
        <v>0.01</v>
      </c>
      <c r="CJ86" s="36">
        <f>CJ87</f>
        <v>0.01</v>
      </c>
      <c r="CK86" s="36">
        <f>CK87</f>
        <v>0.01</v>
      </c>
      <c r="CL86" s="36">
        <f>CL87</f>
        <v>1.0000000000000004E-2</v>
      </c>
      <c r="CM86" s="27">
        <f>SUMPRODUCT(CD82:CG82,CI86:CL86)/CH82</f>
        <v>0.01</v>
      </c>
    </row>
    <row r="87" spans="1:91" hidden="1" outlineLevel="1" x14ac:dyDescent="0.2">
      <c r="A87" s="45" t="s">
        <v>192</v>
      </c>
      <c r="B87" s="61" t="s">
        <v>169</v>
      </c>
      <c r="C87" s="61" t="s">
        <v>169</v>
      </c>
      <c r="D87" s="61" t="s">
        <v>169</v>
      </c>
      <c r="E87" s="61" t="s">
        <v>169</v>
      </c>
      <c r="F87" s="113" t="s">
        <v>169</v>
      </c>
      <c r="G87" s="61" t="s">
        <v>169</v>
      </c>
      <c r="H87" s="61" t="s">
        <v>169</v>
      </c>
      <c r="I87" s="61" t="s">
        <v>169</v>
      </c>
      <c r="J87" s="61" t="s">
        <v>169</v>
      </c>
      <c r="K87" s="113" t="s">
        <v>169</v>
      </c>
      <c r="L87" s="36">
        <v>-0.05</v>
      </c>
      <c r="M87" s="36">
        <v>-0.01</v>
      </c>
      <c r="N87" s="36">
        <v>0.02</v>
      </c>
      <c r="O87" s="36">
        <v>0.04</v>
      </c>
      <c r="P87" s="27">
        <v>0</v>
      </c>
      <c r="Q87" s="36">
        <v>0.02</v>
      </c>
      <c r="R87" s="36">
        <v>-0.03</v>
      </c>
      <c r="S87" s="36">
        <v>-0.03</v>
      </c>
      <c r="T87" s="36">
        <v>-0.01</v>
      </c>
      <c r="U87" s="27">
        <v>-0.02</v>
      </c>
      <c r="V87" s="36">
        <v>0.02</v>
      </c>
      <c r="W87" s="36">
        <v>-0.01</v>
      </c>
      <c r="X87" s="36">
        <v>-0.03</v>
      </c>
      <c r="Y87" s="36">
        <v>-0.06</v>
      </c>
      <c r="Z87" s="27">
        <v>-0.02</v>
      </c>
      <c r="AA87" s="36">
        <v>-0.06</v>
      </c>
      <c r="AB87" s="36">
        <v>0.02</v>
      </c>
      <c r="AC87" s="36">
        <v>0.02</v>
      </c>
      <c r="AD87" s="36">
        <v>0.05</v>
      </c>
      <c r="AE87" s="27">
        <v>0.01</v>
      </c>
      <c r="AF87" s="36">
        <v>0.05</v>
      </c>
      <c r="AG87" s="36">
        <v>0.03</v>
      </c>
      <c r="AH87" s="36">
        <v>0.08</v>
      </c>
      <c r="AI87" s="36">
        <v>0.02</v>
      </c>
      <c r="AJ87" s="27">
        <v>0.04</v>
      </c>
      <c r="AK87" s="36">
        <v>0.01</v>
      </c>
      <c r="AL87" s="36">
        <v>0.01</v>
      </c>
      <c r="AM87" s="36">
        <v>0.02</v>
      </c>
      <c r="AN87" s="36">
        <v>0.05</v>
      </c>
      <c r="AO87" s="27">
        <v>0.02</v>
      </c>
      <c r="AP87" s="36">
        <v>-0.02</v>
      </c>
      <c r="AQ87" s="36">
        <v>-0.01</v>
      </c>
      <c r="AR87" s="36">
        <v>0.02</v>
      </c>
      <c r="AS87" s="36">
        <v>0</v>
      </c>
      <c r="AT87" s="27">
        <v>0</v>
      </c>
      <c r="AU87" s="36">
        <v>-0.01</v>
      </c>
      <c r="AV87" s="36">
        <v>0</v>
      </c>
      <c r="AW87" s="36">
        <v>-0.01</v>
      </c>
      <c r="AX87" s="36">
        <v>0</v>
      </c>
      <c r="AY87" s="27">
        <v>-0.01</v>
      </c>
      <c r="AZ87" s="36">
        <v>0.08</v>
      </c>
      <c r="BA87" s="36">
        <v>0.01</v>
      </c>
      <c r="BB87" s="36">
        <v>0</v>
      </c>
      <c r="BC87" s="36">
        <v>-0.03</v>
      </c>
      <c r="BD87" s="27">
        <v>0.01</v>
      </c>
      <c r="BE87" s="36">
        <f>BE86-1%-1%</f>
        <v>9.9999999999999967E-3</v>
      </c>
      <c r="BF87" s="36">
        <f>BF86-1%</f>
        <v>1.5000000000000001E-2</v>
      </c>
      <c r="BG87" s="36">
        <f>BG86</f>
        <v>0.01</v>
      </c>
      <c r="BH87" s="36">
        <f>(BI87*BD82-SUMPRODUCT(AZ82:BB82,BE87:BG87))/BC82</f>
        <v>4.2497570456754095E-3</v>
      </c>
      <c r="BI87" s="27">
        <f>BI86-0.005</f>
        <v>9.9999999999999985E-3</v>
      </c>
      <c r="BJ87" s="41">
        <f>BN87</f>
        <v>0.01</v>
      </c>
      <c r="BK87" s="41">
        <f>BN87</f>
        <v>0.01</v>
      </c>
      <c r="BL87" s="41">
        <f>BN87</f>
        <v>0.01</v>
      </c>
      <c r="BM87" s="36">
        <f>(BN87*BI82-SUMPRODUCT(BE82:BG82,BJ87:BL87))/BH82</f>
        <v>9.9999999999999967E-3</v>
      </c>
      <c r="BN87" s="44">
        <v>0.01</v>
      </c>
      <c r="BO87" s="41">
        <f>BS87</f>
        <v>0.01</v>
      </c>
      <c r="BP87" s="41">
        <f>BS87</f>
        <v>0.01</v>
      </c>
      <c r="BQ87" s="41">
        <f>BS87</f>
        <v>0.01</v>
      </c>
      <c r="BR87" s="36">
        <f>(BS87*BN82-SUMPRODUCT(BJ82:BL82,BO87:BQ87))/BM82</f>
        <v>1.0000000000000004E-2</v>
      </c>
      <c r="BS87" s="44">
        <v>0.01</v>
      </c>
      <c r="BT87" s="41">
        <f>BX87</f>
        <v>0.01</v>
      </c>
      <c r="BU87" s="41">
        <f>BX87</f>
        <v>0.01</v>
      </c>
      <c r="BV87" s="41">
        <f>BX87</f>
        <v>0.01</v>
      </c>
      <c r="BW87" s="36">
        <f>(BX87*BS82-SUMPRODUCT(BO82:BQ82,BT87:BV87))/BR82</f>
        <v>1.0000000000000005E-2</v>
      </c>
      <c r="BX87" s="44">
        <v>0.01</v>
      </c>
      <c r="BY87" s="41">
        <f>CC87</f>
        <v>0.01</v>
      </c>
      <c r="BZ87" s="41">
        <f>CC87</f>
        <v>0.01</v>
      </c>
      <c r="CA87" s="41">
        <f>CC87</f>
        <v>0.01</v>
      </c>
      <c r="CB87" s="36">
        <f>(CC87*BX82-SUMPRODUCT(BT82:BV82,BY87:CA87))/BW82</f>
        <v>1.0000000000000007E-2</v>
      </c>
      <c r="CC87" s="44">
        <v>0.01</v>
      </c>
      <c r="CD87" s="41">
        <f>CH87</f>
        <v>0.01</v>
      </c>
      <c r="CE87" s="41">
        <f>CH87</f>
        <v>0.01</v>
      </c>
      <c r="CF87" s="41">
        <f>CH87</f>
        <v>0.01</v>
      </c>
      <c r="CG87" s="36">
        <f>(CH87*CC82-SUMPRODUCT(BY82:CA82,CD87:CF87))/CB82</f>
        <v>1.0000000000000005E-2</v>
      </c>
      <c r="CH87" s="44">
        <v>0.01</v>
      </c>
      <c r="CI87" s="41">
        <f>CM87</f>
        <v>0.01</v>
      </c>
      <c r="CJ87" s="41">
        <f>CM87</f>
        <v>0.01</v>
      </c>
      <c r="CK87" s="41">
        <f>CM87</f>
        <v>0.01</v>
      </c>
      <c r="CL87" s="36">
        <f>(CM87*CH82-SUMPRODUCT(CD82:CF82,CI87:CK87))/CG82</f>
        <v>1.0000000000000004E-2</v>
      </c>
      <c r="CM87" s="44">
        <v>0.01</v>
      </c>
    </row>
    <row r="88" spans="1:91" hidden="1" outlineLevel="1" x14ac:dyDescent="0.2">
      <c r="A88" s="25" t="s">
        <v>188</v>
      </c>
      <c r="B88" s="61" t="s">
        <v>169</v>
      </c>
      <c r="C88" s="61" t="s">
        <v>169</v>
      </c>
      <c r="D88" s="61" t="s">
        <v>169</v>
      </c>
      <c r="E88" s="61" t="s">
        <v>169</v>
      </c>
      <c r="F88" s="113" t="s">
        <v>169</v>
      </c>
      <c r="G88" s="61" t="s">
        <v>169</v>
      </c>
      <c r="H88" s="61" t="s">
        <v>169</v>
      </c>
      <c r="I88" s="61" t="s">
        <v>169</v>
      </c>
      <c r="J88" s="61" t="s">
        <v>169</v>
      </c>
      <c r="K88" s="113" t="s">
        <v>169</v>
      </c>
      <c r="L88" s="36">
        <v>7.0000000000000007E-2</v>
      </c>
      <c r="M88" s="36">
        <v>0.1</v>
      </c>
      <c r="N88" s="36">
        <v>0.18</v>
      </c>
      <c r="O88" s="36">
        <v>0.08</v>
      </c>
      <c r="P88" s="27">
        <v>0.11</v>
      </c>
      <c r="Q88" s="36">
        <v>0.1</v>
      </c>
      <c r="R88" s="36">
        <v>0.1</v>
      </c>
      <c r="S88" s="36">
        <v>0.01</v>
      </c>
      <c r="T88" s="36">
        <v>7.0000000000000007E-2</v>
      </c>
      <c r="U88" s="27">
        <v>0.08</v>
      </c>
      <c r="V88" s="36">
        <v>7.0000000000000007E-2</v>
      </c>
      <c r="W88" s="36">
        <f>W91-W87-W89</f>
        <v>-3.9007092198585849E-4</v>
      </c>
      <c r="X88" s="36">
        <v>0.01</v>
      </c>
      <c r="Y88" s="36">
        <v>0.01</v>
      </c>
      <c r="Z88" s="27">
        <v>0.03</v>
      </c>
      <c r="AA88" s="36">
        <v>-0.01</v>
      </c>
      <c r="AB88" s="36">
        <v>0</v>
      </c>
      <c r="AC88" s="36">
        <v>0</v>
      </c>
      <c r="AD88" s="36">
        <v>0</v>
      </c>
      <c r="AE88" s="27">
        <v>0</v>
      </c>
      <c r="AF88" s="36">
        <v>1.4999999999999999E-2</v>
      </c>
      <c r="AG88" s="36">
        <v>1.4999999999999999E-2</v>
      </c>
      <c r="AH88" s="36">
        <v>0.02</v>
      </c>
      <c r="AI88" s="36">
        <v>0.02</v>
      </c>
      <c r="AJ88" s="27">
        <v>0.02</v>
      </c>
      <c r="AK88" s="36">
        <v>0.03</v>
      </c>
      <c r="AL88" s="36">
        <v>0.03</v>
      </c>
      <c r="AM88" s="36">
        <v>0.03</v>
      </c>
      <c r="AN88" s="36">
        <v>0</v>
      </c>
      <c r="AO88" s="27">
        <v>0.02</v>
      </c>
      <c r="AP88" s="36">
        <v>0.02</v>
      </c>
      <c r="AQ88" s="36">
        <v>0</v>
      </c>
      <c r="AR88" s="36">
        <v>0</v>
      </c>
      <c r="AS88" s="36">
        <v>0.01</v>
      </c>
      <c r="AT88" s="27">
        <v>0.01</v>
      </c>
      <c r="AU88" s="36">
        <v>0</v>
      </c>
      <c r="AV88" s="36">
        <v>0.01</v>
      </c>
      <c r="AW88" s="36">
        <v>0.01</v>
      </c>
      <c r="AX88" s="36">
        <v>0.04</v>
      </c>
      <c r="AY88" s="27">
        <v>0.01</v>
      </c>
      <c r="AZ88" s="36">
        <v>0.02</v>
      </c>
      <c r="BA88" s="36">
        <v>0.04</v>
      </c>
      <c r="BB88" s="36">
        <v>0.03</v>
      </c>
      <c r="BC88" s="36">
        <v>0.01</v>
      </c>
      <c r="BD88" s="27">
        <v>0.03</v>
      </c>
      <c r="BE88" s="36">
        <f>BI88</f>
        <v>0.02</v>
      </c>
      <c r="BF88" s="41">
        <f>BI88</f>
        <v>0.02</v>
      </c>
      <c r="BG88" s="41">
        <f>BI88</f>
        <v>0.02</v>
      </c>
      <c r="BH88" s="36">
        <f>(BI88*BD82-SUMPRODUCT(AZ82:BB82,BE88:BG88))/BC82</f>
        <v>2.0000000000000007E-2</v>
      </c>
      <c r="BI88" s="44">
        <v>0.02</v>
      </c>
      <c r="BJ88" s="41">
        <f>BN88</f>
        <v>0.02</v>
      </c>
      <c r="BK88" s="41">
        <f>BN88</f>
        <v>0.02</v>
      </c>
      <c r="BL88" s="41">
        <f>BN88</f>
        <v>0.02</v>
      </c>
      <c r="BM88" s="36">
        <f>(BN88*BI82-SUMPRODUCT(BE82:BG82,BJ88:BL88))/BH82</f>
        <v>1.9999999999999993E-2</v>
      </c>
      <c r="BN88" s="44">
        <v>0.02</v>
      </c>
      <c r="BO88" s="41">
        <f>BS88</f>
        <v>0.02</v>
      </c>
      <c r="BP88" s="41">
        <f>BS88</f>
        <v>0.02</v>
      </c>
      <c r="BQ88" s="41">
        <f>BS88</f>
        <v>0.02</v>
      </c>
      <c r="BR88" s="36">
        <f>(BS88*BN82-SUMPRODUCT(BJ82:BL82,BO88:BQ88))/BM82</f>
        <v>2.0000000000000007E-2</v>
      </c>
      <c r="BS88" s="44">
        <v>0.02</v>
      </c>
      <c r="BT88" s="41">
        <f>BX88</f>
        <v>0.01</v>
      </c>
      <c r="BU88" s="41">
        <f>BX88</f>
        <v>0.01</v>
      </c>
      <c r="BV88" s="41">
        <f>BX88</f>
        <v>0.01</v>
      </c>
      <c r="BW88" s="36">
        <f>(BX88*BS82-SUMPRODUCT(BO82:BQ82,BT88:BV88))/BR82</f>
        <v>1.0000000000000005E-2</v>
      </c>
      <c r="BX88" s="44">
        <v>0.01</v>
      </c>
      <c r="BY88" s="41">
        <f>CC88</f>
        <v>0.01</v>
      </c>
      <c r="BZ88" s="41">
        <f>CC88</f>
        <v>0.01</v>
      </c>
      <c r="CA88" s="41">
        <f>CC88</f>
        <v>0.01</v>
      </c>
      <c r="CB88" s="36">
        <f>(CC88*BX82-SUMPRODUCT(BT82:BV82,BY88:CA88))/BW82</f>
        <v>1.0000000000000007E-2</v>
      </c>
      <c r="CC88" s="44">
        <v>0.01</v>
      </c>
      <c r="CD88" s="41">
        <f>CH88</f>
        <v>0.01</v>
      </c>
      <c r="CE88" s="41">
        <f>CH88</f>
        <v>0.01</v>
      </c>
      <c r="CF88" s="41">
        <f>CH88</f>
        <v>0.01</v>
      </c>
      <c r="CG88" s="36">
        <f>(CH88*CC82-SUMPRODUCT(BY82:CA82,CD88:CF88))/CB82</f>
        <v>1.0000000000000005E-2</v>
      </c>
      <c r="CH88" s="44">
        <v>0.01</v>
      </c>
      <c r="CI88" s="41">
        <f>CM88</f>
        <v>0.01</v>
      </c>
      <c r="CJ88" s="41">
        <f>CM88</f>
        <v>0.01</v>
      </c>
      <c r="CK88" s="41">
        <f>CM88</f>
        <v>0.01</v>
      </c>
      <c r="CL88" s="36">
        <f>(CM88*CH82-SUMPRODUCT(CD82:CF82,CI88:CK88))/CG82</f>
        <v>1.0000000000000004E-2</v>
      </c>
      <c r="CM88" s="44">
        <v>0.01</v>
      </c>
    </row>
    <row r="89" spans="1:91" hidden="1" outlineLevel="1" x14ac:dyDescent="0.2">
      <c r="A89" s="25" t="s">
        <v>189</v>
      </c>
      <c r="B89" s="61" t="s">
        <v>169</v>
      </c>
      <c r="C89" s="61" t="s">
        <v>169</v>
      </c>
      <c r="D89" s="61" t="s">
        <v>169</v>
      </c>
      <c r="E89" s="61" t="s">
        <v>169</v>
      </c>
      <c r="F89" s="113" t="s">
        <v>169</v>
      </c>
      <c r="G89" s="61" t="s">
        <v>169</v>
      </c>
      <c r="H89" s="61" t="s">
        <v>169</v>
      </c>
      <c r="I89" s="61" t="s">
        <v>169</v>
      </c>
      <c r="J89" s="61" t="s">
        <v>169</v>
      </c>
      <c r="K89" s="113" t="s">
        <v>169</v>
      </c>
      <c r="L89" s="36">
        <v>0</v>
      </c>
      <c r="M89" s="36">
        <v>0</v>
      </c>
      <c r="N89" s="36">
        <v>0.01</v>
      </c>
      <c r="O89" s="36">
        <v>0.01</v>
      </c>
      <c r="P89" s="27">
        <v>0</v>
      </c>
      <c r="Q89" s="36">
        <v>0.01</v>
      </c>
      <c r="R89" s="36">
        <v>0.01</v>
      </c>
      <c r="S89" s="36">
        <v>0</v>
      </c>
      <c r="T89" s="36">
        <v>-0.01</v>
      </c>
      <c r="U89" s="27">
        <v>0</v>
      </c>
      <c r="V89" s="36">
        <v>-0.01</v>
      </c>
      <c r="W89" s="36">
        <v>-0.01</v>
      </c>
      <c r="X89" s="36">
        <v>0</v>
      </c>
      <c r="Y89" s="36">
        <v>0.01</v>
      </c>
      <c r="Z89" s="27">
        <v>-0.01</v>
      </c>
      <c r="AA89" s="36">
        <v>0.01</v>
      </c>
      <c r="AB89" s="36">
        <v>0.01</v>
      </c>
      <c r="AC89" s="36">
        <v>0</v>
      </c>
      <c r="AD89" s="36">
        <v>0.01</v>
      </c>
      <c r="AE89" s="27">
        <v>0.01</v>
      </c>
      <c r="AF89" s="36">
        <v>0.02</v>
      </c>
      <c r="AG89" s="36">
        <v>0</v>
      </c>
      <c r="AH89" s="36">
        <v>0.02</v>
      </c>
      <c r="AI89" s="36">
        <v>0</v>
      </c>
      <c r="AJ89" s="27">
        <v>0.01</v>
      </c>
      <c r="AK89" s="36">
        <v>-1.1729283524397937E-3</v>
      </c>
      <c r="AL89" s="36">
        <v>0</v>
      </c>
      <c r="AM89" s="36">
        <v>-0.01</v>
      </c>
      <c r="AN89" s="36">
        <v>0</v>
      </c>
      <c r="AO89" s="27">
        <v>0</v>
      </c>
      <c r="AP89" s="36">
        <v>3.0000000000000001E-3</v>
      </c>
      <c r="AQ89" s="36">
        <v>-4.0000000000000001E-3</v>
      </c>
      <c r="AR89" s="36">
        <v>0</v>
      </c>
      <c r="AS89" s="36">
        <v>-0.01</v>
      </c>
      <c r="AT89" s="27">
        <v>0</v>
      </c>
      <c r="AU89" s="36">
        <v>-0.01</v>
      </c>
      <c r="AV89" s="36">
        <v>-0.01</v>
      </c>
      <c r="AW89" s="36">
        <v>0</v>
      </c>
      <c r="AX89" s="36">
        <v>0</v>
      </c>
      <c r="AY89" s="27">
        <v>0</v>
      </c>
      <c r="AZ89" s="36">
        <v>-0.01</v>
      </c>
      <c r="BA89" s="36">
        <v>-0.01</v>
      </c>
      <c r="BB89" s="36">
        <v>-0.01</v>
      </c>
      <c r="BC89" s="36">
        <v>-0.01</v>
      </c>
      <c r="BD89" s="27">
        <v>-0.01</v>
      </c>
      <c r="BE89" s="36">
        <v>-2.1348719099289201E-2</v>
      </c>
      <c r="BF89" s="41">
        <v>-2.1600796442970402E-2</v>
      </c>
      <c r="BG89" s="41">
        <v>-1.6400938313391948E-2</v>
      </c>
      <c r="BH89" s="41">
        <v>-1.4527478414197499E-2</v>
      </c>
      <c r="BI89" s="27">
        <f>SUMPRODUCT(AZ82:BC82,BE89:BH89)/BD82</f>
        <v>-1.8527680775561571E-2</v>
      </c>
      <c r="BJ89" s="41">
        <v>-0.01</v>
      </c>
      <c r="BK89" s="41">
        <v>-5.0000000000000001E-3</v>
      </c>
      <c r="BL89" s="41">
        <v>-5.0000000000000001E-3</v>
      </c>
      <c r="BM89" s="41">
        <v>-5.0000000000000001E-3</v>
      </c>
      <c r="BN89" s="27">
        <f>SUMPRODUCT(BE82:BH82,BJ89:BM89)/BI82</f>
        <v>-6.2249444390833119E-3</v>
      </c>
      <c r="BO89" s="41">
        <f>BS89</f>
        <v>0</v>
      </c>
      <c r="BP89" s="41">
        <f>BS89</f>
        <v>0</v>
      </c>
      <c r="BQ89" s="41">
        <f>BS89</f>
        <v>0</v>
      </c>
      <c r="BR89" s="41">
        <f>BS89</f>
        <v>0</v>
      </c>
      <c r="BS89" s="44">
        <v>0</v>
      </c>
      <c r="BT89" s="41">
        <f>BX89</f>
        <v>0</v>
      </c>
      <c r="BU89" s="41">
        <f>BX89</f>
        <v>0</v>
      </c>
      <c r="BV89" s="41">
        <f>BX89</f>
        <v>0</v>
      </c>
      <c r="BW89" s="41">
        <f>BX89</f>
        <v>0</v>
      </c>
      <c r="BX89" s="44">
        <v>0</v>
      </c>
      <c r="BY89" s="41">
        <f>CC89</f>
        <v>0</v>
      </c>
      <c r="BZ89" s="41">
        <f>CC89</f>
        <v>0</v>
      </c>
      <c r="CA89" s="41">
        <f>CC89</f>
        <v>0</v>
      </c>
      <c r="CB89" s="41">
        <f>CC89</f>
        <v>0</v>
      </c>
      <c r="CC89" s="44">
        <v>0</v>
      </c>
      <c r="CD89" s="41">
        <f>CH89</f>
        <v>0</v>
      </c>
      <c r="CE89" s="41">
        <f>CH89</f>
        <v>0</v>
      </c>
      <c r="CF89" s="41">
        <f>CH89</f>
        <v>0</v>
      </c>
      <c r="CG89" s="41">
        <f>CH89</f>
        <v>0</v>
      </c>
      <c r="CH89" s="44">
        <v>0</v>
      </c>
      <c r="CI89" s="41">
        <f>CM89</f>
        <v>0</v>
      </c>
      <c r="CJ89" s="41">
        <f>CM89</f>
        <v>0</v>
      </c>
      <c r="CK89" s="41">
        <f>CM89</f>
        <v>0</v>
      </c>
      <c r="CL89" s="41">
        <f>CM89</f>
        <v>0</v>
      </c>
      <c r="CM89" s="44">
        <v>0</v>
      </c>
    </row>
    <row r="90" spans="1:91" hidden="1" outlineLevel="1" x14ac:dyDescent="0.2">
      <c r="A90" s="30" t="s">
        <v>193</v>
      </c>
      <c r="B90" s="61" t="s">
        <v>169</v>
      </c>
      <c r="C90" s="61" t="s">
        <v>169</v>
      </c>
      <c r="D90" s="61" t="s">
        <v>169</v>
      </c>
      <c r="E90" s="61" t="s">
        <v>169</v>
      </c>
      <c r="F90" s="113" t="s">
        <v>169</v>
      </c>
      <c r="G90" s="61" t="s">
        <v>169</v>
      </c>
      <c r="H90" s="61" t="s">
        <v>169</v>
      </c>
      <c r="I90" s="61" t="s">
        <v>169</v>
      </c>
      <c r="J90" s="61" t="s">
        <v>169</v>
      </c>
      <c r="K90" s="113" t="s">
        <v>169</v>
      </c>
      <c r="L90" s="36">
        <v>0</v>
      </c>
      <c r="M90" s="36">
        <v>0</v>
      </c>
      <c r="N90" s="36">
        <v>0</v>
      </c>
      <c r="O90" s="36">
        <v>0</v>
      </c>
      <c r="P90" s="27">
        <v>0</v>
      </c>
      <c r="Q90" s="36">
        <v>0</v>
      </c>
      <c r="R90" s="36">
        <v>0</v>
      </c>
      <c r="S90" s="36">
        <f>S91-S89-S88-S87</f>
        <v>4.4464775846294394E-3</v>
      </c>
      <c r="T90" s="36">
        <v>0</v>
      </c>
      <c r="U90" s="27">
        <v>0</v>
      </c>
      <c r="V90" s="36">
        <v>0</v>
      </c>
      <c r="W90" s="36">
        <v>0</v>
      </c>
      <c r="X90" s="36">
        <v>0</v>
      </c>
      <c r="Y90" s="36">
        <v>0</v>
      </c>
      <c r="Z90" s="27">
        <f>(V82/Z82)*V90+(W82/Z82)*W90+(X82/Z82)*X90+(Y82/Z82)*Y90</f>
        <v>0</v>
      </c>
      <c r="AA90" s="36">
        <v>0</v>
      </c>
      <c r="AB90" s="36">
        <v>0</v>
      </c>
      <c r="AC90" s="36">
        <v>0</v>
      </c>
      <c r="AD90" s="36">
        <v>1.5</v>
      </c>
      <c r="AE90" s="27">
        <v>0.33</v>
      </c>
      <c r="AF90" s="36">
        <f>AF91-SUM(AF87:AF89)</f>
        <v>1.3409834368530023</v>
      </c>
      <c r="AG90" s="36">
        <f>AG91-SUM(AG87:AG89)</f>
        <v>1.3690350877192983</v>
      </c>
      <c r="AH90" s="36">
        <f>AH91-SUM(AH87:AH89)</f>
        <v>1.3613450023030862</v>
      </c>
      <c r="AI90" s="36">
        <v>0</v>
      </c>
      <c r="AJ90" s="27">
        <f>AJ91-AJ89-AJ88-AJ87</f>
        <v>0.76587684069611783</v>
      </c>
      <c r="AK90" s="36">
        <v>0.01</v>
      </c>
      <c r="AL90" s="36">
        <v>0.01</v>
      </c>
      <c r="AM90" s="36">
        <v>0.01</v>
      </c>
      <c r="AN90" s="36">
        <v>0.01</v>
      </c>
      <c r="AO90" s="27">
        <v>0.01</v>
      </c>
      <c r="AP90" s="36">
        <v>-0.01</v>
      </c>
      <c r="AQ90" s="36">
        <v>0</v>
      </c>
      <c r="AR90" s="36">
        <v>-0.01</v>
      </c>
      <c r="AS90" s="36">
        <v>0</v>
      </c>
      <c r="AT90" s="27">
        <v>-0.01</v>
      </c>
      <c r="AU90" s="36">
        <f>AY90</f>
        <v>-0.01</v>
      </c>
      <c r="AV90" s="36">
        <v>0</v>
      </c>
      <c r="AW90" s="36">
        <v>-0.02</v>
      </c>
      <c r="AX90" s="36">
        <v>-0.02</v>
      </c>
      <c r="AY90" s="27">
        <v>-0.01</v>
      </c>
      <c r="AZ90" s="36">
        <v>-0.03</v>
      </c>
      <c r="BA90" s="36">
        <v>-0.01</v>
      </c>
      <c r="BB90" s="36">
        <v>-0.01</v>
      </c>
      <c r="BC90" s="36">
        <v>-0.01</v>
      </c>
      <c r="BD90" s="27">
        <v>-0.01</v>
      </c>
      <c r="BE90" s="36">
        <v>-2.5000000000000001E-2</v>
      </c>
      <c r="BF90" s="41">
        <v>-5.3032687874300398E-2</v>
      </c>
      <c r="BG90" s="41">
        <v>-0.1</v>
      </c>
      <c r="BH90" s="41">
        <v>-0.11</v>
      </c>
      <c r="BI90" s="27">
        <f>SUMPRODUCT(AZ83:BC83,BE90:BH90)/BD83</f>
        <v>-6.9899784846989027E-2</v>
      </c>
      <c r="BJ90" s="41">
        <f>BN90</f>
        <v>-0.27861276617993769</v>
      </c>
      <c r="BK90" s="41">
        <f>BN90</f>
        <v>-0.27861276617993769</v>
      </c>
      <c r="BL90" s="41">
        <f>BN90</f>
        <v>-0.27861276617993769</v>
      </c>
      <c r="BM90" s="41">
        <f>BN90</f>
        <v>-0.27861276617993769</v>
      </c>
      <c r="BN90" s="44">
        <v>-0.27861276617993769</v>
      </c>
      <c r="BO90" s="41">
        <f>BS90</f>
        <v>-0.31644501278772358</v>
      </c>
      <c r="BP90" s="41">
        <f>BS90</f>
        <v>-0.31644501278772358</v>
      </c>
      <c r="BQ90" s="41">
        <f>BS90</f>
        <v>-0.31644501278772358</v>
      </c>
      <c r="BR90" s="41">
        <f>BS90</f>
        <v>-0.31644501278772358</v>
      </c>
      <c r="BS90" s="44">
        <v>-0.31644501278772358</v>
      </c>
      <c r="BT90" s="41">
        <f>BX90</f>
        <v>0</v>
      </c>
      <c r="BU90" s="41">
        <f>BX90</f>
        <v>0</v>
      </c>
      <c r="BV90" s="41">
        <f>BX90</f>
        <v>0</v>
      </c>
      <c r="BW90" s="41">
        <f>BX90</f>
        <v>0</v>
      </c>
      <c r="BX90" s="44">
        <v>0</v>
      </c>
      <c r="BY90" s="41">
        <f>CC90</f>
        <v>0</v>
      </c>
      <c r="BZ90" s="41">
        <f>CC90</f>
        <v>0</v>
      </c>
      <c r="CA90" s="41">
        <f>CC90</f>
        <v>0</v>
      </c>
      <c r="CB90" s="41">
        <f>CC90</f>
        <v>0</v>
      </c>
      <c r="CC90" s="44">
        <v>0</v>
      </c>
      <c r="CD90" s="41">
        <f>CH90</f>
        <v>0</v>
      </c>
      <c r="CE90" s="41">
        <f>CH90</f>
        <v>0</v>
      </c>
      <c r="CF90" s="41">
        <f>CH90</f>
        <v>0</v>
      </c>
      <c r="CG90" s="41">
        <f>CH90</f>
        <v>0</v>
      </c>
      <c r="CH90" s="44">
        <v>0</v>
      </c>
      <c r="CI90" s="41">
        <f>CM90</f>
        <v>0</v>
      </c>
      <c r="CJ90" s="41">
        <f>CM90</f>
        <v>0</v>
      </c>
      <c r="CK90" s="41">
        <f>CM90</f>
        <v>0</v>
      </c>
      <c r="CL90" s="41">
        <f>CM90</f>
        <v>0</v>
      </c>
      <c r="CM90" s="44">
        <v>0</v>
      </c>
    </row>
    <row r="91" spans="1:91" hidden="1" outlineLevel="1" x14ac:dyDescent="0.2">
      <c r="A91" s="33" t="s">
        <v>190</v>
      </c>
      <c r="B91" s="114" t="s">
        <v>169</v>
      </c>
      <c r="C91" s="114" t="s">
        <v>169</v>
      </c>
      <c r="D91" s="114" t="s">
        <v>169</v>
      </c>
      <c r="E91" s="114" t="s">
        <v>169</v>
      </c>
      <c r="F91" s="115" t="s">
        <v>169</v>
      </c>
      <c r="G91" s="114" t="s">
        <v>169</v>
      </c>
      <c r="H91" s="114" t="s">
        <v>169</v>
      </c>
      <c r="I91" s="114" t="s">
        <v>169</v>
      </c>
      <c r="J91" s="114" t="s">
        <v>169</v>
      </c>
      <c r="K91" s="115" t="s">
        <v>169</v>
      </c>
      <c r="L91" s="80">
        <f>L82/G82-1</f>
        <v>2.1884498480243098E-2</v>
      </c>
      <c r="M91" s="80">
        <f>M82/H82-1</f>
        <v>9.1147197485594633E-2</v>
      </c>
      <c r="N91" s="80">
        <f>N82/I82-1</f>
        <v>0.20840243228302935</v>
      </c>
      <c r="O91" s="80">
        <f>O82/J82-1</f>
        <v>0.13205282112845129</v>
      </c>
      <c r="P91" s="35">
        <v>0.11</v>
      </c>
      <c r="Q91" s="80">
        <f t="shared" ref="Q91:AN91" si="126">Q82/L82-1</f>
        <v>0.12908982748364073</v>
      </c>
      <c r="R91" s="80">
        <f t="shared" si="126"/>
        <v>8.3053288526164115E-2</v>
      </c>
      <c r="S91" s="80">
        <f t="shared" si="126"/>
        <v>-1.5553522415370558E-2</v>
      </c>
      <c r="T91" s="80">
        <f t="shared" si="126"/>
        <v>4.6659597030752842E-2</v>
      </c>
      <c r="U91" s="35">
        <f t="shared" si="126"/>
        <v>5.666156202143946E-2</v>
      </c>
      <c r="V91" s="80">
        <f t="shared" si="126"/>
        <v>8.3245521601686079E-2</v>
      </c>
      <c r="W91" s="80">
        <f t="shared" si="126"/>
        <v>-2.0390070921985859E-2</v>
      </c>
      <c r="X91" s="80">
        <f t="shared" si="126"/>
        <v>-1.5334572490706355E-2</v>
      </c>
      <c r="Y91" s="80">
        <f t="shared" si="126"/>
        <v>-4.4579533941236038E-2</v>
      </c>
      <c r="Z91" s="35">
        <f t="shared" si="126"/>
        <v>-1.0869565217391797E-3</v>
      </c>
      <c r="AA91" s="80">
        <f t="shared" si="126"/>
        <v>-6.0311284046692615E-2</v>
      </c>
      <c r="AB91" s="80">
        <f t="shared" si="126"/>
        <v>3.167420814479649E-2</v>
      </c>
      <c r="AC91" s="80">
        <f t="shared" si="126"/>
        <v>2.4539877300613577E-2</v>
      </c>
      <c r="AD91" s="80">
        <f t="shared" si="126"/>
        <v>1.5567338282078471</v>
      </c>
      <c r="AE91" s="35">
        <f>AE82/Z82-1</f>
        <v>0.35473340587595215</v>
      </c>
      <c r="AF91" s="80">
        <f t="shared" si="126"/>
        <v>1.4259834368530022</v>
      </c>
      <c r="AG91" s="80">
        <f t="shared" si="126"/>
        <v>1.4140350877192982</v>
      </c>
      <c r="AH91" s="80">
        <f t="shared" si="126"/>
        <v>1.4813450023030863</v>
      </c>
      <c r="AI91" s="80">
        <f t="shared" si="126"/>
        <v>3.5462463708004988E-2</v>
      </c>
      <c r="AJ91" s="35">
        <f>AJ82/AE82-1</f>
        <v>0.8358768406961179</v>
      </c>
      <c r="AK91" s="80">
        <f t="shared" si="126"/>
        <v>4.9925325368039175E-2</v>
      </c>
      <c r="AL91" s="80">
        <f t="shared" si="126"/>
        <v>5.3234011627907085E-2</v>
      </c>
      <c r="AM91" s="80">
        <f t="shared" si="126"/>
        <v>5.2533877854093136E-2</v>
      </c>
      <c r="AN91" s="80">
        <f t="shared" si="126"/>
        <v>5.9883837372321169E-2</v>
      </c>
      <c r="AO91" s="35">
        <f t="shared" ref="AO91:AW91" si="127">AO82/AJ82-1</f>
        <v>5.3910845364834037E-2</v>
      </c>
      <c r="AP91" s="80">
        <f t="shared" si="127"/>
        <v>-6.9091648039016906E-3</v>
      </c>
      <c r="AQ91" s="80">
        <f t="shared" si="127"/>
        <v>-1.4490253579437673E-2</v>
      </c>
      <c r="AR91" s="80">
        <f t="shared" si="127"/>
        <v>8.6419753086419693E-3</v>
      </c>
      <c r="AS91" s="80">
        <f t="shared" si="127"/>
        <v>-3.9682539682539542E-3</v>
      </c>
      <c r="AT91" s="35">
        <f t="shared" si="127"/>
        <v>-4.1512915129151562E-3</v>
      </c>
      <c r="AU91" s="80">
        <f t="shared" si="127"/>
        <v>-1.9234704317577234E-2</v>
      </c>
      <c r="AV91" s="80">
        <f t="shared" si="127"/>
        <v>7.001575354455003E-4</v>
      </c>
      <c r="AW91" s="80">
        <f t="shared" si="127"/>
        <v>-2.0982689281342837E-2</v>
      </c>
      <c r="AX91" s="80">
        <f t="shared" ref="AX91:BD91" si="128">AX82/AS82-1</f>
        <v>1.8782014797951163E-2</v>
      </c>
      <c r="AY91" s="35">
        <f t="shared" si="128"/>
        <v>-5.141269106067603E-3</v>
      </c>
      <c r="AZ91" s="80">
        <f t="shared" si="128"/>
        <v>6.4260379720425531E-2</v>
      </c>
      <c r="BA91" s="80">
        <f t="shared" si="128"/>
        <v>3.4983382893125858E-2</v>
      </c>
      <c r="BB91" s="80">
        <f t="shared" si="128"/>
        <v>7.1441328808716786E-3</v>
      </c>
      <c r="BC91" s="80">
        <f t="shared" si="128"/>
        <v>-4.1899441340782162E-2</v>
      </c>
      <c r="BD91" s="35">
        <f t="shared" si="128"/>
        <v>1.5037944038363005E-2</v>
      </c>
      <c r="BE91" s="80">
        <f>SUM(BE87:BE90)</f>
        <v>-1.6348719099289203E-2</v>
      </c>
      <c r="BF91" s="80">
        <f>SUM(BF87:BF90)</f>
        <v>-3.9633484317270797E-2</v>
      </c>
      <c r="BG91" s="80">
        <f>SUM(BG87:BG90)</f>
        <v>-8.6400938313391962E-2</v>
      </c>
      <c r="BH91" s="80">
        <f>SUM(BH87:BH90)</f>
        <v>-0.10027772136852209</v>
      </c>
      <c r="BI91" s="35">
        <f>BI82/BD82-1</f>
        <v>-6.0593060747685001E-2</v>
      </c>
      <c r="BJ91" s="80">
        <f>SUM(BJ87:BJ90)</f>
        <v>-0.25861276617993767</v>
      </c>
      <c r="BK91" s="80">
        <f>SUM(BK87:BK90)</f>
        <v>-0.25361276617993767</v>
      </c>
      <c r="BL91" s="80">
        <f>SUM(BL87:BL90)</f>
        <v>-0.25361276617993767</v>
      </c>
      <c r="BM91" s="80">
        <f>SUM(BM87:BM90)</f>
        <v>-0.25361276617993772</v>
      </c>
      <c r="BN91" s="35">
        <f>BN82/BI82-1</f>
        <v>-0.25483771061902094</v>
      </c>
      <c r="BO91" s="80">
        <f>SUM(BO87:BO90)</f>
        <v>-0.28644501278772361</v>
      </c>
      <c r="BP91" s="80">
        <f>SUM(BP87:BP90)</f>
        <v>-0.28644501278772361</v>
      </c>
      <c r="BQ91" s="80">
        <f>SUM(BQ87:BQ90)</f>
        <v>-0.28644501278772361</v>
      </c>
      <c r="BR91" s="80">
        <f>SUM(BR87:BR90)</f>
        <v>-0.28644501278772355</v>
      </c>
      <c r="BS91" s="35">
        <f>BS82/BN82-1</f>
        <v>-0.28644501278772361</v>
      </c>
      <c r="BT91" s="80">
        <f>SUM(BT87:BT90)</f>
        <v>0.02</v>
      </c>
      <c r="BU91" s="80">
        <f>SUM(BU87:BU90)</f>
        <v>0.02</v>
      </c>
      <c r="BV91" s="80">
        <f>SUM(BV87:BV90)</f>
        <v>0.02</v>
      </c>
      <c r="BW91" s="80">
        <f>SUM(BW87:BW90)</f>
        <v>2.0000000000000011E-2</v>
      </c>
      <c r="BX91" s="35">
        <f>BX82/BS82-1</f>
        <v>2.0000000000000018E-2</v>
      </c>
      <c r="BY91" s="80">
        <f>SUM(BY87:BY90)</f>
        <v>0.02</v>
      </c>
      <c r="BZ91" s="80">
        <f>SUM(BZ87:BZ90)</f>
        <v>0.02</v>
      </c>
      <c r="CA91" s="80">
        <f>SUM(CA87:CA90)</f>
        <v>0.02</v>
      </c>
      <c r="CB91" s="80">
        <f>SUM(CB87:CB90)</f>
        <v>2.0000000000000014E-2</v>
      </c>
      <c r="CC91" s="35">
        <f>CC82/BX82-1</f>
        <v>2.0000000000000018E-2</v>
      </c>
      <c r="CD91" s="80">
        <f>SUM(CD87:CD90)</f>
        <v>0.02</v>
      </c>
      <c r="CE91" s="80">
        <f>SUM(CE87:CE90)</f>
        <v>0.02</v>
      </c>
      <c r="CF91" s="80">
        <f>SUM(CF87:CF90)</f>
        <v>0.02</v>
      </c>
      <c r="CG91" s="80">
        <f>SUM(CG87:CG90)</f>
        <v>2.0000000000000011E-2</v>
      </c>
      <c r="CH91" s="35">
        <f>CH82/CC82-1</f>
        <v>2.0000000000000018E-2</v>
      </c>
      <c r="CI91" s="80">
        <f>SUM(CI87:CI90)</f>
        <v>0.02</v>
      </c>
      <c r="CJ91" s="80">
        <f>SUM(CJ87:CJ90)</f>
        <v>0.02</v>
      </c>
      <c r="CK91" s="80">
        <f>SUM(CK87:CK90)</f>
        <v>0.02</v>
      </c>
      <c r="CL91" s="80">
        <f>SUM(CL87:CL90)</f>
        <v>2.0000000000000007E-2</v>
      </c>
      <c r="CM91" s="35">
        <f>CM82/CH82-1</f>
        <v>1.9999999999999796E-2</v>
      </c>
    </row>
    <row r="92" spans="1:91" collapsed="1" x14ac:dyDescent="0.2">
      <c r="A92" s="30"/>
      <c r="B92" s="61"/>
      <c r="C92" s="61"/>
      <c r="D92" s="61"/>
      <c r="E92" s="61"/>
      <c r="F92" s="113"/>
      <c r="G92" s="61"/>
      <c r="H92" s="61"/>
      <c r="I92" s="61"/>
      <c r="J92" s="61"/>
      <c r="K92" s="113"/>
      <c r="L92" s="36"/>
      <c r="M92" s="36"/>
      <c r="N92" s="36"/>
      <c r="O92" s="36"/>
      <c r="P92" s="27"/>
      <c r="Q92" s="36"/>
      <c r="R92" s="36"/>
      <c r="S92" s="36"/>
      <c r="T92" s="36"/>
      <c r="U92" s="27"/>
      <c r="V92" s="36"/>
      <c r="W92" s="36"/>
      <c r="X92" s="36"/>
      <c r="Y92" s="36"/>
      <c r="Z92" s="27"/>
      <c r="AA92" s="36"/>
      <c r="AB92" s="36"/>
      <c r="AC92" s="36"/>
      <c r="AD92" s="36"/>
      <c r="AE92" s="27"/>
      <c r="AF92" s="36"/>
      <c r="AG92" s="36"/>
      <c r="AH92" s="36"/>
      <c r="AI92" s="36"/>
      <c r="AJ92" s="27"/>
      <c r="AK92" s="36"/>
      <c r="AL92" s="36"/>
      <c r="AM92" s="36"/>
      <c r="AN92" s="36"/>
      <c r="AO92" s="27"/>
      <c r="AP92" s="36"/>
      <c r="AQ92" s="36"/>
      <c r="AR92" s="36"/>
      <c r="AS92" s="36"/>
      <c r="AT92" s="27"/>
      <c r="AU92" s="655"/>
      <c r="AV92" s="36"/>
      <c r="AW92" s="36"/>
      <c r="AX92" s="36"/>
      <c r="AY92" s="27"/>
      <c r="AZ92" s="36"/>
      <c r="BA92" s="36"/>
      <c r="BB92" s="36"/>
      <c r="BC92" s="36"/>
      <c r="BD92" s="27"/>
      <c r="BE92" s="36"/>
      <c r="BF92" s="36"/>
      <c r="BG92" s="36"/>
      <c r="BH92" s="36"/>
      <c r="BI92" s="27"/>
      <c r="BJ92" s="36"/>
      <c r="BK92" s="36"/>
      <c r="BL92" s="36"/>
      <c r="BM92" s="36"/>
      <c r="BN92" s="27"/>
      <c r="BO92" s="36"/>
      <c r="BP92" s="36"/>
      <c r="BQ92" s="36"/>
      <c r="BR92" s="36"/>
      <c r="BS92" s="27"/>
      <c r="BT92" s="36"/>
      <c r="BU92" s="36"/>
      <c r="BV92" s="36"/>
      <c r="BW92" s="36"/>
      <c r="BX92" s="27"/>
      <c r="BY92" s="36"/>
      <c r="BZ92" s="36"/>
      <c r="CA92" s="36"/>
      <c r="CB92" s="36"/>
      <c r="CC92" s="27"/>
      <c r="CD92" s="36"/>
      <c r="CE92" s="36"/>
      <c r="CF92" s="36"/>
      <c r="CG92" s="36"/>
      <c r="CH92" s="27"/>
      <c r="CI92" s="36"/>
      <c r="CJ92" s="36"/>
      <c r="CK92" s="36"/>
      <c r="CL92" s="36"/>
      <c r="CM92" s="27"/>
    </row>
    <row r="93" spans="1:91" x14ac:dyDescent="0.2">
      <c r="A93" s="52" t="s">
        <v>13</v>
      </c>
      <c r="B93" s="53"/>
      <c r="C93" s="53"/>
      <c r="D93" s="53"/>
      <c r="E93" s="53"/>
      <c r="F93" s="65"/>
      <c r="G93" s="53"/>
      <c r="H93" s="53"/>
      <c r="I93" s="53"/>
      <c r="J93" s="53"/>
      <c r="K93" s="65"/>
      <c r="L93" s="53"/>
      <c r="M93" s="53"/>
      <c r="N93" s="53"/>
      <c r="O93" s="53"/>
      <c r="P93" s="65"/>
      <c r="Q93" s="53"/>
      <c r="R93" s="53"/>
      <c r="S93" s="53"/>
      <c r="T93" s="53"/>
      <c r="U93" s="65"/>
      <c r="V93" s="53"/>
      <c r="W93" s="53"/>
      <c r="X93" s="53"/>
      <c r="Y93" s="53"/>
      <c r="Z93" s="65"/>
      <c r="AA93" s="53"/>
      <c r="AB93" s="53"/>
      <c r="AC93" s="53"/>
      <c r="AD93" s="53"/>
      <c r="AE93" s="65"/>
      <c r="AF93" s="53"/>
      <c r="AG93" s="53"/>
      <c r="AH93" s="53"/>
      <c r="AI93" s="53"/>
      <c r="AJ93" s="65"/>
      <c r="AK93" s="53"/>
      <c r="AL93" s="53"/>
      <c r="AM93" s="53"/>
      <c r="AN93" s="53"/>
      <c r="AO93" s="65"/>
      <c r="AP93" s="53"/>
      <c r="AQ93" s="53"/>
      <c r="AR93" s="53"/>
      <c r="AS93" s="53"/>
      <c r="AT93" s="65">
        <v>9215</v>
      </c>
      <c r="AU93" s="53">
        <v>2061</v>
      </c>
      <c r="AV93" s="53">
        <v>2483</v>
      </c>
      <c r="AW93" s="53">
        <v>2431</v>
      </c>
      <c r="AX93" s="53">
        <v>2296</v>
      </c>
      <c r="AY93" s="65">
        <v>9271</v>
      </c>
      <c r="AZ93" s="547">
        <v>2317</v>
      </c>
      <c r="BA93" s="547">
        <v>2651</v>
      </c>
      <c r="BB93" s="547">
        <v>2580</v>
      </c>
      <c r="BC93" s="547">
        <v>2292</v>
      </c>
      <c r="BD93" s="65">
        <v>9840</v>
      </c>
      <c r="BE93" s="547">
        <v>2362</v>
      </c>
      <c r="BF93" s="53">
        <f>2709-6</f>
        <v>2703</v>
      </c>
      <c r="BG93" s="53">
        <v>2661</v>
      </c>
      <c r="BH93" s="53">
        <v>2466</v>
      </c>
      <c r="BI93" s="65">
        <f>SUM(BE93:BH93)</f>
        <v>10192</v>
      </c>
      <c r="BJ93" s="53">
        <v>2417</v>
      </c>
      <c r="BK93" s="53">
        <v>2903</v>
      </c>
      <c r="BL93" s="53">
        <v>2781</v>
      </c>
      <c r="BM93" s="53">
        <v>2649</v>
      </c>
      <c r="BN93" s="65">
        <f>SUM(BJ93:BM93)</f>
        <v>10750</v>
      </c>
      <c r="BO93" s="53">
        <v>2680</v>
      </c>
      <c r="BP93" s="53">
        <f>BK93*(1+BP102)</f>
        <v>3301.3075788014721</v>
      </c>
      <c r="BQ93" s="53">
        <f>BL93*(1+BQ102)</f>
        <v>3171.4934585888109</v>
      </c>
      <c r="BR93" s="53">
        <f>BM93*(1+BR102)</f>
        <v>2998.0779785612049</v>
      </c>
      <c r="BS93" s="65">
        <f>SUM(BO93:BR93)</f>
        <v>12150.879015951488</v>
      </c>
      <c r="BT93" s="53">
        <f>BO93*(1+BT102)</f>
        <v>2759.4318097784208</v>
      </c>
      <c r="BU93" s="53">
        <f>BP93*(1+BU102)</f>
        <v>3400.3468061655162</v>
      </c>
      <c r="BV93" s="53">
        <f>BQ93*(1+BV102)</f>
        <v>3266.6382623464751</v>
      </c>
      <c r="BW93" s="53">
        <f>BR93*(1+BW102)</f>
        <v>3088.0203179180412</v>
      </c>
      <c r="BX93" s="65">
        <f>SUM(BT93:BW93)</f>
        <v>12514.437196208453</v>
      </c>
      <c r="BY93" s="53">
        <f>BT93*(1+BY102)</f>
        <v>2842.2147640717735</v>
      </c>
      <c r="BZ93" s="53">
        <f>BU93*(1+BZ102)</f>
        <v>3502.3572103504816</v>
      </c>
      <c r="CA93" s="53">
        <f>BV93*(1+CA102)</f>
        <v>3364.6374102168693</v>
      </c>
      <c r="CB93" s="53">
        <f>BW93*(1+CB102)</f>
        <v>3180.6609274555826</v>
      </c>
      <c r="CC93" s="65">
        <f>SUM(BY93:CB93)</f>
        <v>12889.870312094708</v>
      </c>
      <c r="CD93" s="53">
        <f>BY93*(1+CD102)</f>
        <v>2921.7967774657832</v>
      </c>
      <c r="CE93" s="53">
        <f>BZ93*(1+CE102)</f>
        <v>3600.423212240295</v>
      </c>
      <c r="CF93" s="53">
        <f>CA93*(1+CF102)</f>
        <v>3458.8472577029415</v>
      </c>
      <c r="CG93" s="53">
        <f>CB93*(1+CG102)</f>
        <v>3269.7194334243391</v>
      </c>
      <c r="CH93" s="65">
        <f>SUM(CD93:CG93)</f>
        <v>13250.78668083336</v>
      </c>
      <c r="CI93" s="53">
        <f>CD93*(1+CI102)</f>
        <v>3003.607087234825</v>
      </c>
      <c r="CJ93" s="53">
        <f>CE93*(1+CJ102)</f>
        <v>3701.2350621830233</v>
      </c>
      <c r="CK93" s="53">
        <f>CF93*(1+CK102)</f>
        <v>3555.694980918624</v>
      </c>
      <c r="CL93" s="53">
        <f>CG93*(1+CL102)</f>
        <v>3361.2715775602205</v>
      </c>
      <c r="CM93" s="65">
        <f>SUM(CI93:CL93)</f>
        <v>13621.808707896693</v>
      </c>
    </row>
    <row r="94" spans="1:91" x14ac:dyDescent="0.2">
      <c r="A94" s="45" t="s">
        <v>194</v>
      </c>
      <c r="B94" s="61"/>
      <c r="C94" s="61"/>
      <c r="D94" s="61"/>
      <c r="E94" s="61"/>
      <c r="F94" s="113"/>
      <c r="G94" s="61"/>
      <c r="H94" s="61"/>
      <c r="I94" s="61"/>
      <c r="J94" s="61"/>
      <c r="K94" s="113"/>
      <c r="L94" s="70"/>
      <c r="M94" s="70"/>
      <c r="N94" s="70"/>
      <c r="O94" s="70"/>
      <c r="P94" s="77"/>
      <c r="Q94" s="70"/>
      <c r="R94" s="70"/>
      <c r="S94" s="70"/>
      <c r="T94" s="70"/>
      <c r="U94" s="77"/>
      <c r="V94" s="70"/>
      <c r="W94" s="70"/>
      <c r="X94" s="70"/>
      <c r="Y94" s="70"/>
      <c r="Z94" s="77"/>
      <c r="AA94" s="70"/>
      <c r="AB94" s="70"/>
      <c r="AC94" s="70"/>
      <c r="AD94" s="70"/>
      <c r="AE94" s="77"/>
      <c r="AF94" s="70"/>
      <c r="AG94" s="70"/>
      <c r="AH94" s="70"/>
      <c r="AI94" s="70"/>
      <c r="AJ94" s="77"/>
      <c r="AK94" s="70"/>
      <c r="AL94" s="70"/>
      <c r="AM94" s="70"/>
      <c r="AN94" s="70"/>
      <c r="AO94" s="77"/>
      <c r="AP94" s="70"/>
      <c r="AQ94" s="70"/>
      <c r="AR94" s="70"/>
      <c r="AS94" s="70"/>
      <c r="AT94" s="77">
        <v>-4168</v>
      </c>
      <c r="AU94" s="70">
        <v>-944</v>
      </c>
      <c r="AV94" s="70">
        <v>-1155</v>
      </c>
      <c r="AW94" s="70">
        <v>-1151</v>
      </c>
      <c r="AX94" s="70">
        <v>-1046</v>
      </c>
      <c r="AY94" s="77">
        <v>-4296</v>
      </c>
      <c r="AZ94" s="70">
        <v>-1041</v>
      </c>
      <c r="BA94" s="70">
        <v>-1158</v>
      </c>
      <c r="BB94" s="70">
        <v>-1112</v>
      </c>
      <c r="BC94" s="70">
        <v>-948</v>
      </c>
      <c r="BD94" s="77">
        <v>-4259</v>
      </c>
      <c r="BE94" s="70">
        <v>-943</v>
      </c>
      <c r="BF94" s="70">
        <v>-1032</v>
      </c>
      <c r="BG94" s="70">
        <v>-1003</v>
      </c>
      <c r="BH94" s="70">
        <v>-795</v>
      </c>
      <c r="BI94" s="77">
        <f>SUM(BE94:BH94)</f>
        <v>-3773</v>
      </c>
      <c r="BJ94" s="70">
        <v>-764</v>
      </c>
      <c r="BK94" s="70">
        <v>-577</v>
      </c>
      <c r="BL94" s="70">
        <v>-433</v>
      </c>
      <c r="BM94" s="70">
        <v>-180</v>
      </c>
      <c r="BN94" s="77">
        <f>SUM(BJ94:BM94)</f>
        <v>-1954</v>
      </c>
      <c r="BO94" s="70">
        <v>-55</v>
      </c>
      <c r="BP94" s="70">
        <f>-BP95*BP93</f>
        <v>-66.026151576029449</v>
      </c>
      <c r="BQ94" s="70">
        <f>-BQ95*BQ93</f>
        <v>-63.429869171776218</v>
      </c>
      <c r="BR94" s="70">
        <f>-BR95*BR93</f>
        <v>-59.9615595712241</v>
      </c>
      <c r="BS94" s="77">
        <f>SUM(BO94:BR94)</f>
        <v>-244.41758031902975</v>
      </c>
      <c r="BT94" s="70">
        <f>-BT95*BT93</f>
        <v>-56.630130424557144</v>
      </c>
      <c r="BU94" s="70">
        <f>-BU95*BU93</f>
        <v>-68.006936123310325</v>
      </c>
      <c r="BV94" s="70">
        <f>-BV95*BV93</f>
        <v>-65.332765246929497</v>
      </c>
      <c r="BW94" s="70">
        <f>-BW95*BW93</f>
        <v>-61.760406358360825</v>
      </c>
      <c r="BX94" s="77">
        <f>SUM(BT94:BW94)</f>
        <v>-251.73023815315779</v>
      </c>
      <c r="BY94" s="70">
        <f>-BY95*BY93</f>
        <v>-58.329034337293862</v>
      </c>
      <c r="BZ94" s="70">
        <f>-BZ95*BZ93</f>
        <v>-70.047144207009637</v>
      </c>
      <c r="CA94" s="70">
        <f>-CA95*CA93</f>
        <v>-67.292748204337386</v>
      </c>
      <c r="CB94" s="70">
        <f>-CB95*CB93</f>
        <v>-63.613218549111657</v>
      </c>
      <c r="CC94" s="77">
        <f>SUM(BY94:CB94)</f>
        <v>-259.28214529775255</v>
      </c>
      <c r="CD94" s="70">
        <f>-CD95*CD93</f>
        <v>-59.962247298738092</v>
      </c>
      <c r="CE94" s="70">
        <f>-CE95*CE93</f>
        <v>-72.008464244805907</v>
      </c>
      <c r="CF94" s="70">
        <f>-CF95*CF93</f>
        <v>-69.176945154058828</v>
      </c>
      <c r="CG94" s="70">
        <f>-CG95*CG93</f>
        <v>-65.394388668486783</v>
      </c>
      <c r="CH94" s="77">
        <f>SUM(CD94:CG94)</f>
        <v>-266.54204536608961</v>
      </c>
      <c r="CI94" s="70">
        <f>-CI95*CI93</f>
        <v>-61.641190223102754</v>
      </c>
      <c r="CJ94" s="70">
        <f>-CJ95*CJ93</f>
        <v>-74.024701243660473</v>
      </c>
      <c r="CK94" s="70">
        <f>-CK95*CK93</f>
        <v>-71.113899618372486</v>
      </c>
      <c r="CL94" s="70">
        <f>-CL95*CL93</f>
        <v>-67.225431551204409</v>
      </c>
      <c r="CM94" s="77">
        <f>SUM(CI94:CL94)</f>
        <v>-274.00522263634014</v>
      </c>
    </row>
    <row r="95" spans="1:91" x14ac:dyDescent="0.2">
      <c r="A95" s="45" t="s">
        <v>196</v>
      </c>
      <c r="B95" s="61"/>
      <c r="C95" s="61"/>
      <c r="D95" s="61"/>
      <c r="E95" s="61"/>
      <c r="F95" s="113"/>
      <c r="G95" s="61"/>
      <c r="H95" s="61"/>
      <c r="I95" s="61"/>
      <c r="J95" s="61"/>
      <c r="K95" s="113"/>
      <c r="L95" s="36"/>
      <c r="M95" s="36"/>
      <c r="N95" s="36"/>
      <c r="O95" s="36"/>
      <c r="P95" s="27"/>
      <c r="Q95" s="36"/>
      <c r="R95" s="36"/>
      <c r="S95" s="36"/>
      <c r="T95" s="36"/>
      <c r="U95" s="27"/>
      <c r="V95" s="36"/>
      <c r="W95" s="36"/>
      <c r="X95" s="36"/>
      <c r="Y95" s="36"/>
      <c r="Z95" s="27"/>
      <c r="AA95" s="36"/>
      <c r="AB95" s="36"/>
      <c r="AC95" s="36"/>
      <c r="AD95" s="36"/>
      <c r="AE95" s="27"/>
      <c r="AF95" s="36"/>
      <c r="AG95" s="36"/>
      <c r="AH95" s="36"/>
      <c r="AI95" s="36"/>
      <c r="AJ95" s="27"/>
      <c r="AK95" s="36"/>
      <c r="AL95" s="36"/>
      <c r="AM95" s="36"/>
      <c r="AN95" s="36"/>
      <c r="AO95" s="27"/>
      <c r="AP95" s="36"/>
      <c r="AQ95" s="36"/>
      <c r="AR95" s="36"/>
      <c r="AS95" s="36"/>
      <c r="AT95" s="27">
        <f>-AT94/AT93</f>
        <v>0.45230602278893112</v>
      </c>
      <c r="AU95" s="36">
        <f t="shared" ref="AU95:BK95" si="129">-AU94/AU93</f>
        <v>0.45803008248423094</v>
      </c>
      <c r="AV95" s="36">
        <f t="shared" si="129"/>
        <v>0.46516310914216674</v>
      </c>
      <c r="AW95" s="36">
        <f t="shared" si="129"/>
        <v>0.47346770876182642</v>
      </c>
      <c r="AX95" s="36">
        <f t="shared" si="129"/>
        <v>0.45557491289198604</v>
      </c>
      <c r="AY95" s="27">
        <f t="shared" si="129"/>
        <v>0.46338043361018227</v>
      </c>
      <c r="AZ95" s="36">
        <f t="shared" si="129"/>
        <v>0.44928787224859734</v>
      </c>
      <c r="BA95" s="36">
        <f t="shared" si="129"/>
        <v>0.43681629573745756</v>
      </c>
      <c r="BB95" s="36">
        <f t="shared" si="129"/>
        <v>0.43100775193798452</v>
      </c>
      <c r="BC95" s="36">
        <f t="shared" si="129"/>
        <v>0.41361256544502617</v>
      </c>
      <c r="BD95" s="27">
        <f t="shared" si="129"/>
        <v>0.4328252032520325</v>
      </c>
      <c r="BE95" s="36">
        <f t="shared" si="129"/>
        <v>0.39923793395427604</v>
      </c>
      <c r="BF95" s="36">
        <f t="shared" si="129"/>
        <v>0.38179800221975585</v>
      </c>
      <c r="BG95" s="36">
        <f t="shared" si="129"/>
        <v>0.3769259676813228</v>
      </c>
      <c r="BH95" s="36">
        <f t="shared" ref="BH95" si="130">-BH94/BH93</f>
        <v>0.32238442822384428</v>
      </c>
      <c r="BI95" s="27">
        <f>-BI94/BI93</f>
        <v>0.37019230769230771</v>
      </c>
      <c r="BJ95" s="36">
        <f t="shared" si="129"/>
        <v>0.3160943318163012</v>
      </c>
      <c r="BK95" s="36">
        <f t="shared" si="129"/>
        <v>0.19875990354805373</v>
      </c>
      <c r="BL95" s="36">
        <f t="shared" ref="BL95:BM95" si="131">-BL94/BL93</f>
        <v>0.15569938870909744</v>
      </c>
      <c r="BM95" s="36">
        <f t="shared" si="131"/>
        <v>6.7950169875424682E-2</v>
      </c>
      <c r="BN95" s="27">
        <f>-BN94/BN93</f>
        <v>0.18176744186046512</v>
      </c>
      <c r="BO95" s="36">
        <f t="shared" ref="BO95" si="132">-BO94/BO93</f>
        <v>2.0522388059701493E-2</v>
      </c>
      <c r="BP95" s="41">
        <v>0.02</v>
      </c>
      <c r="BQ95" s="41">
        <v>0.02</v>
      </c>
      <c r="BR95" s="41">
        <v>0.02</v>
      </c>
      <c r="BS95" s="27">
        <f>-BS94/BS93</f>
        <v>2.0115218001772718E-2</v>
      </c>
      <c r="BT95" s="41">
        <f>BO95</f>
        <v>2.0522388059701493E-2</v>
      </c>
      <c r="BU95" s="41">
        <f>BP95</f>
        <v>0.02</v>
      </c>
      <c r="BV95" s="41">
        <f>BQ95</f>
        <v>0.02</v>
      </c>
      <c r="BW95" s="41">
        <f>BR95</f>
        <v>0.02</v>
      </c>
      <c r="BX95" s="27">
        <f>-BX94/BX93</f>
        <v>2.0115186500710192E-2</v>
      </c>
      <c r="BY95" s="41">
        <f>BT95</f>
        <v>2.0522388059701493E-2</v>
      </c>
      <c r="BZ95" s="41">
        <f>BU95</f>
        <v>0.02</v>
      </c>
      <c r="CA95" s="41">
        <f>BV95</f>
        <v>0.02</v>
      </c>
      <c r="CB95" s="41">
        <f>BW95</f>
        <v>0.02</v>
      </c>
      <c r="CC95" s="27">
        <f>-CC94/CC93</f>
        <v>2.0115186500710192E-2</v>
      </c>
      <c r="CD95" s="41">
        <f>BY95</f>
        <v>2.0522388059701493E-2</v>
      </c>
      <c r="CE95" s="41">
        <f>BZ95</f>
        <v>0.02</v>
      </c>
      <c r="CF95" s="41">
        <f>CA95</f>
        <v>0.02</v>
      </c>
      <c r="CG95" s="41">
        <f>CB95</f>
        <v>0.02</v>
      </c>
      <c r="CH95" s="27">
        <f>-CH94/CH93</f>
        <v>2.0115186500710192E-2</v>
      </c>
      <c r="CI95" s="41">
        <f>CD95</f>
        <v>2.0522388059701493E-2</v>
      </c>
      <c r="CJ95" s="41">
        <f>CE95</f>
        <v>0.02</v>
      </c>
      <c r="CK95" s="41">
        <f>CF95</f>
        <v>0.02</v>
      </c>
      <c r="CL95" s="41">
        <f>CG95</f>
        <v>0.02</v>
      </c>
      <c r="CM95" s="27">
        <f>-CM94/CM93</f>
        <v>2.0115186500710196E-2</v>
      </c>
    </row>
    <row r="96" spans="1:91" x14ac:dyDescent="0.2">
      <c r="A96" s="58" t="s">
        <v>198</v>
      </c>
      <c r="B96" s="61"/>
      <c r="C96" s="61"/>
      <c r="D96" s="61"/>
      <c r="E96" s="61"/>
      <c r="F96" s="65"/>
      <c r="G96" s="61"/>
      <c r="H96" s="61"/>
      <c r="I96" s="61"/>
      <c r="J96" s="61"/>
      <c r="K96" s="65"/>
      <c r="L96" s="53"/>
      <c r="M96" s="53"/>
      <c r="N96" s="53"/>
      <c r="O96" s="53"/>
      <c r="P96" s="65"/>
      <c r="Q96" s="53"/>
      <c r="R96" s="53"/>
      <c r="S96" s="53"/>
      <c r="T96" s="53"/>
      <c r="U96" s="65"/>
      <c r="V96" s="53"/>
      <c r="W96" s="53"/>
      <c r="X96" s="53"/>
      <c r="Y96" s="53"/>
      <c r="Z96" s="65"/>
      <c r="AA96" s="53"/>
      <c r="AB96" s="53"/>
      <c r="AC96" s="53"/>
      <c r="AD96" s="53"/>
      <c r="AE96" s="65"/>
      <c r="AF96" s="53"/>
      <c r="AG96" s="53"/>
      <c r="AH96" s="53"/>
      <c r="AI96" s="53"/>
      <c r="AJ96" s="65"/>
      <c r="AK96" s="53"/>
      <c r="AL96" s="53"/>
      <c r="AM96" s="53"/>
      <c r="AN96" s="53"/>
      <c r="AO96" s="65"/>
      <c r="AP96" s="53"/>
      <c r="AQ96" s="53"/>
      <c r="AR96" s="53"/>
      <c r="AS96" s="53"/>
      <c r="AT96" s="65">
        <f>SUM(AT93,AT94)</f>
        <v>5047</v>
      </c>
      <c r="AU96" s="53">
        <f t="shared" ref="AU96:CM96" si="133">SUM(AU93,AU94)</f>
        <v>1117</v>
      </c>
      <c r="AV96" s="53">
        <f t="shared" si="133"/>
        <v>1328</v>
      </c>
      <c r="AW96" s="53">
        <f t="shared" si="133"/>
        <v>1280</v>
      </c>
      <c r="AX96" s="53">
        <f t="shared" si="133"/>
        <v>1250</v>
      </c>
      <c r="AY96" s="65">
        <f t="shared" si="133"/>
        <v>4975</v>
      </c>
      <c r="AZ96" s="53">
        <f t="shared" si="133"/>
        <v>1276</v>
      </c>
      <c r="BA96" s="53">
        <f t="shared" si="133"/>
        <v>1493</v>
      </c>
      <c r="BB96" s="53">
        <f t="shared" si="133"/>
        <v>1468</v>
      </c>
      <c r="BC96" s="53">
        <f t="shared" si="133"/>
        <v>1344</v>
      </c>
      <c r="BD96" s="65">
        <f t="shared" si="133"/>
        <v>5581</v>
      </c>
      <c r="BE96" s="53">
        <f t="shared" si="133"/>
        <v>1419</v>
      </c>
      <c r="BF96" s="53">
        <f t="shared" si="133"/>
        <v>1671</v>
      </c>
      <c r="BG96" s="53">
        <f t="shared" si="133"/>
        <v>1658</v>
      </c>
      <c r="BH96" s="53">
        <f t="shared" si="133"/>
        <v>1671</v>
      </c>
      <c r="BI96" s="65">
        <f t="shared" si="133"/>
        <v>6419</v>
      </c>
      <c r="BJ96" s="53">
        <f t="shared" si="133"/>
        <v>1653</v>
      </c>
      <c r="BK96" s="53">
        <f t="shared" si="133"/>
        <v>2326</v>
      </c>
      <c r="BL96" s="53">
        <f t="shared" si="133"/>
        <v>2348</v>
      </c>
      <c r="BM96" s="53">
        <f t="shared" ref="BM96:BO96" si="134">SUM(BM93,BM94)</f>
        <v>2469</v>
      </c>
      <c r="BN96" s="65">
        <f t="shared" si="133"/>
        <v>8796</v>
      </c>
      <c r="BO96" s="53">
        <f t="shared" si="134"/>
        <v>2625</v>
      </c>
      <c r="BP96" s="53">
        <f t="shared" si="133"/>
        <v>3235.2814272254427</v>
      </c>
      <c r="BQ96" s="53">
        <f t="shared" si="133"/>
        <v>3108.0635894170346</v>
      </c>
      <c r="BR96" s="53">
        <f t="shared" si="133"/>
        <v>2938.116418989981</v>
      </c>
      <c r="BS96" s="65">
        <f t="shared" si="133"/>
        <v>11906.461435632458</v>
      </c>
      <c r="BT96" s="53">
        <f t="shared" si="133"/>
        <v>2702.8016793538636</v>
      </c>
      <c r="BU96" s="53">
        <f t="shared" si="133"/>
        <v>3332.3398700422058</v>
      </c>
      <c r="BV96" s="53">
        <f t="shared" si="133"/>
        <v>3201.3054970995458</v>
      </c>
      <c r="BW96" s="53">
        <f t="shared" si="133"/>
        <v>3026.2599115596804</v>
      </c>
      <c r="BX96" s="65">
        <f t="shared" si="133"/>
        <v>12262.706958055296</v>
      </c>
      <c r="BY96" s="53">
        <f t="shared" si="133"/>
        <v>2783.8857297344798</v>
      </c>
      <c r="BZ96" s="53">
        <f t="shared" si="133"/>
        <v>3432.3100661434719</v>
      </c>
      <c r="CA96" s="53">
        <f t="shared" si="133"/>
        <v>3297.3446620125319</v>
      </c>
      <c r="CB96" s="53">
        <f t="shared" si="133"/>
        <v>3117.0477089064711</v>
      </c>
      <c r="CC96" s="65">
        <f t="shared" si="133"/>
        <v>12630.588166796955</v>
      </c>
      <c r="CD96" s="53">
        <f t="shared" si="133"/>
        <v>2861.8345301670452</v>
      </c>
      <c r="CE96" s="53">
        <f t="shared" si="133"/>
        <v>3528.4147479954891</v>
      </c>
      <c r="CF96" s="53">
        <f t="shared" si="133"/>
        <v>3389.6703125488825</v>
      </c>
      <c r="CG96" s="53">
        <f t="shared" si="133"/>
        <v>3204.3250447558521</v>
      </c>
      <c r="CH96" s="65">
        <f t="shared" si="133"/>
        <v>12984.24463546727</v>
      </c>
      <c r="CI96" s="53">
        <f t="shared" si="133"/>
        <v>2941.9658970117221</v>
      </c>
      <c r="CJ96" s="53">
        <f t="shared" si="133"/>
        <v>3627.210360939363</v>
      </c>
      <c r="CK96" s="53">
        <f t="shared" si="133"/>
        <v>3484.5810813002513</v>
      </c>
      <c r="CL96" s="53">
        <f t="shared" si="133"/>
        <v>3294.046146009016</v>
      </c>
      <c r="CM96" s="65">
        <f t="shared" si="133"/>
        <v>13347.803485260352</v>
      </c>
    </row>
    <row r="97" spans="1:91" x14ac:dyDescent="0.2">
      <c r="A97" s="25" t="s">
        <v>191</v>
      </c>
      <c r="B97" s="36"/>
      <c r="C97" s="36"/>
      <c r="D97" s="36"/>
      <c r="E97" s="36"/>
      <c r="F97" s="27"/>
      <c r="G97" s="36"/>
      <c r="H97" s="36"/>
      <c r="I97" s="36"/>
      <c r="J97" s="36"/>
      <c r="K97" s="27"/>
      <c r="L97" s="36"/>
      <c r="M97" s="36"/>
      <c r="N97" s="36"/>
      <c r="O97" s="36"/>
      <c r="P97" s="27"/>
      <c r="Q97" s="36"/>
      <c r="R97" s="36"/>
      <c r="S97" s="36"/>
      <c r="T97" s="36"/>
      <c r="U97" s="27"/>
      <c r="V97" s="36"/>
      <c r="W97" s="36"/>
      <c r="X97" s="36"/>
      <c r="Y97" s="36"/>
      <c r="Z97" s="27"/>
      <c r="AA97" s="36"/>
      <c r="AB97" s="36"/>
      <c r="AC97" s="36"/>
      <c r="AD97" s="36"/>
      <c r="AE97" s="27"/>
      <c r="AF97" s="36"/>
      <c r="AG97" s="36"/>
      <c r="AH97" s="36"/>
      <c r="AI97" s="36"/>
      <c r="AJ97" s="27"/>
      <c r="AK97" s="36"/>
      <c r="AL97" s="36"/>
      <c r="AM97" s="36"/>
      <c r="AN97" s="36"/>
      <c r="AO97" s="27"/>
      <c r="AP97" s="36"/>
      <c r="AQ97" s="36"/>
      <c r="AR97" s="36"/>
      <c r="AS97" s="36"/>
      <c r="AT97" s="27"/>
      <c r="AU97" s="36"/>
      <c r="AV97" s="36"/>
      <c r="AW97" s="36"/>
      <c r="AX97" s="36"/>
      <c r="AY97" s="27">
        <v>0</v>
      </c>
      <c r="AZ97" s="36">
        <v>0</v>
      </c>
      <c r="BA97" s="36">
        <v>0.02</v>
      </c>
      <c r="BB97" s="36">
        <v>0.01</v>
      </c>
      <c r="BC97" s="36">
        <v>0.03</v>
      </c>
      <c r="BD97" s="27">
        <v>0.01</v>
      </c>
      <c r="BE97" s="36">
        <v>0.02</v>
      </c>
      <c r="BF97" s="729">
        <v>0.01</v>
      </c>
      <c r="BG97" s="729">
        <v>0.01</v>
      </c>
      <c r="BH97" s="729">
        <v>0.01</v>
      </c>
      <c r="BI97" s="27">
        <v>0.01</v>
      </c>
      <c r="BJ97" s="729">
        <v>0</v>
      </c>
      <c r="BK97" s="729">
        <v>0</v>
      </c>
      <c r="BL97" s="729">
        <v>0</v>
      </c>
      <c r="BM97" s="729">
        <v>0.01</v>
      </c>
      <c r="BN97" s="27">
        <v>0</v>
      </c>
      <c r="BO97" s="729">
        <v>0.02</v>
      </c>
      <c r="BP97" s="41">
        <v>1.6E-2</v>
      </c>
      <c r="BQ97" s="41">
        <v>1.6E-2</v>
      </c>
      <c r="BR97" s="36">
        <f>(BS97*BN93-SUMPRODUCT(BJ93:BL93,BO97:BQ97))/BM93</f>
        <v>1.7591543978859184E-4</v>
      </c>
      <c r="BS97" s="44">
        <v>1.2999999999999999E-2</v>
      </c>
      <c r="BT97" s="36">
        <f>BT98</f>
        <v>0.01</v>
      </c>
      <c r="BU97" s="36">
        <f>BU98</f>
        <v>0.01</v>
      </c>
      <c r="BV97" s="36">
        <f>BV98</f>
        <v>0.01</v>
      </c>
      <c r="BW97" s="36">
        <f>BW98</f>
        <v>9.9999999999999985E-3</v>
      </c>
      <c r="BX97" s="27">
        <f>SUMPRODUCT(BO93:BR93,BT97:BW97)/BS93</f>
        <v>0.01</v>
      </c>
      <c r="BY97" s="36">
        <f>BY98</f>
        <v>0.01</v>
      </c>
      <c r="BZ97" s="36">
        <f>BZ98</f>
        <v>0.01</v>
      </c>
      <c r="CA97" s="36">
        <f>CA98</f>
        <v>0.01</v>
      </c>
      <c r="CB97" s="36">
        <f>CB98</f>
        <v>1.0000000000000005E-2</v>
      </c>
      <c r="CC97" s="27">
        <f>SUMPRODUCT(BT93:BW93,BY97:CB97)/BX93</f>
        <v>0.01</v>
      </c>
      <c r="CD97" s="36">
        <f>CD98</f>
        <v>0.01</v>
      </c>
      <c r="CE97" s="36">
        <f>CE98</f>
        <v>0.01</v>
      </c>
      <c r="CF97" s="36">
        <f>CF98</f>
        <v>0.01</v>
      </c>
      <c r="CG97" s="36">
        <f>CG98</f>
        <v>1.0000000000000004E-2</v>
      </c>
      <c r="CH97" s="27">
        <f>SUMPRODUCT(BY93:CB93,CD97:CG97)/CC93</f>
        <v>0.01</v>
      </c>
      <c r="CI97" s="36">
        <f>CI98</f>
        <v>0.01</v>
      </c>
      <c r="CJ97" s="36">
        <f>CJ98</f>
        <v>0.01</v>
      </c>
      <c r="CK97" s="36">
        <f>CK98</f>
        <v>0.01</v>
      </c>
      <c r="CL97" s="36">
        <f>CL98</f>
        <v>0.01</v>
      </c>
      <c r="CM97" s="27">
        <f>SUMPRODUCT(CD93:CG93,CI97:CL97)/CH93</f>
        <v>0.01</v>
      </c>
    </row>
    <row r="98" spans="1:91" x14ac:dyDescent="0.2">
      <c r="A98" s="45" t="s">
        <v>192</v>
      </c>
      <c r="B98" s="61"/>
      <c r="C98" s="61"/>
      <c r="D98" s="61"/>
      <c r="E98" s="61"/>
      <c r="F98" s="113"/>
      <c r="G98" s="61"/>
      <c r="H98" s="61"/>
      <c r="I98" s="61"/>
      <c r="J98" s="61"/>
      <c r="K98" s="113"/>
      <c r="L98" s="36"/>
      <c r="M98" s="36"/>
      <c r="N98" s="36"/>
      <c r="O98" s="36"/>
      <c r="P98" s="27"/>
      <c r="Q98" s="36"/>
      <c r="R98" s="36"/>
      <c r="S98" s="36"/>
      <c r="T98" s="36"/>
      <c r="U98" s="27"/>
      <c r="V98" s="36"/>
      <c r="W98" s="36"/>
      <c r="X98" s="36"/>
      <c r="Y98" s="36"/>
      <c r="Z98" s="27"/>
      <c r="AA98" s="36"/>
      <c r="AB98" s="36"/>
      <c r="AC98" s="36"/>
      <c r="AD98" s="36"/>
      <c r="AE98" s="27"/>
      <c r="AF98" s="36"/>
      <c r="AG98" s="36"/>
      <c r="AH98" s="36"/>
      <c r="AI98" s="36"/>
      <c r="AJ98" s="27"/>
      <c r="AK98" s="36"/>
      <c r="AL98" s="36"/>
      <c r="AM98" s="36"/>
      <c r="AN98" s="36"/>
      <c r="AO98" s="27"/>
      <c r="AP98" s="36"/>
      <c r="AQ98" s="36"/>
      <c r="AR98" s="36"/>
      <c r="AS98" s="36"/>
      <c r="AT98" s="27"/>
      <c r="AU98" s="36"/>
      <c r="AV98" s="36"/>
      <c r="AW98" s="36"/>
      <c r="AX98" s="36"/>
      <c r="AY98" s="27">
        <v>0</v>
      </c>
      <c r="AZ98" s="41">
        <f>AZ87</f>
        <v>0.08</v>
      </c>
      <c r="BA98" s="41">
        <f>BA87</f>
        <v>0.01</v>
      </c>
      <c r="BB98" s="41">
        <f>BB87</f>
        <v>0</v>
      </c>
      <c r="BC98" s="41">
        <f>BC87</f>
        <v>-0.03</v>
      </c>
      <c r="BD98" s="27">
        <v>0.01</v>
      </c>
      <c r="BE98" s="36">
        <v>-0.01</v>
      </c>
      <c r="BF98" s="729">
        <v>0.01</v>
      </c>
      <c r="BG98" s="729">
        <v>0.01</v>
      </c>
      <c r="BH98" s="729">
        <v>0.04</v>
      </c>
      <c r="BI98" s="27">
        <v>0.01</v>
      </c>
      <c r="BJ98" s="729">
        <v>-0.03</v>
      </c>
      <c r="BK98" s="729">
        <v>0.01</v>
      </c>
      <c r="BL98" s="729">
        <v>0.01</v>
      </c>
      <c r="BM98" s="729">
        <v>0.02</v>
      </c>
      <c r="BN98" s="186">
        <v>0</v>
      </c>
      <c r="BO98" s="729">
        <v>0.02</v>
      </c>
      <c r="BP98" s="796">
        <f>BP97</f>
        <v>1.6E-2</v>
      </c>
      <c r="BQ98" s="796">
        <f>BQ97</f>
        <v>1.6E-2</v>
      </c>
      <c r="BR98" s="796">
        <f>BR97+0.01</f>
        <v>1.0175915439788592E-2</v>
      </c>
      <c r="BS98" s="186">
        <f>SUMPRODUCT(BJ93:BM93,BO98:BR98)/BN93</f>
        <v>1.5464186046511629E-2</v>
      </c>
      <c r="BT98" s="41">
        <f>BX98</f>
        <v>0.01</v>
      </c>
      <c r="BU98" s="41">
        <f>BX98</f>
        <v>0.01</v>
      </c>
      <c r="BV98" s="41">
        <f>BX98</f>
        <v>0.01</v>
      </c>
      <c r="BW98" s="36">
        <f>(BX98*BS93-SUMPRODUCT(BO93:BQ93,BT98:BV98))/BR93</f>
        <v>9.9999999999999985E-3</v>
      </c>
      <c r="BX98" s="44">
        <v>0.01</v>
      </c>
      <c r="BY98" s="41">
        <f>CC98</f>
        <v>0.01</v>
      </c>
      <c r="BZ98" s="41">
        <f>CC98</f>
        <v>0.01</v>
      </c>
      <c r="CA98" s="41">
        <f>CC98</f>
        <v>0.01</v>
      </c>
      <c r="CB98" s="36">
        <f>(CC98*BX93-SUMPRODUCT(BT93:BV93,BY98:CA98))/BW93</f>
        <v>1.0000000000000005E-2</v>
      </c>
      <c r="CC98" s="44">
        <v>0.01</v>
      </c>
      <c r="CD98" s="41">
        <f>CH98</f>
        <v>0.01</v>
      </c>
      <c r="CE98" s="41">
        <f>CH98</f>
        <v>0.01</v>
      </c>
      <c r="CF98" s="41">
        <f>CH98</f>
        <v>0.01</v>
      </c>
      <c r="CG98" s="36">
        <f>(CH98*CC93-SUMPRODUCT(BY93:CA93,CD98:CF98))/CB93</f>
        <v>1.0000000000000004E-2</v>
      </c>
      <c r="CH98" s="44">
        <v>0.01</v>
      </c>
      <c r="CI98" s="41">
        <f>CM98</f>
        <v>0.01</v>
      </c>
      <c r="CJ98" s="41">
        <f>CM98</f>
        <v>0.01</v>
      </c>
      <c r="CK98" s="41">
        <f>CM98</f>
        <v>0.01</v>
      </c>
      <c r="CL98" s="36">
        <f>(CM98*CH93-SUMPRODUCT(CD93:CF93,CI98:CK98))/CG93</f>
        <v>0.01</v>
      </c>
      <c r="CM98" s="44">
        <v>0.01</v>
      </c>
    </row>
    <row r="99" spans="1:91" x14ac:dyDescent="0.2">
      <c r="A99" s="25" t="s">
        <v>188</v>
      </c>
      <c r="B99" s="61"/>
      <c r="C99" s="61"/>
      <c r="D99" s="61"/>
      <c r="E99" s="61"/>
      <c r="F99" s="113"/>
      <c r="G99" s="61"/>
      <c r="H99" s="61"/>
      <c r="I99" s="61"/>
      <c r="J99" s="61"/>
      <c r="K99" s="113"/>
      <c r="L99" s="36"/>
      <c r="M99" s="36"/>
      <c r="N99" s="36"/>
      <c r="O99" s="36"/>
      <c r="P99" s="27"/>
      <c r="Q99" s="36"/>
      <c r="R99" s="36"/>
      <c r="S99" s="36"/>
      <c r="T99" s="36"/>
      <c r="U99" s="27"/>
      <c r="V99" s="36"/>
      <c r="W99" s="36"/>
      <c r="X99" s="36"/>
      <c r="Y99" s="36"/>
      <c r="Z99" s="27"/>
      <c r="AA99" s="36"/>
      <c r="AB99" s="36"/>
      <c r="AC99" s="36"/>
      <c r="AD99" s="36"/>
      <c r="AE99" s="27"/>
      <c r="AF99" s="36"/>
      <c r="AG99" s="36"/>
      <c r="AH99" s="36"/>
      <c r="AI99" s="36"/>
      <c r="AJ99" s="27"/>
      <c r="AK99" s="36"/>
      <c r="AL99" s="36"/>
      <c r="AM99" s="36"/>
      <c r="AN99" s="36"/>
      <c r="AO99" s="27"/>
      <c r="AP99" s="36"/>
      <c r="AQ99" s="36"/>
      <c r="AR99" s="36"/>
      <c r="AS99" s="36"/>
      <c r="AT99" s="27"/>
      <c r="AU99" s="36"/>
      <c r="AV99" s="36"/>
      <c r="AW99" s="36"/>
      <c r="AX99" s="36"/>
      <c r="AY99" s="27">
        <v>0.01</v>
      </c>
      <c r="AZ99" s="41">
        <f>AZ102-AZ100-AZ98</f>
        <v>5.4211547792333795E-2</v>
      </c>
      <c r="BA99" s="41">
        <v>6.5000000000000002E-2</v>
      </c>
      <c r="BB99" s="41">
        <v>5.7500000000000002E-2</v>
      </c>
      <c r="BC99" s="41">
        <v>2.5000000000000001E-2</v>
      </c>
      <c r="BD99" s="27">
        <v>0.05</v>
      </c>
      <c r="BE99" s="36">
        <v>0.03</v>
      </c>
      <c r="BF99" s="729">
        <v>0.02</v>
      </c>
      <c r="BG99" s="729">
        <v>0.02</v>
      </c>
      <c r="BH99" s="729">
        <v>0.05</v>
      </c>
      <c r="BI99" s="27">
        <v>0.03</v>
      </c>
      <c r="BJ99" s="729">
        <v>0.03</v>
      </c>
      <c r="BK99" s="729">
        <v>0.04</v>
      </c>
      <c r="BL99" s="729">
        <v>0.02</v>
      </c>
      <c r="BM99" s="729">
        <v>0.02</v>
      </c>
      <c r="BN99" s="186">
        <v>0.03</v>
      </c>
      <c r="BO99" s="729">
        <v>-0.01</v>
      </c>
      <c r="BP99" s="41">
        <v>0.02</v>
      </c>
      <c r="BQ99" s="41">
        <v>2.5000000000000001E-2</v>
      </c>
      <c r="BR99" s="36">
        <f>(BS99*BN93-SUMPRODUCT(BJ93:BL93,BO99:BQ99))/BM93</f>
        <v>2.1832767081917701E-2</v>
      </c>
      <c r="BS99" s="44">
        <v>1.4999999999999999E-2</v>
      </c>
      <c r="BT99" s="41">
        <f>BX99</f>
        <v>0.02</v>
      </c>
      <c r="BU99" s="41">
        <f>BX99</f>
        <v>0.02</v>
      </c>
      <c r="BV99" s="41">
        <f>BX99</f>
        <v>0.02</v>
      </c>
      <c r="BW99" s="36">
        <f>(BX99*BS93-SUMPRODUCT(BO93:BQ93,BT99:BV99))/BR93</f>
        <v>1.9999999999999997E-2</v>
      </c>
      <c r="BX99" s="44">
        <v>0.02</v>
      </c>
      <c r="BY99" s="41">
        <f>CC99</f>
        <v>0.02</v>
      </c>
      <c r="BZ99" s="41">
        <f>CC99</f>
        <v>0.02</v>
      </c>
      <c r="CA99" s="41">
        <f>CC99</f>
        <v>0.02</v>
      </c>
      <c r="CB99" s="36">
        <f>(CC99*BX93-SUMPRODUCT(BT93:BV93,BY99:CA99))/BW93</f>
        <v>2.0000000000000011E-2</v>
      </c>
      <c r="CC99" s="44">
        <v>0.02</v>
      </c>
      <c r="CD99" s="41">
        <f>CH99</f>
        <v>1.7999999999999999E-2</v>
      </c>
      <c r="CE99" s="41">
        <f>CH99</f>
        <v>1.7999999999999999E-2</v>
      </c>
      <c r="CF99" s="41">
        <f>CH99</f>
        <v>1.7999999999999999E-2</v>
      </c>
      <c r="CG99" s="36">
        <f>(CH99*CC93-SUMPRODUCT(BY93:CA93,CD99:CF99))/CB93</f>
        <v>1.8000000000000002E-2</v>
      </c>
      <c r="CH99" s="44">
        <v>1.7999999999999999E-2</v>
      </c>
      <c r="CI99" s="41">
        <f>CM99</f>
        <v>1.7999999999999999E-2</v>
      </c>
      <c r="CJ99" s="41">
        <f>CM99</f>
        <v>1.7999999999999999E-2</v>
      </c>
      <c r="CK99" s="41">
        <f>CM99</f>
        <v>1.7999999999999999E-2</v>
      </c>
      <c r="CL99" s="36">
        <f>(CM99*CH93-SUMPRODUCT(CD93:CF93,CI99:CK99))/CG93</f>
        <v>1.8000000000000009E-2</v>
      </c>
      <c r="CM99" s="44">
        <v>1.7999999999999999E-2</v>
      </c>
    </row>
    <row r="100" spans="1:91" x14ac:dyDescent="0.2">
      <c r="A100" s="25" t="s">
        <v>189</v>
      </c>
      <c r="B100" s="61"/>
      <c r="C100" s="61"/>
      <c r="D100" s="61"/>
      <c r="E100" s="61"/>
      <c r="F100" s="113"/>
      <c r="G100" s="61"/>
      <c r="H100" s="61"/>
      <c r="I100" s="61"/>
      <c r="J100" s="61"/>
      <c r="K100" s="113"/>
      <c r="L100" s="36"/>
      <c r="M100" s="36"/>
      <c r="N100" s="36"/>
      <c r="O100" s="36"/>
      <c r="P100" s="27"/>
      <c r="Q100" s="36"/>
      <c r="R100" s="36"/>
      <c r="S100" s="36"/>
      <c r="T100" s="36"/>
      <c r="U100" s="27"/>
      <c r="V100" s="36"/>
      <c r="W100" s="36"/>
      <c r="X100" s="36"/>
      <c r="Y100" s="36"/>
      <c r="Z100" s="27"/>
      <c r="AA100" s="36"/>
      <c r="AB100" s="36"/>
      <c r="AC100" s="36"/>
      <c r="AD100" s="36"/>
      <c r="AE100" s="27"/>
      <c r="AF100" s="36"/>
      <c r="AG100" s="36"/>
      <c r="AH100" s="36"/>
      <c r="AI100" s="36"/>
      <c r="AJ100" s="27"/>
      <c r="AK100" s="36"/>
      <c r="AL100" s="36"/>
      <c r="AM100" s="36"/>
      <c r="AN100" s="36"/>
      <c r="AO100" s="27"/>
      <c r="AP100" s="36"/>
      <c r="AQ100" s="36"/>
      <c r="AR100" s="36"/>
      <c r="AS100" s="36"/>
      <c r="AT100" s="27"/>
      <c r="AU100" s="36"/>
      <c r="AV100" s="36"/>
      <c r="AW100" s="36"/>
      <c r="AX100" s="36"/>
      <c r="AY100" s="27">
        <v>0</v>
      </c>
      <c r="AZ100" s="41">
        <f>AZ89</f>
        <v>-0.01</v>
      </c>
      <c r="BA100" s="41">
        <f>BA89</f>
        <v>-0.01</v>
      </c>
      <c r="BB100" s="41">
        <f>BB89</f>
        <v>-0.01</v>
      </c>
      <c r="BC100" s="41">
        <f>BC89</f>
        <v>-0.01</v>
      </c>
      <c r="BD100" s="27">
        <v>-0.01</v>
      </c>
      <c r="BE100" s="36">
        <v>0</v>
      </c>
      <c r="BF100" s="729">
        <v>0</v>
      </c>
      <c r="BG100" s="729">
        <v>0</v>
      </c>
      <c r="BH100" s="729">
        <v>0</v>
      </c>
      <c r="BI100" s="27">
        <v>0</v>
      </c>
      <c r="BJ100" s="729">
        <v>0</v>
      </c>
      <c r="BK100" s="729">
        <v>0</v>
      </c>
      <c r="BL100" s="729">
        <v>0</v>
      </c>
      <c r="BM100" s="729">
        <v>0</v>
      </c>
      <c r="BN100" s="186">
        <v>0</v>
      </c>
      <c r="BO100" s="729">
        <v>0</v>
      </c>
      <c r="BP100" s="41">
        <v>1.2055042375033913E-3</v>
      </c>
      <c r="BQ100" s="41">
        <v>-5.8523603422851178E-4</v>
      </c>
      <c r="BR100" s="41">
        <v>-2.3141617168549223E-4</v>
      </c>
      <c r="BS100" s="27">
        <f>SUMPRODUCT(BJ93:BM93,BO100:BR100)/BN93</f>
        <v>1.1711776292911487E-4</v>
      </c>
      <c r="BT100" s="41">
        <v>-3.6126500805205646E-4</v>
      </c>
      <c r="BU100" s="41">
        <v>0</v>
      </c>
      <c r="BV100" s="41">
        <v>0</v>
      </c>
      <c r="BW100" s="41">
        <v>0</v>
      </c>
      <c r="BX100" s="27">
        <f>SUMPRODUCT(BO93:BR93,BT100:BW100)/BS93</f>
        <v>-7.9680673333055649E-5</v>
      </c>
      <c r="BY100" s="662">
        <v>0</v>
      </c>
      <c r="BZ100" s="662">
        <v>0</v>
      </c>
      <c r="CA100" s="662">
        <v>0</v>
      </c>
      <c r="CB100" s="662">
        <v>0</v>
      </c>
      <c r="CC100" s="27">
        <f>SUMPRODUCT(BT93:BW93,BY100:CB100)/BX93</f>
        <v>0</v>
      </c>
      <c r="CD100" s="662">
        <v>0</v>
      </c>
      <c r="CE100" s="662">
        <v>0</v>
      </c>
      <c r="CF100" s="662">
        <v>0</v>
      </c>
      <c r="CG100" s="662">
        <v>0</v>
      </c>
      <c r="CH100" s="27">
        <f>SUMPRODUCT(BY93:CB93,CD100:CG100)/CC93</f>
        <v>0</v>
      </c>
      <c r="CI100" s="662">
        <v>0</v>
      </c>
      <c r="CJ100" s="662">
        <v>0</v>
      </c>
      <c r="CK100" s="662">
        <v>0</v>
      </c>
      <c r="CL100" s="662">
        <v>0</v>
      </c>
      <c r="CM100" s="27">
        <f>SUMPRODUCT(CD93:CG93,CI100:CL100)/CH93</f>
        <v>0</v>
      </c>
    </row>
    <row r="101" spans="1:91" x14ac:dyDescent="0.2">
      <c r="A101" s="30" t="s">
        <v>193</v>
      </c>
      <c r="B101" s="61"/>
      <c r="C101" s="61"/>
      <c r="D101" s="61"/>
      <c r="E101" s="61"/>
      <c r="F101" s="113"/>
      <c r="G101" s="61"/>
      <c r="H101" s="61"/>
      <c r="I101" s="61"/>
      <c r="J101" s="61"/>
      <c r="K101" s="113"/>
      <c r="L101" s="36"/>
      <c r="M101" s="36"/>
      <c r="N101" s="36"/>
      <c r="O101" s="36"/>
      <c r="P101" s="27"/>
      <c r="Q101" s="36"/>
      <c r="R101" s="36"/>
      <c r="S101" s="36"/>
      <c r="T101" s="36"/>
      <c r="U101" s="27"/>
      <c r="V101" s="36"/>
      <c r="W101" s="36"/>
      <c r="X101" s="36"/>
      <c r="Y101" s="36"/>
      <c r="Z101" s="27"/>
      <c r="AA101" s="36"/>
      <c r="AB101" s="36"/>
      <c r="AC101" s="36"/>
      <c r="AD101" s="36"/>
      <c r="AE101" s="27"/>
      <c r="AF101" s="36"/>
      <c r="AG101" s="36"/>
      <c r="AH101" s="36"/>
      <c r="AI101" s="36"/>
      <c r="AJ101" s="27"/>
      <c r="AK101" s="36"/>
      <c r="AL101" s="36"/>
      <c r="AM101" s="36"/>
      <c r="AN101" s="36"/>
      <c r="AO101" s="27"/>
      <c r="AP101" s="36"/>
      <c r="AQ101" s="36"/>
      <c r="AR101" s="36"/>
      <c r="AS101" s="36"/>
      <c r="AT101" s="27"/>
      <c r="AU101" s="36"/>
      <c r="AV101" s="36"/>
      <c r="AW101" s="36"/>
      <c r="AX101" s="36"/>
      <c r="AY101" s="27">
        <v>0</v>
      </c>
      <c r="AZ101" s="41">
        <v>0</v>
      </c>
      <c r="BA101" s="41">
        <f>BA102-SUM(BA98:BA100)</f>
        <v>2.6600886024969461E-3</v>
      </c>
      <c r="BB101" s="41">
        <f>BB102-SUM(BB98:BB100)</f>
        <v>1.3791649526943547E-2</v>
      </c>
      <c r="BC101" s="41">
        <f>BC102-SUM(BC98:BC100)</f>
        <v>1.3257839721254367E-2</v>
      </c>
      <c r="BD101" s="27">
        <v>0.01</v>
      </c>
      <c r="BE101" s="36">
        <v>0</v>
      </c>
      <c r="BF101" s="729">
        <v>-0.01</v>
      </c>
      <c r="BG101" s="729">
        <v>0</v>
      </c>
      <c r="BH101" s="729">
        <v>0</v>
      </c>
      <c r="BI101" s="27">
        <v>0</v>
      </c>
      <c r="BJ101" s="729">
        <v>0.02</v>
      </c>
      <c r="BK101" s="729">
        <v>0.02</v>
      </c>
      <c r="BL101" s="729">
        <v>0.01</v>
      </c>
      <c r="BM101" s="729">
        <v>0.03</v>
      </c>
      <c r="BN101" s="186">
        <v>0.02</v>
      </c>
      <c r="BO101" s="729">
        <f>-0.01+0.11</f>
        <v>0.1</v>
      </c>
      <c r="BP101" s="41">
        <v>0.1</v>
      </c>
      <c r="BQ101" s="41">
        <v>0.1</v>
      </c>
      <c r="BR101" s="41">
        <v>0.1</v>
      </c>
      <c r="BS101" s="27">
        <f>SUMPRODUCT(BJ93:BM93,BO101:BR101)/BN93</f>
        <v>0.1</v>
      </c>
      <c r="BT101" s="41">
        <v>0</v>
      </c>
      <c r="BU101" s="41">
        <v>0</v>
      </c>
      <c r="BV101" s="41">
        <v>0</v>
      </c>
      <c r="BW101" s="41">
        <v>0</v>
      </c>
      <c r="BX101" s="27">
        <f>SUMPRODUCT(BO94:BR94,BT101:BW101)/BS94</f>
        <v>0</v>
      </c>
      <c r="BY101" s="41">
        <v>0</v>
      </c>
      <c r="BZ101" s="41">
        <v>0</v>
      </c>
      <c r="CA101" s="41">
        <v>0</v>
      </c>
      <c r="CB101" s="41">
        <v>0</v>
      </c>
      <c r="CC101" s="27">
        <f>SUMPRODUCT(BT94:BW94,BY101:CB101)/BX94</f>
        <v>0</v>
      </c>
      <c r="CD101" s="41">
        <v>0</v>
      </c>
      <c r="CE101" s="41">
        <v>0</v>
      </c>
      <c r="CF101" s="41">
        <v>0</v>
      </c>
      <c r="CG101" s="41">
        <v>0</v>
      </c>
      <c r="CH101" s="27">
        <f>SUMPRODUCT(BY94:CB94,CD101:CG101)/CC94</f>
        <v>0</v>
      </c>
      <c r="CI101" s="41">
        <v>0</v>
      </c>
      <c r="CJ101" s="41">
        <v>0</v>
      </c>
      <c r="CK101" s="41">
        <v>0</v>
      </c>
      <c r="CL101" s="41">
        <v>0</v>
      </c>
      <c r="CM101" s="27">
        <f>SUMPRODUCT(CD94:CG94,CI101:CL101)/CH94</f>
        <v>0</v>
      </c>
    </row>
    <row r="102" spans="1:91" x14ac:dyDescent="0.2">
      <c r="A102" s="33" t="s">
        <v>190</v>
      </c>
      <c r="B102" s="114"/>
      <c r="C102" s="114"/>
      <c r="D102" s="114"/>
      <c r="E102" s="114"/>
      <c r="F102" s="115"/>
      <c r="G102" s="114"/>
      <c r="H102" s="114"/>
      <c r="I102" s="114"/>
      <c r="J102" s="114"/>
      <c r="K102" s="115"/>
      <c r="L102" s="80"/>
      <c r="M102" s="80"/>
      <c r="N102" s="80"/>
      <c r="O102" s="80"/>
      <c r="P102" s="35"/>
      <c r="Q102" s="80"/>
      <c r="R102" s="80"/>
      <c r="S102" s="80"/>
      <c r="T102" s="80"/>
      <c r="U102" s="35"/>
      <c r="V102" s="80"/>
      <c r="W102" s="80"/>
      <c r="X102" s="80"/>
      <c r="Y102" s="80"/>
      <c r="Z102" s="35"/>
      <c r="AA102" s="80"/>
      <c r="AB102" s="80"/>
      <c r="AC102" s="80"/>
      <c r="AD102" s="80"/>
      <c r="AE102" s="35"/>
      <c r="AF102" s="80"/>
      <c r="AG102" s="80"/>
      <c r="AH102" s="80"/>
      <c r="AI102" s="80"/>
      <c r="AJ102" s="35"/>
      <c r="AK102" s="80"/>
      <c r="AL102" s="80"/>
      <c r="AM102" s="80"/>
      <c r="AN102" s="80"/>
      <c r="AO102" s="35"/>
      <c r="AP102" s="80"/>
      <c r="AQ102" s="80"/>
      <c r="AR102" s="80"/>
      <c r="AS102" s="80"/>
      <c r="AT102" s="35"/>
      <c r="AU102" s="80"/>
      <c r="AV102" s="80"/>
      <c r="AW102" s="80"/>
      <c r="AX102" s="80"/>
      <c r="AY102" s="35">
        <f t="shared" ref="AY102:BE102" si="135">AY93/AT93-1</f>
        <v>6.0770482908301116E-3</v>
      </c>
      <c r="AZ102" s="80">
        <f t="shared" si="135"/>
        <v>0.12421154779233379</v>
      </c>
      <c r="BA102" s="80">
        <f t="shared" si="135"/>
        <v>6.7660088602496948E-2</v>
      </c>
      <c r="BB102" s="80">
        <f t="shared" si="135"/>
        <v>6.1291649526943548E-2</v>
      </c>
      <c r="BC102" s="80">
        <f t="shared" si="135"/>
        <v>-1.7421602787456303E-3</v>
      </c>
      <c r="BD102" s="35">
        <f t="shared" si="135"/>
        <v>6.1374177542875552E-2</v>
      </c>
      <c r="BE102" s="80">
        <f t="shared" si="135"/>
        <v>1.9421665947345623E-2</v>
      </c>
      <c r="BF102" s="80">
        <f t="shared" ref="BF102:BO102" si="136">BF93/BA93-1</f>
        <v>1.9615239532251971E-2</v>
      </c>
      <c r="BG102" s="80">
        <f t="shared" si="136"/>
        <v>3.1395348837209403E-2</v>
      </c>
      <c r="BH102" s="80">
        <f t="shared" si="136"/>
        <v>7.5916230366492199E-2</v>
      </c>
      <c r="BI102" s="35">
        <f t="shared" si="136"/>
        <v>3.5772357723577342E-2</v>
      </c>
      <c r="BJ102" s="80">
        <f t="shared" si="136"/>
        <v>2.3285351397121179E-2</v>
      </c>
      <c r="BK102" s="80">
        <f t="shared" si="136"/>
        <v>7.3991860895301409E-2</v>
      </c>
      <c r="BL102" s="80">
        <f t="shared" si="136"/>
        <v>4.5095828635851154E-2</v>
      </c>
      <c r="BM102" s="80">
        <f t="shared" si="136"/>
        <v>7.4209245742092422E-2</v>
      </c>
      <c r="BN102" s="35">
        <f>BN93/BI93-1</f>
        <v>5.4748822605965364E-2</v>
      </c>
      <c r="BO102" s="80">
        <f t="shared" si="136"/>
        <v>0.10881257757550689</v>
      </c>
      <c r="BP102" s="80">
        <f>SUM(BP98:BP101)</f>
        <v>0.13720550423750338</v>
      </c>
      <c r="BQ102" s="80">
        <f>SUM(BQ98:BQ101)</f>
        <v>0.14041476396577149</v>
      </c>
      <c r="BR102" s="80">
        <f>SUM(BR98:BR101)</f>
        <v>0.13177726635002079</v>
      </c>
      <c r="BS102" s="35">
        <f>BS93/BN93-1</f>
        <v>0.1303143270652547</v>
      </c>
      <c r="BT102" s="80">
        <f>SUM(BT98:BT101)</f>
        <v>2.9638734991947944E-2</v>
      </c>
      <c r="BU102" s="80">
        <f>SUM(BU98:BU101)</f>
        <v>0.03</v>
      </c>
      <c r="BV102" s="80">
        <f>SUM(BV98:BV101)</f>
        <v>0.03</v>
      </c>
      <c r="BW102" s="80">
        <f>SUM(BW98:BW101)</f>
        <v>2.9999999999999995E-2</v>
      </c>
      <c r="BX102" s="35">
        <f>BX93/BS93-1</f>
        <v>2.9920319326666833E-2</v>
      </c>
      <c r="BY102" s="80">
        <f>SUM(BY98:BY101)</f>
        <v>0.03</v>
      </c>
      <c r="BZ102" s="80">
        <f>SUM(BZ98:BZ101)</f>
        <v>0.03</v>
      </c>
      <c r="CA102" s="80">
        <f>SUM(CA98:CA101)</f>
        <v>0.03</v>
      </c>
      <c r="CB102" s="80">
        <f>SUM(CB98:CB101)</f>
        <v>3.0000000000000016E-2</v>
      </c>
      <c r="CC102" s="35">
        <f>CC93/BX93-1</f>
        <v>3.0000000000000027E-2</v>
      </c>
      <c r="CD102" s="80">
        <f>SUM(CD98:CD101)</f>
        <v>2.7999999999999997E-2</v>
      </c>
      <c r="CE102" s="80">
        <f>SUM(CE98:CE101)</f>
        <v>2.7999999999999997E-2</v>
      </c>
      <c r="CF102" s="80">
        <f>SUM(CF98:CF101)</f>
        <v>2.7999999999999997E-2</v>
      </c>
      <c r="CG102" s="80">
        <f>SUM(CG98:CG101)</f>
        <v>2.8000000000000004E-2</v>
      </c>
      <c r="CH102" s="35">
        <f>CH93/CC93-1</f>
        <v>2.8000000000000025E-2</v>
      </c>
      <c r="CI102" s="80">
        <f>SUM(CI98:CI101)</f>
        <v>2.7999999999999997E-2</v>
      </c>
      <c r="CJ102" s="80">
        <f>SUM(CJ98:CJ101)</f>
        <v>2.7999999999999997E-2</v>
      </c>
      <c r="CK102" s="80">
        <f>SUM(CK98:CK101)</f>
        <v>2.7999999999999997E-2</v>
      </c>
      <c r="CL102" s="80">
        <f>SUM(CL98:CL101)</f>
        <v>2.8000000000000011E-2</v>
      </c>
      <c r="CM102" s="35">
        <f>CM93/CH93-1</f>
        <v>2.7999999999999803E-2</v>
      </c>
    </row>
    <row r="103" spans="1:91" x14ac:dyDescent="0.2">
      <c r="A103" s="63"/>
      <c r="B103" s="49"/>
      <c r="C103" s="49"/>
      <c r="D103" s="49"/>
      <c r="E103" s="49"/>
      <c r="F103" s="66"/>
      <c r="G103" s="49"/>
      <c r="H103" s="49"/>
      <c r="I103" s="49"/>
      <c r="J103" s="49"/>
      <c r="K103" s="66"/>
      <c r="L103" s="42"/>
      <c r="M103" s="42"/>
      <c r="N103" s="42"/>
      <c r="O103" s="42"/>
      <c r="P103" s="66"/>
      <c r="Q103" s="148"/>
      <c r="R103" s="148"/>
      <c r="S103" s="148"/>
      <c r="T103" s="148"/>
      <c r="U103" s="149"/>
      <c r="V103" s="148"/>
      <c r="W103" s="148"/>
      <c r="X103" s="148"/>
      <c r="Y103" s="148"/>
      <c r="Z103" s="149"/>
      <c r="AA103" s="62">
        <f>AVERAGE(AA108,V108)</f>
        <v>5.5000000000000007E-2</v>
      </c>
      <c r="AB103" s="62">
        <f>AVERAGE(AB108,W108)</f>
        <v>7.4999999999999997E-2</v>
      </c>
      <c r="AC103" s="62">
        <f>AVERAGE(AC108,X108)</f>
        <v>0.08</v>
      </c>
      <c r="AD103" s="62">
        <f>AVERAGE(AD108,Y108)</f>
        <v>6.5000000000000002E-2</v>
      </c>
      <c r="AE103" s="149"/>
      <c r="AF103" s="129"/>
      <c r="AG103" s="129"/>
      <c r="AH103" s="129"/>
      <c r="AI103" s="129"/>
      <c r="AJ103" s="149"/>
      <c r="AK103" s="62"/>
      <c r="AL103" s="62"/>
      <c r="AM103" s="62"/>
      <c r="AN103" s="62"/>
      <c r="AO103" s="149"/>
      <c r="AP103" s="62"/>
      <c r="AQ103" s="62"/>
      <c r="AR103" s="62"/>
      <c r="AS103" s="62"/>
      <c r="AT103" s="149"/>
      <c r="AU103" s="62"/>
      <c r="AV103" s="62"/>
      <c r="AW103" s="62"/>
      <c r="AX103" s="62"/>
      <c r="AY103" s="149"/>
      <c r="AZ103" s="62"/>
      <c r="BA103" s="62"/>
      <c r="BB103" s="62"/>
      <c r="BC103" s="62"/>
      <c r="BD103" s="149"/>
      <c r="BE103" s="62"/>
      <c r="BF103" s="62"/>
      <c r="BG103" s="62"/>
      <c r="BH103" s="62"/>
      <c r="BI103" s="651"/>
      <c r="BJ103" s="650"/>
      <c r="BK103" s="650"/>
      <c r="BL103" s="650"/>
      <c r="BM103" s="650"/>
      <c r="BN103" s="651"/>
      <c r="BO103" s="650"/>
      <c r="BP103" s="650"/>
      <c r="BQ103" s="650"/>
      <c r="BR103" s="650"/>
      <c r="BS103" s="651"/>
      <c r="BT103" s="62"/>
      <c r="BU103" s="62"/>
      <c r="BV103" s="50"/>
      <c r="BW103" s="50"/>
      <c r="BX103" s="66"/>
      <c r="BY103" s="62"/>
      <c r="BZ103" s="62"/>
      <c r="CA103" s="50"/>
      <c r="CB103" s="50"/>
      <c r="CC103" s="66"/>
      <c r="CD103" s="62"/>
      <c r="CE103" s="62"/>
      <c r="CF103" s="50"/>
      <c r="CG103" s="50"/>
      <c r="CH103" s="66"/>
      <c r="CI103" s="62"/>
      <c r="CJ103" s="62"/>
      <c r="CK103" s="50"/>
      <c r="CL103" s="50"/>
      <c r="CM103" s="66"/>
    </row>
    <row r="104" spans="1:91" x14ac:dyDescent="0.2">
      <c r="A104" s="52" t="s">
        <v>388</v>
      </c>
      <c r="B104" s="53">
        <v>967</v>
      </c>
      <c r="C104" s="53">
        <v>1169</v>
      </c>
      <c r="D104" s="53">
        <v>1121</v>
      </c>
      <c r="E104" s="53">
        <v>1016</v>
      </c>
      <c r="F104" s="65">
        <f>SUM(B104:E104)</f>
        <v>4273</v>
      </c>
      <c r="G104" s="53">
        <v>886</v>
      </c>
      <c r="H104" s="53">
        <v>1079</v>
      </c>
      <c r="I104" s="53">
        <v>1134</v>
      </c>
      <c r="J104" s="53">
        <v>1019</v>
      </c>
      <c r="K104" s="65">
        <f>SUM(G104:J104)</f>
        <v>4118</v>
      </c>
      <c r="L104" s="53">
        <v>939</v>
      </c>
      <c r="M104" s="53">
        <v>1170</v>
      </c>
      <c r="N104" s="53">
        <v>1206</v>
      </c>
      <c r="O104" s="53">
        <v>1091</v>
      </c>
      <c r="P104" s="65">
        <f>SUM(L104:O104)</f>
        <v>4406</v>
      </c>
      <c r="Q104" s="53">
        <v>1004</v>
      </c>
      <c r="R104" s="53">
        <v>1324</v>
      </c>
      <c r="S104" s="53">
        <v>1276</v>
      </c>
      <c r="T104" s="53">
        <v>1091</v>
      </c>
      <c r="U104" s="65">
        <f>SUM(Q104:T104)</f>
        <v>4695</v>
      </c>
      <c r="V104" s="53">
        <v>1140</v>
      </c>
      <c r="W104" s="53">
        <v>1322</v>
      </c>
      <c r="X104" s="53">
        <v>1269</v>
      </c>
      <c r="Y104" s="53">
        <v>1144</v>
      </c>
      <c r="Z104" s="65">
        <f>SUM(V104:Y104)</f>
        <v>4875</v>
      </c>
      <c r="AA104" s="53">
        <v>1260</v>
      </c>
      <c r="AB104" s="53">
        <v>1408</v>
      </c>
      <c r="AC104" s="53">
        <v>1574</v>
      </c>
      <c r="AD104" s="53">
        <v>1253</v>
      </c>
      <c r="AE104" s="65">
        <f>SUM(AA104:AD104)</f>
        <v>5495</v>
      </c>
      <c r="AF104" s="53">
        <v>1291</v>
      </c>
      <c r="AG104" s="53">
        <v>1700</v>
      </c>
      <c r="AH104" s="53">
        <v>1704</v>
      </c>
      <c r="AI104" s="53">
        <v>1394</v>
      </c>
      <c r="AJ104" s="65">
        <f>SUM(AF104:AI104)</f>
        <v>6089</v>
      </c>
      <c r="AK104" s="53">
        <v>1448</v>
      </c>
      <c r="AL104" s="53">
        <v>1827</v>
      </c>
      <c r="AM104" s="53">
        <v>1646</v>
      </c>
      <c r="AN104" s="53">
        <v>1387</v>
      </c>
      <c r="AO104" s="65">
        <f>SUM(AK104:AN104)</f>
        <v>6308</v>
      </c>
      <c r="AP104" s="53">
        <v>1390</v>
      </c>
      <c r="AQ104" s="53">
        <v>1730</v>
      </c>
      <c r="AR104" s="53">
        <v>1496</v>
      </c>
      <c r="AS104" s="53">
        <v>1253</v>
      </c>
      <c r="AT104" s="65">
        <f>SUM(AP104:AS104)</f>
        <v>5869</v>
      </c>
      <c r="AU104" s="53">
        <v>1315</v>
      </c>
      <c r="AV104" s="53">
        <v>1723</v>
      </c>
      <c r="AW104" s="53">
        <v>1575</v>
      </c>
      <c r="AX104" s="53">
        <v>1133</v>
      </c>
      <c r="AY104" s="65">
        <f>SUM(AU104:AX104)</f>
        <v>5746</v>
      </c>
      <c r="AZ104" s="53">
        <v>1285</v>
      </c>
      <c r="BA104" s="547">
        <v>1601</v>
      </c>
      <c r="BB104" s="547">
        <v>1406</v>
      </c>
      <c r="BC104" s="547">
        <v>960</v>
      </c>
      <c r="BD104" s="65">
        <f>SUM(AZ104:BC104)</f>
        <v>5252</v>
      </c>
      <c r="BE104" s="547">
        <v>1235</v>
      </c>
      <c r="BF104" s="53">
        <v>1560</v>
      </c>
      <c r="BG104" s="53">
        <v>1460</v>
      </c>
      <c r="BH104" s="53">
        <v>1039</v>
      </c>
      <c r="BI104" s="65">
        <f>SUM(BE104:BH104)</f>
        <v>5294</v>
      </c>
      <c r="BJ104" s="53">
        <v>1208</v>
      </c>
      <c r="BK104" s="53">
        <v>1507</v>
      </c>
      <c r="BL104" s="53">
        <v>1432</v>
      </c>
      <c r="BM104" s="53">
        <v>1029</v>
      </c>
      <c r="BN104" s="65">
        <f>SUM(BJ104:BM104)</f>
        <v>5176</v>
      </c>
      <c r="BO104" s="53">
        <v>1218</v>
      </c>
      <c r="BP104" s="53">
        <f>BK104*(1+BP113)</f>
        <v>1520.0780093821113</v>
      </c>
      <c r="BQ104" s="53">
        <f>BL104*(1+BQ113)</f>
        <v>1376.7138615818953</v>
      </c>
      <c r="BR104" s="53">
        <f>BM104*(1+BR113)</f>
        <v>1018.1317932989583</v>
      </c>
      <c r="BS104" s="65">
        <f>SUM(BO104:BR104)</f>
        <v>5132.9236642629658</v>
      </c>
      <c r="BT104" s="53">
        <f>BO104*(1+BT113)</f>
        <v>1258.7130545259404</v>
      </c>
      <c r="BU104" s="53">
        <f>BP104*(1+BU113)</f>
        <v>1573.280739710485</v>
      </c>
      <c r="BV104" s="53">
        <f>BQ104*(1+BV113)</f>
        <v>1424.8988467372615</v>
      </c>
      <c r="BW104" s="53">
        <f>BR104*(1+BW113)</f>
        <v>1053.7664060644217</v>
      </c>
      <c r="BX104" s="65">
        <f>SUM(BT104:BW104)</f>
        <v>5310.6590470381088</v>
      </c>
      <c r="BY104" s="53">
        <f>BT104*(1+BY113)</f>
        <v>1302.7680114343482</v>
      </c>
      <c r="BZ104" s="53">
        <f>BU104*(1+BZ113)</f>
        <v>1628.3455656003518</v>
      </c>
      <c r="CA104" s="53">
        <f>BV104*(1+CA113)</f>
        <v>1474.7703063730655</v>
      </c>
      <c r="CB104" s="53">
        <f>BW104*(1+CB113)</f>
        <v>1090.6482302766765</v>
      </c>
      <c r="CC104" s="65">
        <f>SUM(BY104:CB104)</f>
        <v>5496.5321136844414</v>
      </c>
      <c r="CD104" s="53">
        <f>BY104*(1+CD113)</f>
        <v>1348.3648918345502</v>
      </c>
      <c r="CE104" s="53">
        <f>BZ104*(1+CE113)</f>
        <v>1685.3376603963641</v>
      </c>
      <c r="CF104" s="53">
        <f>CA104*(1+CF113)</f>
        <v>1526.3872670961227</v>
      </c>
      <c r="CG104" s="53">
        <f>CB104*(1+CG113)</f>
        <v>1128.8209183363601</v>
      </c>
      <c r="CH104" s="65">
        <f>SUM(CD104:CG104)</f>
        <v>5688.9107376633965</v>
      </c>
      <c r="CI104" s="53">
        <f>CD104*(1+CI113)</f>
        <v>1395.5576630487594</v>
      </c>
      <c r="CJ104" s="53">
        <f>CE104*(1+CJ113)</f>
        <v>1744.3244785102368</v>
      </c>
      <c r="CK104" s="53">
        <f>CF104*(1+CK113)</f>
        <v>1579.8108214444869</v>
      </c>
      <c r="CL104" s="53">
        <f>CG104*(1+CL113)</f>
        <v>1168.3296504781326</v>
      </c>
      <c r="CM104" s="65">
        <f>SUM(CI104:CL104)</f>
        <v>5888.0226134816157</v>
      </c>
    </row>
    <row r="105" spans="1:91" x14ac:dyDescent="0.2">
      <c r="A105" s="45" t="s">
        <v>194</v>
      </c>
      <c r="B105" s="61" t="s">
        <v>169</v>
      </c>
      <c r="C105" s="61" t="s">
        <v>169</v>
      </c>
      <c r="D105" s="61" t="s">
        <v>169</v>
      </c>
      <c r="E105" s="61" t="s">
        <v>169</v>
      </c>
      <c r="F105" s="113" t="s">
        <v>169</v>
      </c>
      <c r="G105" s="61" t="s">
        <v>169</v>
      </c>
      <c r="H105" s="61" t="s">
        <v>169</v>
      </c>
      <c r="I105" s="61" t="s">
        <v>169</v>
      </c>
      <c r="J105" s="61" t="s">
        <v>169</v>
      </c>
      <c r="K105" s="113" t="s">
        <v>169</v>
      </c>
      <c r="L105" s="105">
        <f>-50+17</f>
        <v>-33</v>
      </c>
      <c r="M105" s="105">
        <f>-135+12</f>
        <v>-123</v>
      </c>
      <c r="N105" s="105">
        <f>-112+19</f>
        <v>-93</v>
      </c>
      <c r="O105" s="70">
        <v>-112</v>
      </c>
      <c r="P105" s="77">
        <v>-409</v>
      </c>
      <c r="Q105" s="70">
        <v>-91</v>
      </c>
      <c r="R105" s="70">
        <v>-97</v>
      </c>
      <c r="S105" s="70">
        <v>-84</v>
      </c>
      <c r="T105" s="70">
        <v>-65</v>
      </c>
      <c r="U105" s="77">
        <f>SUM(Q105:T105)</f>
        <v>-337</v>
      </c>
      <c r="V105" s="70">
        <v>-94</v>
      </c>
      <c r="W105" s="70">
        <v>-87</v>
      </c>
      <c r="X105" s="70">
        <v>-87</v>
      </c>
      <c r="Y105" s="70">
        <v>-74</v>
      </c>
      <c r="Z105" s="77">
        <f>SUM(V105:Y105)</f>
        <v>-342</v>
      </c>
      <c r="AA105" s="70">
        <v>-138</v>
      </c>
      <c r="AB105" s="70">
        <v>-133</v>
      </c>
      <c r="AC105" s="70">
        <v>-134</v>
      </c>
      <c r="AD105" s="70">
        <v>-53</v>
      </c>
      <c r="AE105" s="77">
        <f>SUM(AA105:AD105)</f>
        <v>-458</v>
      </c>
      <c r="AF105" s="70">
        <v>-122</v>
      </c>
      <c r="AG105" s="70">
        <v>-153</v>
      </c>
      <c r="AH105" s="70">
        <v>-155</v>
      </c>
      <c r="AI105" s="70">
        <v>-106</v>
      </c>
      <c r="AJ105" s="77">
        <f>SUM(AF105:AI105)</f>
        <v>-536</v>
      </c>
      <c r="AK105" s="70">
        <v>-138</v>
      </c>
      <c r="AL105" s="70">
        <v>-184</v>
      </c>
      <c r="AM105" s="70">
        <v>-176</v>
      </c>
      <c r="AN105" s="70">
        <v>-130</v>
      </c>
      <c r="AO105" s="77">
        <f>SUM(AK105:AN105)</f>
        <v>-628</v>
      </c>
      <c r="AP105" s="70">
        <v>-146</v>
      </c>
      <c r="AQ105" s="70">
        <v>-157</v>
      </c>
      <c r="AR105" s="70">
        <v>-128</v>
      </c>
      <c r="AS105" s="70">
        <v>-66</v>
      </c>
      <c r="AT105" s="77">
        <f>SUM(AP105:AS105)</f>
        <v>-497</v>
      </c>
      <c r="AU105" s="70">
        <v>-105</v>
      </c>
      <c r="AV105" s="70">
        <v>-173</v>
      </c>
      <c r="AW105" s="70">
        <v>-154</v>
      </c>
      <c r="AX105" s="70">
        <v>-57</v>
      </c>
      <c r="AY105" s="77">
        <f>SUM(AU105:AX105)</f>
        <v>-489</v>
      </c>
      <c r="AZ105" s="70">
        <v>-129</v>
      </c>
      <c r="BA105" s="548">
        <v>-188</v>
      </c>
      <c r="BB105" s="548">
        <v>-159</v>
      </c>
      <c r="BC105" s="548">
        <v>-69</v>
      </c>
      <c r="BD105" s="77">
        <f>SUM(AZ105:BC105)</f>
        <v>-545</v>
      </c>
      <c r="BE105" s="548">
        <v>-133</v>
      </c>
      <c r="BF105" s="70">
        <v>-159</v>
      </c>
      <c r="BG105" s="70">
        <v>-145</v>
      </c>
      <c r="BH105" s="70">
        <v>-69</v>
      </c>
      <c r="BI105" s="77">
        <f>SUM(BE105:BH105)</f>
        <v>-506</v>
      </c>
      <c r="BJ105" s="70">
        <v>-130</v>
      </c>
      <c r="BK105" s="70">
        <v>-123</v>
      </c>
      <c r="BL105" s="70">
        <v>-87</v>
      </c>
      <c r="BM105" s="70">
        <v>-69</v>
      </c>
      <c r="BN105" s="77">
        <f>SUM(BJ105:BM105)</f>
        <v>-409</v>
      </c>
      <c r="BO105" s="70">
        <v>-106</v>
      </c>
      <c r="BP105" s="70">
        <f>-BP106*BP104</f>
        <v>-124.06741549701373</v>
      </c>
      <c r="BQ105" s="70">
        <f>-BQ106*BQ104</f>
        <v>-83.641135445268773</v>
      </c>
      <c r="BR105" s="70">
        <f>-BR106*BR104</f>
        <v>-68.271228122087578</v>
      </c>
      <c r="BS105" s="77">
        <f>SUM(BO105:BR105)</f>
        <v>-381.97977906437006</v>
      </c>
      <c r="BT105" s="70">
        <f>-BT106*BT104</f>
        <v>-109.54317223296361</v>
      </c>
      <c r="BU105" s="70">
        <f>-BU106*BU104</f>
        <v>-128.4097750394092</v>
      </c>
      <c r="BV105" s="70">
        <f>-BV106*BV104</f>
        <v>-86.568575185853177</v>
      </c>
      <c r="BW105" s="70">
        <f>-BW106*BW104</f>
        <v>-70.66072110636064</v>
      </c>
      <c r="BX105" s="77">
        <f>SUM(BT105:BW105)</f>
        <v>-395.1822435645866</v>
      </c>
      <c r="BY105" s="70">
        <f>-BY106*BY104</f>
        <v>-113.37718326111734</v>
      </c>
      <c r="BZ105" s="70">
        <f>-BZ106*BZ104</f>
        <v>-132.90411716578851</v>
      </c>
      <c r="CA105" s="70">
        <f>-CA106*CA104</f>
        <v>-89.598475317358023</v>
      </c>
      <c r="CB105" s="70">
        <f>-CB106*CB104</f>
        <v>-73.133846345083271</v>
      </c>
      <c r="CC105" s="77">
        <f>SUM(BY105:CB105)</f>
        <v>-409.01362208934711</v>
      </c>
      <c r="CD105" s="70">
        <f>-CD106*CD104</f>
        <v>-117.34538467525643</v>
      </c>
      <c r="CE105" s="70">
        <f>-CE106*CE104</f>
        <v>-137.55576126659111</v>
      </c>
      <c r="CF105" s="70">
        <f>-CF106*CF104</f>
        <v>-92.734421953465556</v>
      </c>
      <c r="CG105" s="70">
        <f>-CG106*CG104</f>
        <v>-75.69353096716118</v>
      </c>
      <c r="CH105" s="77">
        <f>SUM(CD105:CG105)</f>
        <v>-423.32909886247427</v>
      </c>
      <c r="CI105" s="70">
        <f>-CI106*CI104</f>
        <v>-121.4524731388904</v>
      </c>
      <c r="CJ105" s="70">
        <f>-CJ106*CJ104</f>
        <v>-142.37021291092179</v>
      </c>
      <c r="CK105" s="70">
        <f>-CK106*CK104</f>
        <v>-95.980126721836839</v>
      </c>
      <c r="CL105" s="70">
        <f>-CL106*CL104</f>
        <v>-78.34280455101181</v>
      </c>
      <c r="CM105" s="77">
        <f>SUM(CI105:CL105)</f>
        <v>-438.14561732266083</v>
      </c>
    </row>
    <row r="106" spans="1:91" hidden="1" outlineLevel="1" x14ac:dyDescent="0.2">
      <c r="A106" s="45" t="s">
        <v>196</v>
      </c>
      <c r="B106" s="61" t="s">
        <v>169</v>
      </c>
      <c r="C106" s="61" t="s">
        <v>169</v>
      </c>
      <c r="D106" s="61" t="s">
        <v>169</v>
      </c>
      <c r="E106" s="61" t="s">
        <v>169</v>
      </c>
      <c r="F106" s="113" t="s">
        <v>169</v>
      </c>
      <c r="G106" s="61" t="s">
        <v>169</v>
      </c>
      <c r="H106" s="61" t="s">
        <v>169</v>
      </c>
      <c r="I106" s="61" t="s">
        <v>169</v>
      </c>
      <c r="J106" s="61" t="s">
        <v>169</v>
      </c>
      <c r="K106" s="113" t="s">
        <v>169</v>
      </c>
      <c r="L106" s="36">
        <f t="shared" ref="L106:AN106" si="137">-L105/L104</f>
        <v>3.5143769968051117E-2</v>
      </c>
      <c r="M106" s="36">
        <f t="shared" si="137"/>
        <v>0.10512820512820513</v>
      </c>
      <c r="N106" s="36">
        <f t="shared" si="137"/>
        <v>7.7114427860696513E-2</v>
      </c>
      <c r="O106" s="36">
        <f t="shared" si="137"/>
        <v>0.10265811182401467</v>
      </c>
      <c r="P106" s="27">
        <f t="shared" si="137"/>
        <v>9.2827961870177028E-2</v>
      </c>
      <c r="Q106" s="36">
        <f t="shared" si="137"/>
        <v>9.063745019920319E-2</v>
      </c>
      <c r="R106" s="36">
        <f t="shared" si="137"/>
        <v>7.3262839879154079E-2</v>
      </c>
      <c r="S106" s="36">
        <f t="shared" si="137"/>
        <v>6.5830721003134793E-2</v>
      </c>
      <c r="T106" s="36">
        <f t="shared" si="137"/>
        <v>5.9578368469294228E-2</v>
      </c>
      <c r="U106" s="27">
        <f t="shared" si="137"/>
        <v>7.1778487752928652E-2</v>
      </c>
      <c r="V106" s="36">
        <f t="shared" si="137"/>
        <v>8.24561403508772E-2</v>
      </c>
      <c r="W106" s="36">
        <f t="shared" si="137"/>
        <v>6.580937972768533E-2</v>
      </c>
      <c r="X106" s="36">
        <f t="shared" si="137"/>
        <v>6.8557919621749411E-2</v>
      </c>
      <c r="Y106" s="36">
        <f t="shared" si="137"/>
        <v>6.4685314685314688E-2</v>
      </c>
      <c r="Z106" s="27">
        <f t="shared" si="137"/>
        <v>7.015384615384615E-2</v>
      </c>
      <c r="AA106" s="36">
        <f t="shared" si="137"/>
        <v>0.10952380952380952</v>
      </c>
      <c r="AB106" s="36">
        <f t="shared" si="137"/>
        <v>9.4460227272727279E-2</v>
      </c>
      <c r="AC106" s="36">
        <f t="shared" si="137"/>
        <v>8.5133418043202028E-2</v>
      </c>
      <c r="AD106" s="36">
        <f t="shared" si="137"/>
        <v>4.2298483639265763E-2</v>
      </c>
      <c r="AE106" s="27">
        <f>-AE105/AE104</f>
        <v>8.3348498635122836E-2</v>
      </c>
      <c r="AF106" s="36">
        <f t="shared" si="137"/>
        <v>9.450038729666925E-2</v>
      </c>
      <c r="AG106" s="36">
        <f t="shared" si="137"/>
        <v>0.09</v>
      </c>
      <c r="AH106" s="36">
        <f t="shared" si="137"/>
        <v>9.0962441314553985E-2</v>
      </c>
      <c r="AI106" s="36">
        <f t="shared" si="137"/>
        <v>7.6040172166427542E-2</v>
      </c>
      <c r="AJ106" s="27">
        <f>-AJ105/AJ104</f>
        <v>8.80275907373953E-2</v>
      </c>
      <c r="AK106" s="36">
        <f t="shared" si="137"/>
        <v>9.5303867403314924E-2</v>
      </c>
      <c r="AL106" s="36">
        <f t="shared" si="137"/>
        <v>0.10071154898741105</v>
      </c>
      <c r="AM106" s="36">
        <f t="shared" si="137"/>
        <v>0.10692588092345079</v>
      </c>
      <c r="AN106" s="36">
        <f t="shared" si="137"/>
        <v>9.372746935832732E-2</v>
      </c>
      <c r="AO106" s="27">
        <f t="shared" ref="AO106:BG106" si="138">-AO105/AO104</f>
        <v>9.9556119213696892E-2</v>
      </c>
      <c r="AP106" s="36">
        <f t="shared" si="138"/>
        <v>0.10503597122302158</v>
      </c>
      <c r="AQ106" s="36">
        <f t="shared" si="138"/>
        <v>9.0751445086705199E-2</v>
      </c>
      <c r="AR106" s="36">
        <f t="shared" si="138"/>
        <v>8.5561497326203204E-2</v>
      </c>
      <c r="AS106" s="36">
        <f t="shared" si="138"/>
        <v>5.2673583399840386E-2</v>
      </c>
      <c r="AT106" s="27">
        <f t="shared" si="138"/>
        <v>8.4682228659056058E-2</v>
      </c>
      <c r="AU106" s="36">
        <f t="shared" si="138"/>
        <v>7.9847908745247151E-2</v>
      </c>
      <c r="AV106" s="36">
        <f t="shared" si="138"/>
        <v>0.1004062681369704</v>
      </c>
      <c r="AW106" s="36">
        <f t="shared" si="138"/>
        <v>9.7777777777777783E-2</v>
      </c>
      <c r="AX106" s="36">
        <f t="shared" si="138"/>
        <v>5.0308914386584289E-2</v>
      </c>
      <c r="AY106" s="27">
        <f>-AY105/AY104</f>
        <v>8.5102680125304558E-2</v>
      </c>
      <c r="AZ106" s="36">
        <f t="shared" si="138"/>
        <v>0.10038910505836576</v>
      </c>
      <c r="BA106" s="36">
        <f t="shared" si="138"/>
        <v>0.1174266083697689</v>
      </c>
      <c r="BB106" s="36">
        <f t="shared" si="138"/>
        <v>0.11308677098150782</v>
      </c>
      <c r="BC106" s="36">
        <f t="shared" si="138"/>
        <v>7.1874999999999994E-2</v>
      </c>
      <c r="BD106" s="27">
        <f>-BD105/BD104</f>
        <v>0.10376999238385377</v>
      </c>
      <c r="BE106" s="36">
        <f t="shared" si="138"/>
        <v>0.1076923076923077</v>
      </c>
      <c r="BF106" s="36">
        <f t="shared" si="138"/>
        <v>0.10192307692307692</v>
      </c>
      <c r="BG106" s="36">
        <f t="shared" si="138"/>
        <v>9.9315068493150679E-2</v>
      </c>
      <c r="BH106" s="36">
        <f t="shared" ref="BH106:BK106" si="139">-BH105/BH104</f>
        <v>6.6410009624639083E-2</v>
      </c>
      <c r="BI106" s="27">
        <f>-BI105/BI104</f>
        <v>9.5579901775595014E-2</v>
      </c>
      <c r="BJ106" s="36">
        <f t="shared" si="139"/>
        <v>0.10761589403973509</v>
      </c>
      <c r="BK106" s="36">
        <f t="shared" si="139"/>
        <v>8.1619110816191109E-2</v>
      </c>
      <c r="BL106" s="36">
        <f t="shared" ref="BL106:BM106" si="140">-BL105/BL104</f>
        <v>6.0754189944134077E-2</v>
      </c>
      <c r="BM106" s="36">
        <f t="shared" si="140"/>
        <v>6.7055393586005832E-2</v>
      </c>
      <c r="BN106" s="27">
        <f>-BN105/BN104</f>
        <v>7.9018547140649154E-2</v>
      </c>
      <c r="BO106" s="36">
        <f t="shared" ref="BO106" si="141">-BO105/BO104</f>
        <v>8.7027914614121515E-2</v>
      </c>
      <c r="BP106" s="41">
        <f>BK106</f>
        <v>8.1619110816191109E-2</v>
      </c>
      <c r="BQ106" s="41">
        <f>BL106</f>
        <v>6.0754189944134077E-2</v>
      </c>
      <c r="BR106" s="41">
        <f>BM106</f>
        <v>6.7055393586005832E-2</v>
      </c>
      <c r="BS106" s="27">
        <f>-BS105/BS104</f>
        <v>7.4417584216931537E-2</v>
      </c>
      <c r="BT106" s="41">
        <f>BO106</f>
        <v>8.7027914614121515E-2</v>
      </c>
      <c r="BU106" s="41">
        <f>BP106</f>
        <v>8.1619110816191109E-2</v>
      </c>
      <c r="BV106" s="41">
        <f>BQ106</f>
        <v>6.0754189944134077E-2</v>
      </c>
      <c r="BW106" s="41">
        <f>BR106</f>
        <v>6.7055393586005832E-2</v>
      </c>
      <c r="BX106" s="27">
        <f>-BX105/BX104</f>
        <v>7.4413032368362997E-2</v>
      </c>
      <c r="BY106" s="41">
        <f>BT106</f>
        <v>8.7027914614121515E-2</v>
      </c>
      <c r="BZ106" s="41">
        <f>BU106</f>
        <v>8.1619110816191109E-2</v>
      </c>
      <c r="CA106" s="41">
        <f>BV106</f>
        <v>6.0754189944134077E-2</v>
      </c>
      <c r="CB106" s="41">
        <f>BW106</f>
        <v>6.7055393586005832E-2</v>
      </c>
      <c r="CC106" s="27">
        <f>-CC105/CC104</f>
        <v>7.4413032368363011E-2</v>
      </c>
      <c r="CD106" s="41">
        <f>BY106</f>
        <v>8.7027914614121515E-2</v>
      </c>
      <c r="CE106" s="41">
        <f>BZ106</f>
        <v>8.1619110816191109E-2</v>
      </c>
      <c r="CF106" s="41">
        <f>CA106</f>
        <v>6.0754189944134077E-2</v>
      </c>
      <c r="CG106" s="41">
        <f>CB106</f>
        <v>6.7055393586005832E-2</v>
      </c>
      <c r="CH106" s="27">
        <f>-CH105/CH104</f>
        <v>7.4413032368363025E-2</v>
      </c>
      <c r="CI106" s="41">
        <f>CD106</f>
        <v>8.7027914614121515E-2</v>
      </c>
      <c r="CJ106" s="41">
        <f>CE106</f>
        <v>8.1619110816191109E-2</v>
      </c>
      <c r="CK106" s="41">
        <f>CF106</f>
        <v>6.0754189944134077E-2</v>
      </c>
      <c r="CL106" s="41">
        <f>CG106</f>
        <v>6.7055393586005832E-2</v>
      </c>
      <c r="CM106" s="27">
        <f>-CM105/CM104</f>
        <v>7.4413032368363011E-2</v>
      </c>
    </row>
    <row r="107" spans="1:91" collapsed="1" x14ac:dyDescent="0.2">
      <c r="A107" s="58" t="s">
        <v>198</v>
      </c>
      <c r="B107" s="61">
        <f t="shared" ref="B107:K107" si="142">B104</f>
        <v>967</v>
      </c>
      <c r="C107" s="61">
        <f t="shared" si="142"/>
        <v>1169</v>
      </c>
      <c r="D107" s="61">
        <f t="shared" si="142"/>
        <v>1121</v>
      </c>
      <c r="E107" s="61">
        <f t="shared" si="142"/>
        <v>1016</v>
      </c>
      <c r="F107" s="65">
        <f t="shared" si="142"/>
        <v>4273</v>
      </c>
      <c r="G107" s="61">
        <f t="shared" si="142"/>
        <v>886</v>
      </c>
      <c r="H107" s="61">
        <f t="shared" si="142"/>
        <v>1079</v>
      </c>
      <c r="I107" s="61">
        <f t="shared" si="142"/>
        <v>1134</v>
      </c>
      <c r="J107" s="61">
        <f t="shared" si="142"/>
        <v>1019</v>
      </c>
      <c r="K107" s="65">
        <f t="shared" si="142"/>
        <v>4118</v>
      </c>
      <c r="L107" s="53">
        <f t="shared" ref="L107:AD107" si="143">SUM(L104,L105)</f>
        <v>906</v>
      </c>
      <c r="M107" s="53">
        <f t="shared" si="143"/>
        <v>1047</v>
      </c>
      <c r="N107" s="53">
        <f t="shared" si="143"/>
        <v>1113</v>
      </c>
      <c r="O107" s="53">
        <f t="shared" si="143"/>
        <v>979</v>
      </c>
      <c r="P107" s="65">
        <f t="shared" si="143"/>
        <v>3997</v>
      </c>
      <c r="Q107" s="53">
        <f t="shared" si="143"/>
        <v>913</v>
      </c>
      <c r="R107" s="53">
        <f t="shared" si="143"/>
        <v>1227</v>
      </c>
      <c r="S107" s="53">
        <f t="shared" si="143"/>
        <v>1192</v>
      </c>
      <c r="T107" s="53">
        <f t="shared" si="143"/>
        <v>1026</v>
      </c>
      <c r="U107" s="65">
        <f t="shared" si="143"/>
        <v>4358</v>
      </c>
      <c r="V107" s="53">
        <f t="shared" si="143"/>
        <v>1046</v>
      </c>
      <c r="W107" s="53">
        <f t="shared" si="143"/>
        <v>1235</v>
      </c>
      <c r="X107" s="53">
        <f t="shared" si="143"/>
        <v>1182</v>
      </c>
      <c r="Y107" s="53">
        <f t="shared" si="143"/>
        <v>1070</v>
      </c>
      <c r="Z107" s="65">
        <f t="shared" si="143"/>
        <v>4533</v>
      </c>
      <c r="AA107" s="53">
        <f t="shared" si="143"/>
        <v>1122</v>
      </c>
      <c r="AB107" s="53">
        <f t="shared" si="143"/>
        <v>1275</v>
      </c>
      <c r="AC107" s="53">
        <f t="shared" si="143"/>
        <v>1440</v>
      </c>
      <c r="AD107" s="53">
        <f t="shared" si="143"/>
        <v>1200</v>
      </c>
      <c r="AE107" s="65">
        <f>SUM(AA107:AD107)</f>
        <v>5037</v>
      </c>
      <c r="AF107" s="53">
        <f>SUM(AF104,AF105)</f>
        <v>1169</v>
      </c>
      <c r="AG107" s="53">
        <f>SUM(AG104,AG105)</f>
        <v>1547</v>
      </c>
      <c r="AH107" s="53">
        <f>SUM(AH104,AH105)</f>
        <v>1549</v>
      </c>
      <c r="AI107" s="53">
        <f>SUM(AI104,AI105)</f>
        <v>1288</v>
      </c>
      <c r="AJ107" s="65">
        <f>SUM(AF107:AI107)</f>
        <v>5553</v>
      </c>
      <c r="AK107" s="53">
        <f>SUM(AK104,AK105)</f>
        <v>1310</v>
      </c>
      <c r="AL107" s="53">
        <f>SUM(AL104,AL105)</f>
        <v>1643</v>
      </c>
      <c r="AM107" s="53">
        <f>SUM(AM104,AM105)</f>
        <v>1470</v>
      </c>
      <c r="AN107" s="53">
        <f>SUM(AN104,AN105)</f>
        <v>1257</v>
      </c>
      <c r="AO107" s="65">
        <f>SUM(AK107:AN107)</f>
        <v>5680</v>
      </c>
      <c r="AP107" s="53">
        <f>SUM(AP104,AP105)</f>
        <v>1244</v>
      </c>
      <c r="AQ107" s="53">
        <f>SUM(AQ104,AQ105)</f>
        <v>1573</v>
      </c>
      <c r="AR107" s="53">
        <f>SUM(AR104,AR105)</f>
        <v>1368</v>
      </c>
      <c r="AS107" s="53">
        <f>SUM(AS104,AS105)</f>
        <v>1187</v>
      </c>
      <c r="AT107" s="65">
        <f>SUM(AP107:AS107)</f>
        <v>5372</v>
      </c>
      <c r="AU107" s="53">
        <f>SUM(AU104,AU105)</f>
        <v>1210</v>
      </c>
      <c r="AV107" s="53">
        <f>SUM(AV104,AV105)</f>
        <v>1550</v>
      </c>
      <c r="AW107" s="53">
        <f>SUM(AW104,AW105)</f>
        <v>1421</v>
      </c>
      <c r="AX107" s="53">
        <f>SUM(AX104,AX105)</f>
        <v>1076</v>
      </c>
      <c r="AY107" s="65">
        <f>SUM(AU107:AX107)</f>
        <v>5257</v>
      </c>
      <c r="AZ107" s="53">
        <f>SUM(AZ104,AZ105)</f>
        <v>1156</v>
      </c>
      <c r="BA107" s="53">
        <f>SUM(BA104,BA105)</f>
        <v>1413</v>
      </c>
      <c r="BB107" s="53">
        <f>SUM(BB104,BB105)</f>
        <v>1247</v>
      </c>
      <c r="BC107" s="53">
        <f>SUM(BC104,BC105)</f>
        <v>891</v>
      </c>
      <c r="BD107" s="65">
        <f>SUM(AZ107:BC107)</f>
        <v>4707</v>
      </c>
      <c r="BE107" s="53">
        <f>SUM(BE104,BE105)</f>
        <v>1102</v>
      </c>
      <c r="BF107" s="53">
        <f>SUM(BF104,BF105)</f>
        <v>1401</v>
      </c>
      <c r="BG107" s="53">
        <f>SUM(BG104,BG105)</f>
        <v>1315</v>
      </c>
      <c r="BH107" s="53">
        <f>SUM(BH104,BH105)</f>
        <v>970</v>
      </c>
      <c r="BI107" s="65">
        <f>SUM(BE107:BH107)</f>
        <v>4788</v>
      </c>
      <c r="BJ107" s="53">
        <f>SUM(BJ104,BJ105)</f>
        <v>1078</v>
      </c>
      <c r="BK107" s="53">
        <f>SUM(BK104,BK105)</f>
        <v>1384</v>
      </c>
      <c r="BL107" s="53">
        <f>SUM(BL104,BL105)</f>
        <v>1345</v>
      </c>
      <c r="BM107" s="53">
        <f>SUM(BM104,BM105)</f>
        <v>960</v>
      </c>
      <c r="BN107" s="65">
        <f>SUM(BJ107:BM107)</f>
        <v>4767</v>
      </c>
      <c r="BO107" s="53">
        <f>SUM(BO104,BO105)</f>
        <v>1112</v>
      </c>
      <c r="BP107" s="53">
        <f>SUM(BP104,BP105)</f>
        <v>1396.0105938850975</v>
      </c>
      <c r="BQ107" s="53">
        <f>SUM(BQ104,BQ105)</f>
        <v>1293.0727261366267</v>
      </c>
      <c r="BR107" s="53">
        <f>SUM(BR104,BR105)</f>
        <v>949.86056517687075</v>
      </c>
      <c r="BS107" s="65">
        <f>SUM(BO107:BR107)</f>
        <v>4750.9438851985942</v>
      </c>
      <c r="BT107" s="53">
        <f>SUM(BT104,BT105)</f>
        <v>1149.1698822929768</v>
      </c>
      <c r="BU107" s="53">
        <f>SUM(BU104,BU105)</f>
        <v>1444.8709646710759</v>
      </c>
      <c r="BV107" s="53">
        <f>SUM(BV104,BV105)</f>
        <v>1338.3302715514083</v>
      </c>
      <c r="BW107" s="53">
        <f>SUM(BW104,BW105)</f>
        <v>983.10568495806115</v>
      </c>
      <c r="BX107" s="65">
        <f>SUM(BT107:BW107)</f>
        <v>4915.4768034735216</v>
      </c>
      <c r="BY107" s="53">
        <f>SUM(BY104,BY105)</f>
        <v>1189.3908281732308</v>
      </c>
      <c r="BZ107" s="53">
        <f>SUM(BZ104,BZ105)</f>
        <v>1495.4414484345634</v>
      </c>
      <c r="CA107" s="53">
        <f>SUM(CA104,CA105)</f>
        <v>1385.1718310557076</v>
      </c>
      <c r="CB107" s="53">
        <f>SUM(CB104,CB105)</f>
        <v>1017.5143839315932</v>
      </c>
      <c r="CC107" s="65">
        <f>SUM(BY107:CB107)</f>
        <v>5087.5184915950949</v>
      </c>
      <c r="CD107" s="53">
        <f>SUM(CD104,CD105)</f>
        <v>1231.0195071592939</v>
      </c>
      <c r="CE107" s="53">
        <f>SUM(CE104,CE105)</f>
        <v>1547.7818991297729</v>
      </c>
      <c r="CF107" s="53">
        <f>SUM(CF104,CF105)</f>
        <v>1433.6528451426573</v>
      </c>
      <c r="CG107" s="53">
        <f>SUM(CG104,CG105)</f>
        <v>1053.1273873691989</v>
      </c>
      <c r="CH107" s="65">
        <f>SUM(CD107:CG107)</f>
        <v>5265.5816388009234</v>
      </c>
      <c r="CI107" s="53">
        <f>SUM(CI104,CI105)</f>
        <v>1274.1051899098691</v>
      </c>
      <c r="CJ107" s="53">
        <f>SUM(CJ104,CJ105)</f>
        <v>1601.954265599315</v>
      </c>
      <c r="CK107" s="53">
        <f>SUM(CK104,CK105)</f>
        <v>1483.8306947226502</v>
      </c>
      <c r="CL107" s="53">
        <f>SUM(CL104,CL105)</f>
        <v>1089.9868459271208</v>
      </c>
      <c r="CM107" s="65">
        <f>SUM(CI107:CL107)</f>
        <v>5449.8769961589551</v>
      </c>
    </row>
    <row r="108" spans="1:91" x14ac:dyDescent="0.2">
      <c r="A108" s="25" t="s">
        <v>191</v>
      </c>
      <c r="B108" s="36">
        <v>0.05</v>
      </c>
      <c r="C108" s="36">
        <v>0.06</v>
      </c>
      <c r="D108" s="36">
        <v>7.0000000000000007E-2</v>
      </c>
      <c r="E108" s="36">
        <v>0.04</v>
      </c>
      <c r="F108" s="27">
        <v>0.05</v>
      </c>
      <c r="G108" s="36">
        <v>7.0000000000000007E-2</v>
      </c>
      <c r="H108" s="36">
        <v>-0.02</v>
      </c>
      <c r="I108" s="36">
        <v>0.01</v>
      </c>
      <c r="J108" s="36">
        <v>0</v>
      </c>
      <c r="K108" s="27">
        <v>0.01</v>
      </c>
      <c r="L108" s="36">
        <v>0.05</v>
      </c>
      <c r="M108" s="36">
        <v>0.09</v>
      </c>
      <c r="N108" s="36">
        <v>0.11</v>
      </c>
      <c r="O108" s="36">
        <v>0.03</v>
      </c>
      <c r="P108" s="27">
        <v>7.0000000000000007E-2</v>
      </c>
      <c r="Q108" s="36">
        <v>0.1</v>
      </c>
      <c r="R108" s="36">
        <v>0.04</v>
      </c>
      <c r="S108" s="36">
        <v>7.0000000000000007E-2</v>
      </c>
      <c r="T108" s="36">
        <v>0.09</v>
      </c>
      <c r="U108" s="27">
        <v>0.08</v>
      </c>
      <c r="V108" s="36">
        <v>0.04</v>
      </c>
      <c r="W108" s="36">
        <v>0.06</v>
      </c>
      <c r="X108" s="36">
        <v>0.06</v>
      </c>
      <c r="Y108" s="36">
        <v>0.11</v>
      </c>
      <c r="Z108" s="27">
        <v>7.0000000000000007E-2</v>
      </c>
      <c r="AA108" s="36">
        <v>7.0000000000000007E-2</v>
      </c>
      <c r="AB108" s="36">
        <v>0.09</v>
      </c>
      <c r="AC108" s="36">
        <v>0.1</v>
      </c>
      <c r="AD108" s="36">
        <v>0.02</v>
      </c>
      <c r="AE108" s="27">
        <v>7.0000000000000007E-2</v>
      </c>
      <c r="AF108" s="36">
        <v>0.05</v>
      </c>
      <c r="AG108" s="36">
        <v>7.0000000000000007E-2</v>
      </c>
      <c r="AH108" s="36">
        <v>0.06</v>
      </c>
      <c r="AI108" s="36">
        <v>0.06</v>
      </c>
      <c r="AJ108" s="27">
        <v>0.06</v>
      </c>
      <c r="AK108" s="36">
        <v>0.09</v>
      </c>
      <c r="AL108" s="36">
        <v>0.1</v>
      </c>
      <c r="AM108" s="36">
        <v>0.04</v>
      </c>
      <c r="AN108" s="36">
        <v>0.02</v>
      </c>
      <c r="AO108" s="27">
        <v>7.0000000000000007E-2</v>
      </c>
      <c r="AP108" s="36">
        <v>0.03</v>
      </c>
      <c r="AQ108" s="36">
        <v>0.02</v>
      </c>
      <c r="AR108" s="36">
        <v>0.05</v>
      </c>
      <c r="AS108" s="36">
        <v>0.04</v>
      </c>
      <c r="AT108" s="27">
        <v>0.03</v>
      </c>
      <c r="AU108" s="36">
        <v>7.0000000000000007E-2</v>
      </c>
      <c r="AV108" s="36">
        <v>0.08</v>
      </c>
      <c r="AW108" s="36">
        <v>0.02</v>
      </c>
      <c r="AX108" s="36">
        <v>0.01</v>
      </c>
      <c r="AY108" s="27">
        <v>0.05</v>
      </c>
      <c r="AZ108" s="36">
        <v>0.03</v>
      </c>
      <c r="BA108" s="36">
        <v>0.03</v>
      </c>
      <c r="BB108" s="36">
        <v>0.04</v>
      </c>
      <c r="BC108" s="36">
        <v>0.05</v>
      </c>
      <c r="BD108" s="27">
        <v>0.04</v>
      </c>
      <c r="BE108" s="36">
        <v>0.05</v>
      </c>
      <c r="BF108" s="729">
        <v>0.01</v>
      </c>
      <c r="BG108" s="729">
        <v>0.02</v>
      </c>
      <c r="BH108" s="729">
        <v>0</v>
      </c>
      <c r="BI108" s="27">
        <v>0.02</v>
      </c>
      <c r="BJ108" s="729">
        <v>0.01</v>
      </c>
      <c r="BK108" s="729">
        <v>0.01</v>
      </c>
      <c r="BL108" s="729">
        <v>0.03</v>
      </c>
      <c r="BM108" s="729">
        <v>0.02</v>
      </c>
      <c r="BN108" s="27">
        <v>0.01</v>
      </c>
      <c r="BO108" s="796">
        <v>0.05</v>
      </c>
      <c r="BP108" s="41">
        <v>0.03</v>
      </c>
      <c r="BQ108" s="41">
        <v>8.0000000000000002E-3</v>
      </c>
      <c r="BR108" s="36">
        <f>(BS108*BN104-SUMPRODUCT(BJ104:BL104,BO108:BQ108))/BM104</f>
        <v>1.1986394557823118E-2</v>
      </c>
      <c r="BS108" s="44">
        <v>2.5000000000000001E-2</v>
      </c>
      <c r="BT108" s="36">
        <f>BT109</f>
        <v>3.5000000000000003E-2</v>
      </c>
      <c r="BU108" s="36">
        <f>BU109</f>
        <v>3.5000000000000003E-2</v>
      </c>
      <c r="BV108" s="36">
        <f>BV109</f>
        <v>3.5000000000000003E-2</v>
      </c>
      <c r="BW108" s="36">
        <f>BW109</f>
        <v>3.5000000000000003E-2</v>
      </c>
      <c r="BX108" s="27">
        <f>SUMPRODUCT(BO104:BR104,BT108:BW108)/BS104</f>
        <v>3.5000000000000003E-2</v>
      </c>
      <c r="BY108" s="36">
        <f>BY109</f>
        <v>3.5000000000000003E-2</v>
      </c>
      <c r="BZ108" s="36">
        <f>BZ109</f>
        <v>3.5000000000000003E-2</v>
      </c>
      <c r="CA108" s="36">
        <f>CA109</f>
        <v>3.5000000000000003E-2</v>
      </c>
      <c r="CB108" s="36">
        <f>CB109</f>
        <v>3.500000000000001E-2</v>
      </c>
      <c r="CC108" s="27">
        <f>SUMPRODUCT(BT104:BW104,BY108:CB108)/BX104</f>
        <v>3.5000000000000003E-2</v>
      </c>
      <c r="CD108" s="36">
        <f>CD109</f>
        <v>3.5000000000000003E-2</v>
      </c>
      <c r="CE108" s="36">
        <f>CE109</f>
        <v>3.5000000000000003E-2</v>
      </c>
      <c r="CF108" s="36">
        <f>CF109</f>
        <v>3.5000000000000003E-2</v>
      </c>
      <c r="CG108" s="36">
        <f>CG109</f>
        <v>3.4999999999999976E-2</v>
      </c>
      <c r="CH108" s="27">
        <f>SUMPRODUCT(BY104:CB104,CD108:CG108)/CC104</f>
        <v>3.5000000000000003E-2</v>
      </c>
      <c r="CI108" s="36">
        <f>CI109</f>
        <v>3.5000000000000003E-2</v>
      </c>
      <c r="CJ108" s="36">
        <f>CJ109</f>
        <v>3.5000000000000003E-2</v>
      </c>
      <c r="CK108" s="36">
        <f>CK109</f>
        <v>3.5000000000000003E-2</v>
      </c>
      <c r="CL108" s="36">
        <f>CL109</f>
        <v>3.4999999999999983E-2</v>
      </c>
      <c r="CM108" s="27">
        <f>SUMPRODUCT(CD104:CG104,CI108:CL108)/CH104</f>
        <v>3.5000000000000003E-2</v>
      </c>
    </row>
    <row r="109" spans="1:91" x14ac:dyDescent="0.2">
      <c r="A109" s="45" t="s">
        <v>192</v>
      </c>
      <c r="B109" s="61" t="s">
        <v>169</v>
      </c>
      <c r="C109" s="61" t="s">
        <v>169</v>
      </c>
      <c r="D109" s="61" t="s">
        <v>169</v>
      </c>
      <c r="E109" s="61" t="s">
        <v>169</v>
      </c>
      <c r="F109" s="113" t="s">
        <v>169</v>
      </c>
      <c r="G109" s="61" t="s">
        <v>169</v>
      </c>
      <c r="H109" s="61" t="s">
        <v>169</v>
      </c>
      <c r="I109" s="61" t="s">
        <v>169</v>
      </c>
      <c r="J109" s="61" t="s">
        <v>169</v>
      </c>
      <c r="K109" s="113" t="s">
        <v>169</v>
      </c>
      <c r="L109" s="36">
        <v>0.02</v>
      </c>
      <c r="M109" s="36">
        <v>0.14000000000000001</v>
      </c>
      <c r="N109" s="36">
        <v>0.13</v>
      </c>
      <c r="O109" s="36">
        <v>-0.01</v>
      </c>
      <c r="P109" s="27">
        <v>7.0000000000000007E-2</v>
      </c>
      <c r="Q109" s="36">
        <v>0.08</v>
      </c>
      <c r="R109" s="36">
        <v>0.03</v>
      </c>
      <c r="S109" s="36">
        <v>0.09</v>
      </c>
      <c r="T109" s="36">
        <v>0.14000000000000001</v>
      </c>
      <c r="U109" s="27">
        <v>0.08</v>
      </c>
      <c r="V109" s="36">
        <v>0.1</v>
      </c>
      <c r="W109" s="36">
        <v>0.08</v>
      </c>
      <c r="X109" s="36">
        <v>0.03</v>
      </c>
      <c r="Y109" s="36">
        <v>0.08</v>
      </c>
      <c r="Z109" s="27">
        <v>7.0000000000000007E-2</v>
      </c>
      <c r="AA109" s="179">
        <v>0.03</v>
      </c>
      <c r="AB109" s="179">
        <v>0.03</v>
      </c>
      <c r="AC109" s="179">
        <v>0.1</v>
      </c>
      <c r="AD109" s="179">
        <v>0.05</v>
      </c>
      <c r="AE109" s="180">
        <v>0.06</v>
      </c>
      <c r="AF109" s="179">
        <v>-0.01</v>
      </c>
      <c r="AG109" s="179">
        <v>0.13</v>
      </c>
      <c r="AH109" s="179">
        <v>0.03</v>
      </c>
      <c r="AI109" s="179">
        <v>0.08</v>
      </c>
      <c r="AJ109" s="180">
        <v>0.06</v>
      </c>
      <c r="AK109" s="179">
        <v>0.05</v>
      </c>
      <c r="AL109" s="179">
        <v>0.05</v>
      </c>
      <c r="AM109" s="179">
        <v>0.03</v>
      </c>
      <c r="AN109" s="179">
        <v>-0.01</v>
      </c>
      <c r="AO109" s="180">
        <v>0.03</v>
      </c>
      <c r="AP109" s="36">
        <v>0.04</v>
      </c>
      <c r="AQ109" s="36">
        <v>0.04</v>
      </c>
      <c r="AR109" s="36">
        <v>0.06</v>
      </c>
      <c r="AS109" s="36">
        <v>0.03</v>
      </c>
      <c r="AT109" s="27">
        <v>0.05</v>
      </c>
      <c r="AU109" s="36">
        <v>0.08</v>
      </c>
      <c r="AV109" s="36">
        <v>0.05</v>
      </c>
      <c r="AW109" s="36">
        <v>0.04</v>
      </c>
      <c r="AX109" s="36">
        <v>0.02</v>
      </c>
      <c r="AY109" s="27">
        <v>0.05</v>
      </c>
      <c r="AZ109" s="36">
        <v>0.03</v>
      </c>
      <c r="BA109" s="36">
        <v>7.0000000000000007E-2</v>
      </c>
      <c r="BB109" s="36">
        <v>-0.02</v>
      </c>
      <c r="BC109" s="36">
        <v>0</v>
      </c>
      <c r="BD109" s="27">
        <v>0.02</v>
      </c>
      <c r="BE109" s="36">
        <v>0.06</v>
      </c>
      <c r="BF109" s="729">
        <v>-0.02</v>
      </c>
      <c r="BG109" s="729">
        <v>0.09</v>
      </c>
      <c r="BH109" s="729">
        <v>-0.02</v>
      </c>
      <c r="BI109" s="27">
        <v>0.03</v>
      </c>
      <c r="BJ109" s="729">
        <v>0</v>
      </c>
      <c r="BK109" s="729">
        <v>0</v>
      </c>
      <c r="BL109" s="729">
        <v>0.02</v>
      </c>
      <c r="BM109" s="729">
        <v>0.04</v>
      </c>
      <c r="BN109" s="186">
        <v>0.01</v>
      </c>
      <c r="BO109" s="796">
        <v>0.05</v>
      </c>
      <c r="BP109" s="796">
        <f>BP108</f>
        <v>0.03</v>
      </c>
      <c r="BQ109" s="796">
        <f>BQ108</f>
        <v>8.0000000000000002E-3</v>
      </c>
      <c r="BR109" s="796">
        <f>BR108+0.01</f>
        <v>2.198639455782312E-2</v>
      </c>
      <c r="BS109" s="186">
        <f>SUMPRODUCT(BJ104:BM104,BO109:BR109)/BN104</f>
        <v>2.6988021638330757E-2</v>
      </c>
      <c r="BT109" s="41">
        <f>BX109</f>
        <v>3.5000000000000003E-2</v>
      </c>
      <c r="BU109" s="41">
        <f>BX109</f>
        <v>3.5000000000000003E-2</v>
      </c>
      <c r="BV109" s="41">
        <f>BX109</f>
        <v>3.5000000000000003E-2</v>
      </c>
      <c r="BW109" s="36">
        <f>(BX109*BS104-SUMPRODUCT(BO104:BQ104,BT109:BV109))/BR104</f>
        <v>3.5000000000000003E-2</v>
      </c>
      <c r="BX109" s="44">
        <v>3.5000000000000003E-2</v>
      </c>
      <c r="BY109" s="41">
        <f>CC109</f>
        <v>3.5000000000000003E-2</v>
      </c>
      <c r="BZ109" s="41">
        <f>CC109</f>
        <v>3.5000000000000003E-2</v>
      </c>
      <c r="CA109" s="41">
        <f>CC109</f>
        <v>3.5000000000000003E-2</v>
      </c>
      <c r="CB109" s="36">
        <f>(CC109*BX104-SUMPRODUCT(BT104:BV104,BY109:CA109))/BW104</f>
        <v>3.500000000000001E-2</v>
      </c>
      <c r="CC109" s="44">
        <v>3.5000000000000003E-2</v>
      </c>
      <c r="CD109" s="41">
        <f>CH109</f>
        <v>3.5000000000000003E-2</v>
      </c>
      <c r="CE109" s="41">
        <f>CH109</f>
        <v>3.5000000000000003E-2</v>
      </c>
      <c r="CF109" s="41">
        <f>CH109</f>
        <v>3.5000000000000003E-2</v>
      </c>
      <c r="CG109" s="36">
        <f>(CH109*CC104-SUMPRODUCT(BY104:CA104,CD109:CF109))/CB104</f>
        <v>3.4999999999999976E-2</v>
      </c>
      <c r="CH109" s="44">
        <v>3.5000000000000003E-2</v>
      </c>
      <c r="CI109" s="41">
        <f>CM109</f>
        <v>3.5000000000000003E-2</v>
      </c>
      <c r="CJ109" s="41">
        <f>CM109</f>
        <v>3.5000000000000003E-2</v>
      </c>
      <c r="CK109" s="41">
        <f>CM109</f>
        <v>3.5000000000000003E-2</v>
      </c>
      <c r="CL109" s="36">
        <f>(CM109*CH104-SUMPRODUCT(CD104:CF104,CI109:CK109))/CG104</f>
        <v>3.4999999999999983E-2</v>
      </c>
      <c r="CM109" s="44">
        <v>3.5000000000000003E-2</v>
      </c>
    </row>
    <row r="110" spans="1:91" x14ac:dyDescent="0.2">
      <c r="A110" s="25" t="s">
        <v>188</v>
      </c>
      <c r="B110" s="61" t="s">
        <v>169</v>
      </c>
      <c r="C110" s="61" t="s">
        <v>169</v>
      </c>
      <c r="D110" s="61" t="s">
        <v>169</v>
      </c>
      <c r="E110" s="61" t="s">
        <v>169</v>
      </c>
      <c r="F110" s="113" t="s">
        <v>169</v>
      </c>
      <c r="G110" s="61" t="s">
        <v>169</v>
      </c>
      <c r="H110" s="61" t="s">
        <v>169</v>
      </c>
      <c r="I110" s="61" t="s">
        <v>169</v>
      </c>
      <c r="J110" s="61" t="s">
        <v>169</v>
      </c>
      <c r="K110" s="113" t="s">
        <v>169</v>
      </c>
      <c r="L110" s="36">
        <v>0.03</v>
      </c>
      <c r="M110" s="36">
        <v>-0.05</v>
      </c>
      <c r="N110" s="36">
        <v>-7.0000000000000007E-2</v>
      </c>
      <c r="O110" s="36">
        <v>0.03</v>
      </c>
      <c r="P110" s="27">
        <v>-0.02</v>
      </c>
      <c r="Q110" s="36">
        <v>-0.06</v>
      </c>
      <c r="R110" s="36">
        <v>0.02</v>
      </c>
      <c r="S110" s="36">
        <v>-0.03</v>
      </c>
      <c r="T110" s="36">
        <v>-0.12</v>
      </c>
      <c r="U110" s="27">
        <v>-0.03</v>
      </c>
      <c r="V110" s="36">
        <v>0.02</v>
      </c>
      <c r="W110" s="36">
        <v>-0.08</v>
      </c>
      <c r="X110" s="36">
        <v>-0.1</v>
      </c>
      <c r="Y110" s="36">
        <v>-0.1</v>
      </c>
      <c r="Z110" s="27">
        <v>-7.0000000000000007E-2</v>
      </c>
      <c r="AA110" s="179">
        <v>-0.05</v>
      </c>
      <c r="AB110" s="179">
        <v>-0.1</v>
      </c>
      <c r="AC110" s="179">
        <v>0.02</v>
      </c>
      <c r="AD110" s="179">
        <v>-0.05</v>
      </c>
      <c r="AE110" s="180">
        <v>-0.05</v>
      </c>
      <c r="AF110" s="179">
        <v>-0.01</v>
      </c>
      <c r="AG110" s="179">
        <v>-0.03</v>
      </c>
      <c r="AH110" s="179">
        <v>-0.04</v>
      </c>
      <c r="AI110" s="179">
        <v>0</v>
      </c>
      <c r="AJ110" s="180">
        <v>-0.02</v>
      </c>
      <c r="AK110" s="179">
        <v>0.01</v>
      </c>
      <c r="AL110" s="179">
        <v>0.02</v>
      </c>
      <c r="AM110" s="179">
        <v>-0.06</v>
      </c>
      <c r="AN110" s="179">
        <v>0</v>
      </c>
      <c r="AO110" s="180">
        <v>0</v>
      </c>
      <c r="AP110" s="36">
        <v>-0.04</v>
      </c>
      <c r="AQ110" s="36">
        <v>-0.04</v>
      </c>
      <c r="AR110" s="36">
        <v>-0.03</v>
      </c>
      <c r="AS110" s="36">
        <v>-0.05</v>
      </c>
      <c r="AT110" s="27">
        <v>-0.04</v>
      </c>
      <c r="AU110" s="36">
        <v>-0.06</v>
      </c>
      <c r="AV110" s="36">
        <v>-0.03</v>
      </c>
      <c r="AW110" s="36">
        <v>-0.01</v>
      </c>
      <c r="AX110" s="36">
        <v>-0.04</v>
      </c>
      <c r="AY110" s="27">
        <v>-0.02</v>
      </c>
      <c r="AZ110" s="36">
        <v>0.03</v>
      </c>
      <c r="BA110" s="36">
        <v>-0.06</v>
      </c>
      <c r="BB110" s="36">
        <v>0.01</v>
      </c>
      <c r="BC110" s="36">
        <v>-0.09</v>
      </c>
      <c r="BD110" s="27">
        <v>-0.03</v>
      </c>
      <c r="BE110" s="36">
        <v>-0.05</v>
      </c>
      <c r="BF110" s="729">
        <v>0</v>
      </c>
      <c r="BG110" s="729">
        <v>-0.08</v>
      </c>
      <c r="BH110" s="729">
        <v>0.09</v>
      </c>
      <c r="BI110" s="27">
        <v>-0.02</v>
      </c>
      <c r="BJ110" s="729">
        <v>0</v>
      </c>
      <c r="BK110" s="729">
        <v>-0.01</v>
      </c>
      <c r="BL110" s="729">
        <v>0.01</v>
      </c>
      <c r="BM110" s="729">
        <v>-0.02</v>
      </c>
      <c r="BN110" s="186">
        <v>-0.01</v>
      </c>
      <c r="BO110" s="796">
        <v>-0.02</v>
      </c>
      <c r="BP110" s="41">
        <v>1.4999999999999999E-2</v>
      </c>
      <c r="BQ110" s="41">
        <v>5.0000000000000001E-3</v>
      </c>
      <c r="BR110" s="36">
        <f>(BS110*BN104-SUMPRODUCT(BJ104:BL104,BO110:BQ110))/BM104</f>
        <v>1.9703595724003885E-2</v>
      </c>
      <c r="BS110" s="44">
        <v>5.0000000000000001E-3</v>
      </c>
      <c r="BT110" s="41">
        <f>BX110</f>
        <v>0</v>
      </c>
      <c r="BU110" s="41">
        <f>BX110</f>
        <v>0</v>
      </c>
      <c r="BV110" s="41">
        <f>BX110</f>
        <v>0</v>
      </c>
      <c r="BW110" s="36">
        <f>(BX110*BS104-SUMPRODUCT(BO104:BQ104,BT110:BV110))/BR104</f>
        <v>0</v>
      </c>
      <c r="BX110" s="44">
        <v>0</v>
      </c>
      <c r="BY110" s="41">
        <f>CC110</f>
        <v>0</v>
      </c>
      <c r="BZ110" s="41">
        <f>CC110</f>
        <v>0</v>
      </c>
      <c r="CA110" s="41">
        <f>CC110</f>
        <v>0</v>
      </c>
      <c r="CB110" s="36">
        <f>(CC110*BX104-SUMPRODUCT(BT104:BV104,BY110:CA110))/BW104</f>
        <v>0</v>
      </c>
      <c r="CC110" s="44">
        <v>0</v>
      </c>
      <c r="CD110" s="41">
        <f>CH110</f>
        <v>0</v>
      </c>
      <c r="CE110" s="41">
        <f>CH110</f>
        <v>0</v>
      </c>
      <c r="CF110" s="41">
        <f>CH110</f>
        <v>0</v>
      </c>
      <c r="CG110" s="36">
        <f>(CH110*CC104-SUMPRODUCT(BY104:CA104,CD110:CF110))/CB104</f>
        <v>0</v>
      </c>
      <c r="CH110" s="44">
        <v>0</v>
      </c>
      <c r="CI110" s="41">
        <f>CM110</f>
        <v>0</v>
      </c>
      <c r="CJ110" s="41">
        <f>CM110</f>
        <v>0</v>
      </c>
      <c r="CK110" s="41">
        <f>CM110</f>
        <v>0</v>
      </c>
      <c r="CL110" s="36">
        <f>(CM110*CH104-SUMPRODUCT(CD104:CF104,CI110:CK110))/CG104</f>
        <v>0</v>
      </c>
      <c r="CM110" s="44">
        <v>0</v>
      </c>
    </row>
    <row r="111" spans="1:91" x14ac:dyDescent="0.2">
      <c r="A111" s="25" t="s">
        <v>189</v>
      </c>
      <c r="B111" s="61" t="s">
        <v>169</v>
      </c>
      <c r="C111" s="61" t="s">
        <v>169</v>
      </c>
      <c r="D111" s="61" t="s">
        <v>169</v>
      </c>
      <c r="E111" s="61" t="s">
        <v>169</v>
      </c>
      <c r="F111" s="113" t="s">
        <v>169</v>
      </c>
      <c r="G111" s="61" t="s">
        <v>169</v>
      </c>
      <c r="H111" s="61" t="s">
        <v>169</v>
      </c>
      <c r="I111" s="61" t="s">
        <v>169</v>
      </c>
      <c r="J111" s="61" t="s">
        <v>169</v>
      </c>
      <c r="K111" s="113" t="s">
        <v>169</v>
      </c>
      <c r="L111" s="36">
        <v>0.01</v>
      </c>
      <c r="M111" s="36">
        <v>-0.01</v>
      </c>
      <c r="N111" s="36">
        <v>0</v>
      </c>
      <c r="O111" s="36">
        <v>0.05</v>
      </c>
      <c r="P111" s="27">
        <v>0.02</v>
      </c>
      <c r="Q111" s="36">
        <v>0.11</v>
      </c>
      <c r="R111" s="36">
        <v>0.13</v>
      </c>
      <c r="S111" s="36">
        <v>0.08</v>
      </c>
      <c r="T111" s="36">
        <v>0.05</v>
      </c>
      <c r="U111" s="27">
        <v>0.09</v>
      </c>
      <c r="V111" s="36">
        <v>0.05</v>
      </c>
      <c r="W111" s="36">
        <v>0</v>
      </c>
      <c r="X111" s="36">
        <v>0.06</v>
      </c>
      <c r="Y111" s="36">
        <v>7.0000000000000007E-2</v>
      </c>
      <c r="Z111" s="27">
        <v>0.05</v>
      </c>
      <c r="AA111" s="179">
        <v>0.06</v>
      </c>
      <c r="AB111" s="179">
        <v>0.05</v>
      </c>
      <c r="AC111" s="179">
        <v>7.0000000000000007E-2</v>
      </c>
      <c r="AD111" s="179">
        <v>0.06</v>
      </c>
      <c r="AE111" s="180">
        <v>0.06</v>
      </c>
      <c r="AF111" s="179">
        <v>0.06</v>
      </c>
      <c r="AG111" s="179">
        <v>0.11</v>
      </c>
      <c r="AH111" s="179">
        <v>0.09</v>
      </c>
      <c r="AI111" s="179">
        <v>0.04</v>
      </c>
      <c r="AJ111" s="180">
        <v>7.0000000000000007E-2</v>
      </c>
      <c r="AK111" s="179">
        <v>0.04</v>
      </c>
      <c r="AL111" s="179">
        <v>0.02</v>
      </c>
      <c r="AM111" s="179">
        <v>0</v>
      </c>
      <c r="AN111" s="179">
        <v>0</v>
      </c>
      <c r="AO111" s="180">
        <v>0.01</v>
      </c>
      <c r="AP111" s="36">
        <v>-0.04</v>
      </c>
      <c r="AQ111" s="36">
        <v>-0.05</v>
      </c>
      <c r="AR111" s="36">
        <v>-0.06</v>
      </c>
      <c r="AS111" s="36">
        <v>-0.09</v>
      </c>
      <c r="AT111" s="27">
        <v>-0.06</v>
      </c>
      <c r="AU111" s="36">
        <v>-7.0000000000000007E-2</v>
      </c>
      <c r="AV111" s="36">
        <v>-0.05</v>
      </c>
      <c r="AW111" s="36">
        <v>-0.03</v>
      </c>
      <c r="AX111" s="36">
        <v>-0.08</v>
      </c>
      <c r="AY111" s="27">
        <v>-0.06</v>
      </c>
      <c r="AZ111" s="36">
        <v>-0.08</v>
      </c>
      <c r="BA111" s="36">
        <v>-0.08</v>
      </c>
      <c r="BB111" s="36">
        <v>-0.09</v>
      </c>
      <c r="BC111" s="36">
        <v>-0.06</v>
      </c>
      <c r="BD111" s="27">
        <v>-0.08</v>
      </c>
      <c r="BE111" s="36">
        <v>-0.02</v>
      </c>
      <c r="BF111" s="729">
        <v>0.01</v>
      </c>
      <c r="BG111" s="729">
        <v>0.04</v>
      </c>
      <c r="BH111" s="729">
        <v>0.04</v>
      </c>
      <c r="BI111" s="27">
        <v>0.01</v>
      </c>
      <c r="BJ111" s="729">
        <v>-0.03</v>
      </c>
      <c r="BK111" s="729">
        <v>-0.03</v>
      </c>
      <c r="BL111" s="729">
        <v>-0.05</v>
      </c>
      <c r="BM111" s="729">
        <v>-0.04</v>
      </c>
      <c r="BN111" s="186">
        <v>-0.04</v>
      </c>
      <c r="BO111" s="796">
        <v>0.04</v>
      </c>
      <c r="BP111" s="41">
        <v>2.3678174772469383E-2</v>
      </c>
      <c r="BQ111" s="41">
        <v>8.3923614398710867E-3</v>
      </c>
      <c r="BR111" s="41">
        <v>7.7480984440800081E-3</v>
      </c>
      <c r="BS111" s="27">
        <f>SUMPRODUCT(BJ104:BM104,BO111:BR111)/BN104</f>
        <v>2.0091511642767595E-2</v>
      </c>
      <c r="BT111" s="41">
        <v>-1.5738468588339279E-3</v>
      </c>
      <c r="BU111" s="41">
        <v>0</v>
      </c>
      <c r="BV111" s="41">
        <v>0</v>
      </c>
      <c r="BW111" s="41">
        <v>0</v>
      </c>
      <c r="BX111" s="27">
        <f>SUMPRODUCT(BO104:BR104,BT111:BW111)/BS104</f>
        <v>-3.7346074078718593E-4</v>
      </c>
      <c r="BY111" s="662">
        <v>0</v>
      </c>
      <c r="BZ111" s="662">
        <v>0</v>
      </c>
      <c r="CA111" s="662">
        <v>0</v>
      </c>
      <c r="CB111" s="662">
        <v>0</v>
      </c>
      <c r="CC111" s="27">
        <f>SUMPRODUCT(BT104:BW104,BY111:CB111)/BX104</f>
        <v>0</v>
      </c>
      <c r="CD111" s="662">
        <v>0</v>
      </c>
      <c r="CE111" s="662">
        <v>0</v>
      </c>
      <c r="CF111" s="662">
        <v>0</v>
      </c>
      <c r="CG111" s="662">
        <v>0</v>
      </c>
      <c r="CH111" s="27">
        <f>SUMPRODUCT(BY104:CB104,CD111:CG111)/CC104</f>
        <v>0</v>
      </c>
      <c r="CI111" s="662">
        <v>0</v>
      </c>
      <c r="CJ111" s="662">
        <v>0</v>
      </c>
      <c r="CK111" s="662">
        <v>0</v>
      </c>
      <c r="CL111" s="662">
        <v>0</v>
      </c>
      <c r="CM111" s="27">
        <f>SUMPRODUCT(CD104:CG104,CI111:CL111)/CH104</f>
        <v>0</v>
      </c>
    </row>
    <row r="112" spans="1:91" x14ac:dyDescent="0.2">
      <c r="A112" s="30" t="s">
        <v>193</v>
      </c>
      <c r="B112" s="61" t="s">
        <v>169</v>
      </c>
      <c r="C112" s="61" t="s">
        <v>169</v>
      </c>
      <c r="D112" s="61" t="s">
        <v>169</v>
      </c>
      <c r="E112" s="61" t="s">
        <v>169</v>
      </c>
      <c r="F112" s="113" t="s">
        <v>169</v>
      </c>
      <c r="G112" s="61" t="s">
        <v>169</v>
      </c>
      <c r="H112" s="61" t="s">
        <v>169</v>
      </c>
      <c r="I112" s="61" t="s">
        <v>169</v>
      </c>
      <c r="J112" s="61" t="s">
        <v>169</v>
      </c>
      <c r="K112" s="113" t="s">
        <v>169</v>
      </c>
      <c r="L112" s="36">
        <v>0</v>
      </c>
      <c r="M112" s="36">
        <v>0</v>
      </c>
      <c r="N112" s="36">
        <v>0</v>
      </c>
      <c r="O112" s="36">
        <f>((P112*K104)-(L112*G104)-(M112*H104)-(N112*I104))/J104</f>
        <v>0</v>
      </c>
      <c r="P112" s="27">
        <v>0</v>
      </c>
      <c r="Q112" s="36">
        <v>-0.06</v>
      </c>
      <c r="R112" s="36">
        <v>-0.05</v>
      </c>
      <c r="S112" s="36">
        <v>-0.08</v>
      </c>
      <c r="T112" s="36">
        <v>-7.0000000000000007E-2</v>
      </c>
      <c r="U112" s="27">
        <v>-7.0000000000000007E-2</v>
      </c>
      <c r="V112" s="36">
        <v>-0.03</v>
      </c>
      <c r="W112" s="36">
        <v>0</v>
      </c>
      <c r="X112" s="36">
        <v>0</v>
      </c>
      <c r="Y112" s="36">
        <v>0</v>
      </c>
      <c r="Z112" s="27">
        <v>-0.01</v>
      </c>
      <c r="AA112" s="179">
        <v>0.01</v>
      </c>
      <c r="AB112" s="179">
        <v>0.01</v>
      </c>
      <c r="AC112" s="179">
        <v>0.02</v>
      </c>
      <c r="AD112" s="179">
        <v>0</v>
      </c>
      <c r="AE112" s="180">
        <v>0.01</v>
      </c>
      <c r="AF112" s="179">
        <f>AF113-SUM(AF109:AF111)</f>
        <v>-1.5396825396825478E-2</v>
      </c>
      <c r="AG112" s="179">
        <f>AG113-AG111-AG110-AG109</f>
        <v>-2.6136363636364845E-3</v>
      </c>
      <c r="AH112" s="179">
        <v>0</v>
      </c>
      <c r="AI112" s="179">
        <v>0</v>
      </c>
      <c r="AJ112" s="180">
        <v>0</v>
      </c>
      <c r="AK112" s="179">
        <f>AK113-SUM(AK109:AK111)</f>
        <v>2.1611154144074302E-2</v>
      </c>
      <c r="AL112" s="179">
        <v>-0.01</v>
      </c>
      <c r="AM112" s="179">
        <v>-0.01</v>
      </c>
      <c r="AN112" s="179">
        <v>0</v>
      </c>
      <c r="AO112" s="180">
        <v>-0.01</v>
      </c>
      <c r="AP112" s="36">
        <v>0</v>
      </c>
      <c r="AQ112" s="36">
        <v>0</v>
      </c>
      <c r="AR112" s="36">
        <v>-0.06</v>
      </c>
      <c r="AS112" s="36">
        <v>0.01</v>
      </c>
      <c r="AT112" s="27">
        <v>-0.02</v>
      </c>
      <c r="AU112" s="36">
        <f>AY112</f>
        <v>0.01</v>
      </c>
      <c r="AV112" s="36">
        <v>0</v>
      </c>
      <c r="AW112" s="36">
        <v>0.05</v>
      </c>
      <c r="AX112" s="36">
        <v>0</v>
      </c>
      <c r="AY112" s="27">
        <v>0.01</v>
      </c>
      <c r="AZ112" s="36">
        <v>0</v>
      </c>
      <c r="BA112" s="36">
        <v>0</v>
      </c>
      <c r="BB112" s="36">
        <v>-0.01</v>
      </c>
      <c r="BC112" s="36">
        <v>0</v>
      </c>
      <c r="BD112" s="27">
        <v>0</v>
      </c>
      <c r="BE112" s="36">
        <v>-0.03</v>
      </c>
      <c r="BF112" s="729">
        <v>-0.01</v>
      </c>
      <c r="BG112" s="729">
        <v>-0.01</v>
      </c>
      <c r="BH112" s="729">
        <v>-0.03</v>
      </c>
      <c r="BI112" s="27">
        <v>-0.02</v>
      </c>
      <c r="BJ112" s="729">
        <v>0</v>
      </c>
      <c r="BK112" s="729">
        <v>0</v>
      </c>
      <c r="BL112" s="729">
        <v>0</v>
      </c>
      <c r="BM112" s="729">
        <v>0.02</v>
      </c>
      <c r="BN112" s="186">
        <v>0</v>
      </c>
      <c r="BO112" s="796">
        <f>-0.01-0.05</f>
        <v>-6.0000000000000005E-2</v>
      </c>
      <c r="BP112" s="41">
        <v>-0.06</v>
      </c>
      <c r="BQ112" s="41">
        <v>-0.06</v>
      </c>
      <c r="BR112" s="41">
        <v>-0.06</v>
      </c>
      <c r="BS112" s="27">
        <f>SUMPRODUCT(BJ104:BM104,BO112:BR112)/BN104</f>
        <v>-0.06</v>
      </c>
      <c r="BT112" s="41">
        <v>0</v>
      </c>
      <c r="BU112" s="41">
        <v>0</v>
      </c>
      <c r="BV112" s="41">
        <v>0</v>
      </c>
      <c r="BW112" s="41">
        <v>0</v>
      </c>
      <c r="BX112" s="27">
        <f>SUMPRODUCT(BO105:BR105,BT112:BW112)/BS105</f>
        <v>0</v>
      </c>
      <c r="BY112" s="41">
        <v>0</v>
      </c>
      <c r="BZ112" s="41">
        <v>0</v>
      </c>
      <c r="CA112" s="41">
        <v>0</v>
      </c>
      <c r="CB112" s="41">
        <v>0</v>
      </c>
      <c r="CC112" s="27">
        <f>SUMPRODUCT(BT105:BW105,BY112:CB112)/BX105</f>
        <v>0</v>
      </c>
      <c r="CD112" s="41">
        <v>0</v>
      </c>
      <c r="CE112" s="41">
        <v>0</v>
      </c>
      <c r="CF112" s="41">
        <v>0</v>
      </c>
      <c r="CG112" s="41">
        <v>0</v>
      </c>
      <c r="CH112" s="27">
        <f>SUMPRODUCT(BY105:CB105,CD112:CG112)/CC105</f>
        <v>0</v>
      </c>
      <c r="CI112" s="41">
        <v>0</v>
      </c>
      <c r="CJ112" s="41">
        <v>0</v>
      </c>
      <c r="CK112" s="41">
        <v>0</v>
      </c>
      <c r="CL112" s="41">
        <v>0</v>
      </c>
      <c r="CM112" s="27">
        <f>SUMPRODUCT(CD105:CG105,CI112:CL112)/CH105</f>
        <v>0</v>
      </c>
    </row>
    <row r="113" spans="1:91" x14ac:dyDescent="0.2">
      <c r="A113" s="33" t="s">
        <v>190</v>
      </c>
      <c r="B113" s="114" t="s">
        <v>169</v>
      </c>
      <c r="C113" s="114" t="s">
        <v>169</v>
      </c>
      <c r="D113" s="114" t="s">
        <v>169</v>
      </c>
      <c r="E113" s="114" t="s">
        <v>169</v>
      </c>
      <c r="F113" s="115" t="s">
        <v>169</v>
      </c>
      <c r="G113" s="114" t="s">
        <v>169</v>
      </c>
      <c r="H113" s="114" t="s">
        <v>169</v>
      </c>
      <c r="I113" s="114" t="s">
        <v>169</v>
      </c>
      <c r="J113" s="114" t="s">
        <v>169</v>
      </c>
      <c r="K113" s="115" t="s">
        <v>169</v>
      </c>
      <c r="L113" s="80">
        <f>L104/G104-1</f>
        <v>5.9819413092550899E-2</v>
      </c>
      <c r="M113" s="80">
        <f>M104/H104-1</f>
        <v>8.43373493975903E-2</v>
      </c>
      <c r="N113" s="80">
        <f>N104/I104-1</f>
        <v>6.3492063492063489E-2</v>
      </c>
      <c r="O113" s="80">
        <f>O104/J104-1</f>
        <v>7.0657507360156968E-2</v>
      </c>
      <c r="P113" s="35">
        <v>7.0000000000000007E-2</v>
      </c>
      <c r="Q113" s="80">
        <f t="shared" ref="Q113:BO113" si="144">Q104/L104-1</f>
        <v>6.9222577209797631E-2</v>
      </c>
      <c r="R113" s="80">
        <f t="shared" si="144"/>
        <v>0.1316239316239316</v>
      </c>
      <c r="S113" s="80">
        <f t="shared" si="144"/>
        <v>5.8043117744610351E-2</v>
      </c>
      <c r="T113" s="80">
        <f t="shared" si="144"/>
        <v>0</v>
      </c>
      <c r="U113" s="35">
        <f t="shared" si="144"/>
        <v>6.5592374035406298E-2</v>
      </c>
      <c r="V113" s="80">
        <f t="shared" si="144"/>
        <v>0.13545816733067739</v>
      </c>
      <c r="W113" s="80">
        <f t="shared" si="144"/>
        <v>-1.5105740181269312E-3</v>
      </c>
      <c r="X113" s="80">
        <f t="shared" si="144"/>
        <v>-5.485893416927845E-3</v>
      </c>
      <c r="Y113" s="80">
        <f t="shared" si="144"/>
        <v>4.8579285059578314E-2</v>
      </c>
      <c r="Z113" s="35">
        <f t="shared" si="144"/>
        <v>3.833865814696491E-2</v>
      </c>
      <c r="AA113" s="181">
        <f t="shared" si="144"/>
        <v>0.10526315789473695</v>
      </c>
      <c r="AB113" s="181">
        <f t="shared" si="144"/>
        <v>6.5052950075642935E-2</v>
      </c>
      <c r="AC113" s="181">
        <f t="shared" si="144"/>
        <v>0.24034672970843185</v>
      </c>
      <c r="AD113" s="181">
        <f t="shared" si="144"/>
        <v>9.5279720279720204E-2</v>
      </c>
      <c r="AE113" s="182">
        <f>AE104/Z104-1</f>
        <v>0.12717948717948713</v>
      </c>
      <c r="AF113" s="80">
        <f t="shared" si="144"/>
        <v>2.4603174603174516E-2</v>
      </c>
      <c r="AG113" s="80">
        <f t="shared" si="144"/>
        <v>0.20738636363636354</v>
      </c>
      <c r="AH113" s="80">
        <f t="shared" si="144"/>
        <v>8.2592121982210998E-2</v>
      </c>
      <c r="AI113" s="80">
        <f t="shared" si="144"/>
        <v>0.11252992817238616</v>
      </c>
      <c r="AJ113" s="35">
        <f>AJ104/AE104-1</f>
        <v>0.108098271155596</v>
      </c>
      <c r="AK113" s="80">
        <f t="shared" si="144"/>
        <v>0.12161115414407431</v>
      </c>
      <c r="AL113" s="80">
        <f t="shared" si="144"/>
        <v>7.4705882352941178E-2</v>
      </c>
      <c r="AM113" s="80">
        <f t="shared" si="144"/>
        <v>-3.4037558685446001E-2</v>
      </c>
      <c r="AN113" s="80">
        <f t="shared" si="144"/>
        <v>-5.0215208034433134E-3</v>
      </c>
      <c r="AO113" s="35">
        <f>AO104/AJ104-1</f>
        <v>3.5966496961734373E-2</v>
      </c>
      <c r="AP113" s="80">
        <f t="shared" si="144"/>
        <v>-4.0055248618784511E-2</v>
      </c>
      <c r="AQ113" s="80">
        <f t="shared" si="144"/>
        <v>-5.3092501368363409E-2</v>
      </c>
      <c r="AR113" s="80">
        <f t="shared" si="144"/>
        <v>-9.1130012150668294E-2</v>
      </c>
      <c r="AS113" s="80">
        <f t="shared" si="144"/>
        <v>-9.6611391492429699E-2</v>
      </c>
      <c r="AT113" s="35">
        <f>AT104/AO104-1</f>
        <v>-6.9594166138237212E-2</v>
      </c>
      <c r="AU113" s="80">
        <f t="shared" si="144"/>
        <v>-5.3956834532374098E-2</v>
      </c>
      <c r="AV113" s="80">
        <f t="shared" si="144"/>
        <v>-4.0462427745664442E-3</v>
      </c>
      <c r="AW113" s="80">
        <f t="shared" si="144"/>
        <v>5.2807486631015976E-2</v>
      </c>
      <c r="AX113" s="80">
        <f t="shared" si="144"/>
        <v>-9.5770151636073386E-2</v>
      </c>
      <c r="AY113" s="35">
        <f>AY104/AT104-1</f>
        <v>-2.0957573692281461E-2</v>
      </c>
      <c r="AZ113" s="80">
        <f t="shared" si="144"/>
        <v>-2.281368821292773E-2</v>
      </c>
      <c r="BA113" s="80">
        <f t="shared" si="144"/>
        <v>-7.0806732443412623E-2</v>
      </c>
      <c r="BB113" s="80">
        <f t="shared" si="144"/>
        <v>-0.10730158730158734</v>
      </c>
      <c r="BC113" s="80">
        <f t="shared" si="144"/>
        <v>-0.15269196822594877</v>
      </c>
      <c r="BD113" s="35">
        <f>BD104/AY104-1</f>
        <v>-8.5972850678733059E-2</v>
      </c>
      <c r="BE113" s="80">
        <f t="shared" si="144"/>
        <v>-3.8910505836575848E-2</v>
      </c>
      <c r="BF113" s="80">
        <f t="shared" si="144"/>
        <v>-2.5608994378513383E-2</v>
      </c>
      <c r="BG113" s="80">
        <f t="shared" si="144"/>
        <v>3.8406827880512084E-2</v>
      </c>
      <c r="BH113" s="80">
        <f t="shared" si="144"/>
        <v>8.2291666666666652E-2</v>
      </c>
      <c r="BI113" s="35">
        <f>BI104/BD104-1</f>
        <v>7.9969535415080895E-3</v>
      </c>
      <c r="BJ113" s="80">
        <f t="shared" si="144"/>
        <v>-2.1862348178137703E-2</v>
      </c>
      <c r="BK113" s="80">
        <f t="shared" si="144"/>
        <v>-3.3974358974358965E-2</v>
      </c>
      <c r="BL113" s="80">
        <f t="shared" si="144"/>
        <v>-1.9178082191780854E-2</v>
      </c>
      <c r="BM113" s="80">
        <f t="shared" si="144"/>
        <v>-9.6246390760346134E-3</v>
      </c>
      <c r="BN113" s="35">
        <f>BN104/BI104-1</f>
        <v>-2.2289384208537988E-2</v>
      </c>
      <c r="BO113" s="80">
        <f t="shared" si="144"/>
        <v>8.2781456953642252E-3</v>
      </c>
      <c r="BP113" s="80">
        <f>SUM(BP109:BP112)</f>
        <v>8.678174772469377E-3</v>
      </c>
      <c r="BQ113" s="80">
        <f>SUM(BQ109:BQ112)</f>
        <v>-3.8607638560128908E-2</v>
      </c>
      <c r="BR113" s="80">
        <f>SUM(BR109:BR112)</f>
        <v>-1.0561911274092985E-2</v>
      </c>
      <c r="BS113" s="35">
        <f>BS104/BN104-1</f>
        <v>-8.3223214329664064E-3</v>
      </c>
      <c r="BT113" s="80">
        <f>SUM(BT109:BT112)</f>
        <v>3.3426153141166079E-2</v>
      </c>
      <c r="BU113" s="80">
        <f>SUM(BU109:BU112)</f>
        <v>3.5000000000000003E-2</v>
      </c>
      <c r="BV113" s="80">
        <f>SUM(BV109:BV112)</f>
        <v>3.5000000000000003E-2</v>
      </c>
      <c r="BW113" s="80">
        <f>SUM(BW109:BW112)</f>
        <v>3.5000000000000003E-2</v>
      </c>
      <c r="BX113" s="35">
        <f>BX104/BS104-1</f>
        <v>3.4626539259212663E-2</v>
      </c>
      <c r="BY113" s="80">
        <f>SUM(BY109:BY112)</f>
        <v>3.5000000000000003E-2</v>
      </c>
      <c r="BZ113" s="80">
        <f>SUM(BZ109:BZ112)</f>
        <v>3.5000000000000003E-2</v>
      </c>
      <c r="CA113" s="80">
        <f>SUM(CA109:CA112)</f>
        <v>3.5000000000000003E-2</v>
      </c>
      <c r="CB113" s="80">
        <f>SUM(CB109:CB112)</f>
        <v>3.500000000000001E-2</v>
      </c>
      <c r="CC113" s="35">
        <f>CC104/BX104-1</f>
        <v>3.4999999999999698E-2</v>
      </c>
      <c r="CD113" s="80">
        <f>SUM(CD109:CD112)</f>
        <v>3.5000000000000003E-2</v>
      </c>
      <c r="CE113" s="80">
        <f>SUM(CE109:CE112)</f>
        <v>3.5000000000000003E-2</v>
      </c>
      <c r="CF113" s="80">
        <f>SUM(CF109:CF112)</f>
        <v>3.5000000000000003E-2</v>
      </c>
      <c r="CG113" s="80">
        <f>SUM(CG109:CG112)</f>
        <v>3.4999999999999976E-2</v>
      </c>
      <c r="CH113" s="35">
        <f>CH104/CC104-1</f>
        <v>3.499999999999992E-2</v>
      </c>
      <c r="CI113" s="80">
        <f>SUM(CI109:CI112)</f>
        <v>3.5000000000000003E-2</v>
      </c>
      <c r="CJ113" s="80">
        <f>SUM(CJ109:CJ112)</f>
        <v>3.5000000000000003E-2</v>
      </c>
      <c r="CK113" s="80">
        <f>SUM(CK109:CK112)</f>
        <v>3.5000000000000003E-2</v>
      </c>
      <c r="CL113" s="80">
        <f>SUM(CL109:CL112)</f>
        <v>3.4999999999999983E-2</v>
      </c>
      <c r="CM113" s="35">
        <f>CM104/CH104-1</f>
        <v>3.5000000000000142E-2</v>
      </c>
    </row>
    <row r="114" spans="1:91" ht="15" hidden="1" customHeight="1" outlineLevel="1" x14ac:dyDescent="0.2">
      <c r="A114" s="63"/>
      <c r="B114" s="50"/>
      <c r="C114" s="50"/>
      <c r="D114" s="50"/>
      <c r="E114" s="46"/>
      <c r="F114" s="100"/>
      <c r="G114" s="36"/>
      <c r="H114" s="36"/>
      <c r="I114" s="36"/>
      <c r="J114" s="36"/>
      <c r="K114" s="100"/>
      <c r="L114" s="55"/>
      <c r="M114" s="55"/>
      <c r="N114" s="55"/>
      <c r="O114" s="55"/>
      <c r="P114" s="100"/>
      <c r="Q114" s="148"/>
      <c r="R114" s="148"/>
      <c r="S114" s="148"/>
      <c r="T114" s="148"/>
      <c r="U114" s="149"/>
      <c r="V114" s="148"/>
      <c r="W114" s="148"/>
      <c r="X114" s="148"/>
      <c r="Y114" s="148"/>
      <c r="Z114" s="149"/>
      <c r="AA114" s="62">
        <f>AVERAGE(AA121,V121)</f>
        <v>-1.4999999999999999E-2</v>
      </c>
      <c r="AB114" s="62">
        <f>AVERAGE(AB121,W121)</f>
        <v>-0.04</v>
      </c>
      <c r="AC114" s="62">
        <f>AVERAGE(AC121,X121)</f>
        <v>-4.4999999999999998E-2</v>
      </c>
      <c r="AD114" s="62">
        <f>AVERAGE(AD121,Y121)</f>
        <v>0.04</v>
      </c>
      <c r="AE114" s="149"/>
      <c r="AF114" s="148"/>
      <c r="AG114" s="148"/>
      <c r="AH114" s="148"/>
      <c r="AI114" s="148"/>
      <c r="AJ114" s="149"/>
      <c r="AK114" s="62"/>
      <c r="AL114" s="62"/>
      <c r="AM114" s="62"/>
      <c r="AN114" s="62"/>
      <c r="AO114" s="149"/>
      <c r="AP114" s="62"/>
      <c r="AQ114" s="62"/>
      <c r="AR114" s="62"/>
      <c r="AS114" s="62"/>
      <c r="AT114" s="149"/>
      <c r="AU114" s="62"/>
      <c r="AV114" s="62"/>
      <c r="AW114" s="62"/>
      <c r="AX114" s="62"/>
      <c r="AY114" s="149"/>
      <c r="AZ114" s="62"/>
      <c r="BA114" s="62"/>
      <c r="BB114" s="62"/>
      <c r="BC114" s="62"/>
      <c r="BD114" s="149"/>
      <c r="BE114" s="62"/>
      <c r="BF114" s="62"/>
      <c r="BG114" s="62"/>
      <c r="BH114" s="62"/>
      <c r="BI114" s="651"/>
      <c r="BJ114" s="650"/>
      <c r="BK114" s="650"/>
      <c r="BL114" s="650"/>
      <c r="BM114" s="650"/>
      <c r="BN114" s="651"/>
      <c r="BO114" s="650"/>
      <c r="BP114" s="650"/>
      <c r="BQ114" s="650"/>
      <c r="BR114" s="650"/>
      <c r="BS114" s="651"/>
      <c r="BT114" s="62"/>
      <c r="BU114" s="62"/>
      <c r="BV114" s="50"/>
      <c r="BW114" s="50"/>
      <c r="BX114" s="67"/>
      <c r="BY114" s="62"/>
      <c r="BZ114" s="62"/>
      <c r="CA114" s="50"/>
      <c r="CB114" s="50"/>
      <c r="CC114" s="67"/>
      <c r="CD114" s="62"/>
      <c r="CE114" s="62"/>
      <c r="CF114" s="50"/>
      <c r="CG114" s="50"/>
      <c r="CH114" s="67"/>
      <c r="CI114" s="62"/>
      <c r="CJ114" s="62"/>
      <c r="CK114" s="50"/>
      <c r="CL114" s="50"/>
      <c r="CM114" s="67"/>
    </row>
    <row r="115" spans="1:91" hidden="1" outlineLevel="1" x14ac:dyDescent="0.2">
      <c r="A115" s="52" t="s">
        <v>360</v>
      </c>
      <c r="B115" s="53">
        <v>960</v>
      </c>
      <c r="C115" s="53">
        <v>1228</v>
      </c>
      <c r="D115" s="53">
        <v>1103</v>
      </c>
      <c r="E115" s="53">
        <v>971</v>
      </c>
      <c r="F115" s="65">
        <f>SUM(B115:E115)</f>
        <v>4262</v>
      </c>
      <c r="G115" s="53">
        <v>983</v>
      </c>
      <c r="H115" s="53">
        <v>1329</v>
      </c>
      <c r="I115" s="53">
        <v>1423</v>
      </c>
      <c r="J115" s="53">
        <v>1308</v>
      </c>
      <c r="K115" s="65">
        <f>SUM(G115:J115)</f>
        <v>5043</v>
      </c>
      <c r="L115" s="53">
        <v>1457</v>
      </c>
      <c r="M115" s="53">
        <v>2076</v>
      </c>
      <c r="N115" s="53">
        <v>2058</v>
      </c>
      <c r="O115" s="53">
        <v>2104</v>
      </c>
      <c r="P115" s="65">
        <f>SUM(L115:O115)</f>
        <v>7695</v>
      </c>
      <c r="Q115" s="53">
        <v>2089</v>
      </c>
      <c r="R115" s="53">
        <v>2701</v>
      </c>
      <c r="S115" s="53">
        <v>2309</v>
      </c>
      <c r="T115" s="53">
        <v>1832</v>
      </c>
      <c r="U115" s="65">
        <f>SUM(Q115:T115)</f>
        <v>8931</v>
      </c>
      <c r="V115" s="53">
        <v>1822</v>
      </c>
      <c r="W115" s="53">
        <v>2242</v>
      </c>
      <c r="X115" s="53">
        <v>2212</v>
      </c>
      <c r="Y115" s="53">
        <v>2044</v>
      </c>
      <c r="Z115" s="65">
        <f>SUM(V115:Y115)</f>
        <v>8320</v>
      </c>
      <c r="AA115" s="53">
        <v>1977</v>
      </c>
      <c r="AB115" s="53">
        <v>2317</v>
      </c>
      <c r="AC115" s="53">
        <v>2159</v>
      </c>
      <c r="AD115" s="53">
        <v>1860</v>
      </c>
      <c r="AE115" s="65">
        <f>SUM(AA115:AD115)</f>
        <v>8313</v>
      </c>
      <c r="AF115" s="53">
        <v>1907</v>
      </c>
      <c r="AG115" s="53">
        <v>2443</v>
      </c>
      <c r="AH115" s="53">
        <v>2264</v>
      </c>
      <c r="AI115" s="53">
        <v>1977</v>
      </c>
      <c r="AJ115" s="65">
        <f>SUM(AF115:AI115)</f>
        <v>8591</v>
      </c>
      <c r="AK115" s="53">
        <v>2103</v>
      </c>
      <c r="AL115" s="53">
        <v>2497</v>
      </c>
      <c r="AM115" s="53">
        <v>2208</v>
      </c>
      <c r="AN115" s="53">
        <v>2087</v>
      </c>
      <c r="AO115" s="65">
        <f>SUM(AK115:AN115)</f>
        <v>8895</v>
      </c>
      <c r="AP115" s="53">
        <v>2038</v>
      </c>
      <c r="AQ115" s="53">
        <v>2238</v>
      </c>
      <c r="AR115" s="53">
        <v>1832</v>
      </c>
      <c r="AS115" s="53">
        <v>1568</v>
      </c>
      <c r="AT115" s="65">
        <f>SUM(AP115:AS115)</f>
        <v>7676</v>
      </c>
      <c r="AU115" s="53">
        <v>1673</v>
      </c>
      <c r="AV115" s="53">
        <v>2060</v>
      </c>
      <c r="AW115" s="53">
        <v>1823</v>
      </c>
      <c r="AX115" s="53">
        <v>1483</v>
      </c>
      <c r="AY115" s="65">
        <f>SUM(AU115:AX115)</f>
        <v>7039</v>
      </c>
      <c r="AZ115" s="547">
        <v>1678</v>
      </c>
      <c r="BA115" s="547">
        <v>1930</v>
      </c>
      <c r="BB115" s="547">
        <v>1746</v>
      </c>
      <c r="BC115" s="547">
        <v>1377</v>
      </c>
      <c r="BD115" s="65">
        <f>SUM(AZ115:BC115)</f>
        <v>6731</v>
      </c>
      <c r="BE115" s="547">
        <f>AZ115*(1+BE123)</f>
        <v>1639.4587075674597</v>
      </c>
      <c r="BF115" s="53">
        <f>BA115*(1+BF123)</f>
        <v>1995.5928739659191</v>
      </c>
      <c r="BG115" s="53">
        <f>BB115*(1+BG123)</f>
        <v>1023.3090037861174</v>
      </c>
      <c r="BH115" s="53">
        <f>BC115*(1+BH123)</f>
        <v>889.86411879156253</v>
      </c>
      <c r="BI115" s="65">
        <f>SUM(BE115:BH115)</f>
        <v>5548.2247041110586</v>
      </c>
      <c r="BJ115" s="53">
        <f>BE115*(1+BJ123)</f>
        <v>895.26351013569899</v>
      </c>
      <c r="BK115" s="53">
        <f>BF115*(1+BK123)</f>
        <v>1091.4004106999544</v>
      </c>
      <c r="BL115" s="53">
        <f>BG115*(1+BL123)</f>
        <v>559.65316451826698</v>
      </c>
      <c r="BM115" s="53">
        <f>BH115*(1+BM123)</f>
        <v>486.67144355259433</v>
      </c>
      <c r="BN115" s="65">
        <f>SUM(BJ115:BM115)</f>
        <v>3032.9885289065146</v>
      </c>
      <c r="BO115" s="53">
        <f>BJ115*(1+BO123)</f>
        <v>523.59981446328993</v>
      </c>
      <c r="BP115" s="53">
        <f>BK115*(1+BP123)</f>
        <v>638.31156534128843</v>
      </c>
      <c r="BQ115" s="53">
        <f>BL115*(1+BQ123)</f>
        <v>327.31624799623654</v>
      </c>
      <c r="BR115" s="53">
        <f>BM115*(1+BR123)</f>
        <v>284.63248492066379</v>
      </c>
      <c r="BS115" s="65">
        <f>SUM(BO115:BR115)</f>
        <v>1773.8601127214786</v>
      </c>
      <c r="BT115" s="53">
        <f>BO115*(1+BT123)</f>
        <v>534.07181075255573</v>
      </c>
      <c r="BU115" s="53">
        <f>BP115*(1+BU123)</f>
        <v>651.07779664811426</v>
      </c>
      <c r="BV115" s="53">
        <f>BQ115*(1+BV123)</f>
        <v>333.86257295616127</v>
      </c>
      <c r="BW115" s="53">
        <f>BR115*(1+BW123)</f>
        <v>290.32513461907706</v>
      </c>
      <c r="BX115" s="65">
        <f>SUM(BT115:BW115)</f>
        <v>1809.3373149759084</v>
      </c>
      <c r="BY115" s="53">
        <f>BT115*(1+BY123)</f>
        <v>544.75324696760686</v>
      </c>
      <c r="BZ115" s="53">
        <f>BU115*(1+BZ123)</f>
        <v>664.09935258107657</v>
      </c>
      <c r="CA115" s="53">
        <f>BV115*(1+CA123)</f>
        <v>340.5398244152845</v>
      </c>
      <c r="CB115" s="53">
        <f>BW115*(1+CB123)</f>
        <v>296.13163731145863</v>
      </c>
      <c r="CC115" s="65">
        <f>SUM(BY115:CB115)</f>
        <v>1845.5240612754267</v>
      </c>
      <c r="CD115" s="53">
        <f>BY115*(1+CD123)</f>
        <v>555.64831190695895</v>
      </c>
      <c r="CE115" s="53">
        <f>BZ115*(1+CE123)</f>
        <v>677.38133963269809</v>
      </c>
      <c r="CF115" s="53">
        <f>CA115*(1+CF123)</f>
        <v>347.3506209035902</v>
      </c>
      <c r="CG115" s="53">
        <f>CB115*(1+CG123)</f>
        <v>302.0542700576878</v>
      </c>
      <c r="CH115" s="65">
        <f>SUM(CD115:CG115)</f>
        <v>1882.4345425009351</v>
      </c>
      <c r="CI115" s="53">
        <f>CD115*(1+CI123)</f>
        <v>566.76127814509812</v>
      </c>
      <c r="CJ115" s="53">
        <f>CE115*(1+CJ123)</f>
        <v>690.92896642535209</v>
      </c>
      <c r="CK115" s="53">
        <f>CF115*(1+CK123)</f>
        <v>354.29763332166203</v>
      </c>
      <c r="CL115" s="53">
        <f>CG115*(1+CL123)</f>
        <v>308.09535545884154</v>
      </c>
      <c r="CM115" s="65">
        <f>SUM(CI115:CL115)</f>
        <v>1920.0832333509538</v>
      </c>
    </row>
    <row r="116" spans="1:91" hidden="1" outlineLevel="1" x14ac:dyDescent="0.2">
      <c r="A116" s="45" t="s">
        <v>194</v>
      </c>
      <c r="B116" s="61" t="s">
        <v>169</v>
      </c>
      <c r="C116" s="61" t="s">
        <v>169</v>
      </c>
      <c r="D116" s="61" t="s">
        <v>169</v>
      </c>
      <c r="E116" s="61" t="s">
        <v>169</v>
      </c>
      <c r="F116" s="113" t="s">
        <v>169</v>
      </c>
      <c r="G116" s="61" t="s">
        <v>169</v>
      </c>
      <c r="H116" s="61" t="s">
        <v>169</v>
      </c>
      <c r="I116" s="61" t="s">
        <v>169</v>
      </c>
      <c r="J116" s="61" t="s">
        <v>169</v>
      </c>
      <c r="K116" s="113" t="s">
        <v>169</v>
      </c>
      <c r="L116" s="70">
        <v>-20</v>
      </c>
      <c r="M116" s="70">
        <v>-45</v>
      </c>
      <c r="N116" s="70">
        <v>-42</v>
      </c>
      <c r="O116" s="70">
        <v>-18</v>
      </c>
      <c r="P116" s="77">
        <v>-125</v>
      </c>
      <c r="Q116" s="70">
        <v>-22</v>
      </c>
      <c r="R116" s="70">
        <v>-93</v>
      </c>
      <c r="S116" s="70">
        <v>-55</v>
      </c>
      <c r="T116" s="70">
        <v>-30</v>
      </c>
      <c r="U116" s="77">
        <f>SUM(Q116:T116)</f>
        <v>-200</v>
      </c>
      <c r="V116" s="70">
        <v>-26</v>
      </c>
      <c r="W116" s="70">
        <v>-36</v>
      </c>
      <c r="X116" s="70">
        <v>-36</v>
      </c>
      <c r="Y116" s="70">
        <v>-29</v>
      </c>
      <c r="Z116" s="77">
        <f>SUM(V116:Y116)</f>
        <v>-127</v>
      </c>
      <c r="AA116" s="70">
        <v>-25</v>
      </c>
      <c r="AB116" s="70">
        <v>-25</v>
      </c>
      <c r="AC116" s="70">
        <v>-27</v>
      </c>
      <c r="AD116" s="70">
        <v>-20</v>
      </c>
      <c r="AE116" s="77">
        <f>SUM(AA116:AD116)</f>
        <v>-97</v>
      </c>
      <c r="AF116" s="70">
        <v>-19</v>
      </c>
      <c r="AG116" s="70">
        <v>-23</v>
      </c>
      <c r="AH116" s="70">
        <v>-24</v>
      </c>
      <c r="AI116" s="70">
        <v>-24</v>
      </c>
      <c r="AJ116" s="77">
        <f>SUM(AF116:AI116)</f>
        <v>-90</v>
      </c>
      <c r="AK116" s="70">
        <v>-19</v>
      </c>
      <c r="AL116" s="70">
        <v>-21</v>
      </c>
      <c r="AM116" s="70">
        <v>-26</v>
      </c>
      <c r="AN116" s="70">
        <v>-22</v>
      </c>
      <c r="AO116" s="77">
        <f>SUM(AK116:AN116)</f>
        <v>-88</v>
      </c>
      <c r="AP116" s="70">
        <v>-20</v>
      </c>
      <c r="AQ116" s="70">
        <v>-20</v>
      </c>
      <c r="AR116" s="70">
        <v>-21</v>
      </c>
      <c r="AS116" s="70">
        <v>-17</v>
      </c>
      <c r="AT116" s="77">
        <f>SUM(AP116:AS116)</f>
        <v>-78</v>
      </c>
      <c r="AU116" s="70">
        <v>-16</v>
      </c>
      <c r="AV116" s="70">
        <v>-18</v>
      </c>
      <c r="AW116" s="70">
        <v>-19</v>
      </c>
      <c r="AX116" s="70">
        <v>-14</v>
      </c>
      <c r="AY116" s="77">
        <f>SUM(AU116:AX116)</f>
        <v>-67</v>
      </c>
      <c r="AZ116" s="548">
        <v>-13</v>
      </c>
      <c r="BA116" s="548">
        <v>-13</v>
      </c>
      <c r="BB116" s="548">
        <v>-13</v>
      </c>
      <c r="BC116" s="548">
        <v>-10</v>
      </c>
      <c r="BD116" s="77">
        <f>SUM(AZ116:BC116)</f>
        <v>-49</v>
      </c>
      <c r="BE116" s="548">
        <f>-BE117*BE115</f>
        <v>-12.701408342298555</v>
      </c>
      <c r="BF116" s="70">
        <f>-BF117*BF115</f>
        <v>-13.441817285780804</v>
      </c>
      <c r="BG116" s="70">
        <f>-BG117*BG115</f>
        <v>-7.6191392034476086</v>
      </c>
      <c r="BH116" s="70">
        <f>-BH117*BH115</f>
        <v>-6.4623392795320447</v>
      </c>
      <c r="BI116" s="77">
        <f>SUM(BE116:BH116)</f>
        <v>-40.224704111059012</v>
      </c>
      <c r="BJ116" s="70">
        <f>-BJ117*BJ115</f>
        <v>-6.9358913180954032</v>
      </c>
      <c r="BK116" s="70">
        <f>-BK117*BK115</f>
        <v>-7.3514017301033201</v>
      </c>
      <c r="BL116" s="70">
        <f>-BL117*BL115</f>
        <v>-4.1669479603307389</v>
      </c>
      <c r="BM116" s="70">
        <f>-BM117*BM115</f>
        <v>-3.5342878979854349</v>
      </c>
      <c r="BN116" s="77">
        <f>SUM(BJ116:BM116)</f>
        <v>-21.988528906514897</v>
      </c>
      <c r="BO116" s="70">
        <f>-BO117*BO115</f>
        <v>-4.0564943909551667</v>
      </c>
      <c r="BP116" s="70">
        <f>-BP117*BP115</f>
        <v>-4.2995079530760361</v>
      </c>
      <c r="BQ116" s="70">
        <f>-BQ117*BQ115</f>
        <v>-2.4370625566730095</v>
      </c>
      <c r="BR116" s="70">
        <f>-BR117*BR115</f>
        <v>-2.0670478207746101</v>
      </c>
      <c r="BS116" s="77">
        <f>SUM(BO116:BR116)</f>
        <v>-12.860112721478822</v>
      </c>
      <c r="BT116" s="70">
        <f>-BT117*BT115</f>
        <v>-4.1376242787742701</v>
      </c>
      <c r="BU116" s="70">
        <f>-BU117*BU115</f>
        <v>-4.3854981121375571</v>
      </c>
      <c r="BV116" s="70">
        <f>-BV117*BV115</f>
        <v>-2.4858038078064699</v>
      </c>
      <c r="BW116" s="70">
        <f>-BW117*BW115</f>
        <v>-2.1083887771901022</v>
      </c>
      <c r="BX116" s="77">
        <f>SUM(BT116:BW116)</f>
        <v>-13.117314975908398</v>
      </c>
      <c r="BY116" s="70">
        <f>-BY117*BY115</f>
        <v>-4.2203767643497549</v>
      </c>
      <c r="BZ116" s="70">
        <f>-BZ117*BZ115</f>
        <v>-4.4732080743803087</v>
      </c>
      <c r="CA116" s="70">
        <f>-CA117*CA115</f>
        <v>-2.5355198839625994</v>
      </c>
      <c r="CB116" s="70">
        <f>-CB117*CB115</f>
        <v>-2.1505565527339043</v>
      </c>
      <c r="CC116" s="77">
        <f>SUM(BY116:CB116)</f>
        <v>-13.379661275426569</v>
      </c>
      <c r="CD116" s="70">
        <f>-CD117*CD115</f>
        <v>-4.3047842996367498</v>
      </c>
      <c r="CE116" s="70">
        <f>-CE117*CE115</f>
        <v>-4.5626722358679146</v>
      </c>
      <c r="CF116" s="70">
        <f>-CF117*CF115</f>
        <v>-2.5862302816418512</v>
      </c>
      <c r="CG116" s="70">
        <f>-CG117*CG115</f>
        <v>-2.1935676837885825</v>
      </c>
      <c r="CH116" s="77">
        <f>SUM(CD116:CG116)</f>
        <v>-13.6472545009351</v>
      </c>
      <c r="CI116" s="70">
        <f>-CI117*CI115</f>
        <v>-4.3908799856294847</v>
      </c>
      <c r="CJ116" s="70">
        <f>-CJ117*CJ115</f>
        <v>-4.6539256805852736</v>
      </c>
      <c r="CK116" s="70">
        <f>-CK117*CK115</f>
        <v>-2.6379548872746885</v>
      </c>
      <c r="CL116" s="70">
        <f>-CL117*CL115</f>
        <v>-2.237439037464354</v>
      </c>
      <c r="CM116" s="77">
        <f>SUM(CI116:CL116)</f>
        <v>-13.9201995909538</v>
      </c>
    </row>
    <row r="117" spans="1:91" hidden="1" outlineLevel="2" x14ac:dyDescent="0.2">
      <c r="A117" s="45" t="s">
        <v>196</v>
      </c>
      <c r="B117" s="61" t="s">
        <v>169</v>
      </c>
      <c r="C117" s="61" t="s">
        <v>169</v>
      </c>
      <c r="D117" s="61" t="s">
        <v>169</v>
      </c>
      <c r="E117" s="61" t="s">
        <v>169</v>
      </c>
      <c r="F117" s="113" t="s">
        <v>169</v>
      </c>
      <c r="G117" s="61" t="s">
        <v>169</v>
      </c>
      <c r="H117" s="61" t="s">
        <v>169</v>
      </c>
      <c r="I117" s="61" t="s">
        <v>169</v>
      </c>
      <c r="J117" s="61" t="s">
        <v>169</v>
      </c>
      <c r="K117" s="113" t="s">
        <v>169</v>
      </c>
      <c r="L117" s="36">
        <f t="shared" ref="L117:AK117" si="145">-L116/L115</f>
        <v>1.3726835964310227E-2</v>
      </c>
      <c r="M117" s="36">
        <f t="shared" si="145"/>
        <v>2.1676300578034682E-2</v>
      </c>
      <c r="N117" s="36">
        <f t="shared" si="145"/>
        <v>2.0408163265306121E-2</v>
      </c>
      <c r="O117" s="36">
        <f t="shared" si="145"/>
        <v>8.555133079847909E-3</v>
      </c>
      <c r="P117" s="27">
        <f t="shared" si="145"/>
        <v>1.6244314489928524E-2</v>
      </c>
      <c r="Q117" s="36">
        <f t="shared" si="145"/>
        <v>1.0531354715174725E-2</v>
      </c>
      <c r="R117" s="36">
        <f t="shared" si="145"/>
        <v>3.4431691965938538E-2</v>
      </c>
      <c r="S117" s="36">
        <f t="shared" si="145"/>
        <v>2.3819835426591596E-2</v>
      </c>
      <c r="T117" s="36">
        <f t="shared" si="145"/>
        <v>1.6375545851528384E-2</v>
      </c>
      <c r="U117" s="27">
        <f t="shared" si="145"/>
        <v>2.2393908856790951E-2</v>
      </c>
      <c r="V117" s="36">
        <f t="shared" si="145"/>
        <v>1.4270032930845226E-2</v>
      </c>
      <c r="W117" s="36">
        <f t="shared" si="145"/>
        <v>1.6057091882247992E-2</v>
      </c>
      <c r="X117" s="36">
        <f t="shared" si="145"/>
        <v>1.62748643761302E-2</v>
      </c>
      <c r="Y117" s="36">
        <f t="shared" si="145"/>
        <v>1.4187866927592954E-2</v>
      </c>
      <c r="Z117" s="27">
        <f t="shared" si="145"/>
        <v>1.5264423076923076E-2</v>
      </c>
      <c r="AA117" s="36">
        <f t="shared" si="145"/>
        <v>1.2645422357106728E-2</v>
      </c>
      <c r="AB117" s="36">
        <f t="shared" si="145"/>
        <v>1.078981441519206E-2</v>
      </c>
      <c r="AC117" s="36">
        <f t="shared" si="145"/>
        <v>1.2505789717461788E-2</v>
      </c>
      <c r="AD117" s="36">
        <f t="shared" si="145"/>
        <v>1.0752688172043012E-2</v>
      </c>
      <c r="AE117" s="27">
        <f>-AE116/AE115</f>
        <v>1.1668471069409358E-2</v>
      </c>
      <c r="AF117" s="36">
        <f t="shared" si="145"/>
        <v>9.9632931305715777E-3</v>
      </c>
      <c r="AG117" s="36">
        <f t="shared" si="145"/>
        <v>9.4146541137945152E-3</v>
      </c>
      <c r="AH117" s="36">
        <f t="shared" si="145"/>
        <v>1.0600706713780919E-2</v>
      </c>
      <c r="AI117" s="36">
        <f t="shared" si="145"/>
        <v>1.2139605462822459E-2</v>
      </c>
      <c r="AJ117" s="27">
        <f>-AJ116/AJ115</f>
        <v>1.0476079618205099E-2</v>
      </c>
      <c r="AK117" s="36">
        <f t="shared" si="145"/>
        <v>9.0347123157394193E-3</v>
      </c>
      <c r="AL117" s="36">
        <f>-AL116/AL115</f>
        <v>8.4100921105326396E-3</v>
      </c>
      <c r="AM117" s="36">
        <f>-AM116/AM115</f>
        <v>1.177536231884058E-2</v>
      </c>
      <c r="AN117" s="36">
        <f>-AN116/AN115</f>
        <v>1.0541447053186392E-2</v>
      </c>
      <c r="AO117" s="27">
        <f>-AO116/AO115</f>
        <v>9.8931984260820678E-3</v>
      </c>
      <c r="AP117" s="36">
        <f t="shared" ref="AP117:BC117" si="146">-AP116/AP115</f>
        <v>9.8135426889106973E-3</v>
      </c>
      <c r="AQ117" s="36">
        <f t="shared" si="146"/>
        <v>8.9365504915102766E-3</v>
      </c>
      <c r="AR117" s="36">
        <f t="shared" si="146"/>
        <v>1.146288209606987E-2</v>
      </c>
      <c r="AS117" s="36">
        <f t="shared" si="146"/>
        <v>1.0841836734693877E-2</v>
      </c>
      <c r="AT117" s="27">
        <f t="shared" si="146"/>
        <v>1.0161542470036478E-2</v>
      </c>
      <c r="AU117" s="36">
        <f t="shared" si="146"/>
        <v>9.563658099222952E-3</v>
      </c>
      <c r="AV117" s="36">
        <f t="shared" si="146"/>
        <v>8.7378640776699032E-3</v>
      </c>
      <c r="AW117" s="36">
        <f t="shared" si="146"/>
        <v>1.0422380691168404E-2</v>
      </c>
      <c r="AX117" s="36">
        <f t="shared" si="146"/>
        <v>9.440323668240054E-3</v>
      </c>
      <c r="AY117" s="27">
        <f>-AY116/AY115</f>
        <v>9.5183974996448355E-3</v>
      </c>
      <c r="AZ117" s="36">
        <f t="shared" si="146"/>
        <v>7.7473182359952325E-3</v>
      </c>
      <c r="BA117" s="36">
        <f t="shared" si="146"/>
        <v>6.7357512953367879E-3</v>
      </c>
      <c r="BB117" s="36">
        <f t="shared" si="146"/>
        <v>7.4455899198167235E-3</v>
      </c>
      <c r="BC117" s="36">
        <f t="shared" si="146"/>
        <v>7.2621641249092234E-3</v>
      </c>
      <c r="BD117" s="27">
        <f>-BD116/BD115</f>
        <v>7.2797504085574212E-3</v>
      </c>
      <c r="BE117" s="36">
        <f>AZ117</f>
        <v>7.7473182359952325E-3</v>
      </c>
      <c r="BF117" s="41">
        <f>BA117</f>
        <v>6.7357512953367879E-3</v>
      </c>
      <c r="BG117" s="41">
        <f>BB117</f>
        <v>7.4455899198167235E-3</v>
      </c>
      <c r="BH117" s="41">
        <f>BC117</f>
        <v>7.2621641249092234E-3</v>
      </c>
      <c r="BI117" s="27">
        <f>-BI116/BI115</f>
        <v>7.2500135189646842E-3</v>
      </c>
      <c r="BJ117" s="41">
        <f>BE117</f>
        <v>7.7473182359952325E-3</v>
      </c>
      <c r="BK117" s="41">
        <f>BF117</f>
        <v>6.7357512953367879E-3</v>
      </c>
      <c r="BL117" s="41">
        <f>BG117</f>
        <v>7.4455899198167235E-3</v>
      </c>
      <c r="BM117" s="41">
        <f>BH117</f>
        <v>7.2621641249092234E-3</v>
      </c>
      <c r="BN117" s="27">
        <f>-BN116/BN115</f>
        <v>7.2497896701384616E-3</v>
      </c>
      <c r="BO117" s="41">
        <f>BJ117</f>
        <v>7.7473182359952325E-3</v>
      </c>
      <c r="BP117" s="41">
        <f>BK117</f>
        <v>6.7357512953367879E-3</v>
      </c>
      <c r="BQ117" s="41">
        <f>BL117</f>
        <v>7.4455899198167235E-3</v>
      </c>
      <c r="BR117" s="41">
        <f>BM117</f>
        <v>7.2621641249092234E-3</v>
      </c>
      <c r="BS117" s="27">
        <f>-BS116/BS115</f>
        <v>7.2497896701384616E-3</v>
      </c>
      <c r="BT117" s="41">
        <f>BO117</f>
        <v>7.7473182359952325E-3</v>
      </c>
      <c r="BU117" s="41">
        <f>BP117</f>
        <v>6.7357512953367879E-3</v>
      </c>
      <c r="BV117" s="41">
        <f>BQ117</f>
        <v>7.4455899198167235E-3</v>
      </c>
      <c r="BW117" s="41">
        <f>BR117</f>
        <v>7.2621641249092234E-3</v>
      </c>
      <c r="BX117" s="27">
        <f>-BX116/BX115</f>
        <v>7.2497896701384599E-3</v>
      </c>
      <c r="BY117" s="41">
        <f>BT117</f>
        <v>7.7473182359952325E-3</v>
      </c>
      <c r="BZ117" s="41">
        <f>BU117</f>
        <v>6.7357512953367879E-3</v>
      </c>
      <c r="CA117" s="41">
        <f>BV117</f>
        <v>7.4455899198167235E-3</v>
      </c>
      <c r="CB117" s="41">
        <f>BW117</f>
        <v>7.2621641249092234E-3</v>
      </c>
      <c r="CC117" s="27">
        <f>-CC116/CC115</f>
        <v>7.2497896701384616E-3</v>
      </c>
      <c r="CD117" s="41">
        <f>BY117</f>
        <v>7.7473182359952325E-3</v>
      </c>
      <c r="CE117" s="41">
        <f>BZ117</f>
        <v>6.7357512953367879E-3</v>
      </c>
      <c r="CF117" s="41">
        <f>CA117</f>
        <v>7.4455899198167235E-3</v>
      </c>
      <c r="CG117" s="41">
        <f>CB117</f>
        <v>7.2621641249092234E-3</v>
      </c>
      <c r="CH117" s="27">
        <f>-CH116/CH115</f>
        <v>7.2497896701384616E-3</v>
      </c>
      <c r="CI117" s="41">
        <f>CD117</f>
        <v>7.7473182359952325E-3</v>
      </c>
      <c r="CJ117" s="41">
        <f>CE117</f>
        <v>6.7357512953367879E-3</v>
      </c>
      <c r="CK117" s="41">
        <f>CF117</f>
        <v>7.4455899198167235E-3</v>
      </c>
      <c r="CL117" s="41">
        <f>CG117</f>
        <v>7.2621641249092234E-3</v>
      </c>
      <c r="CM117" s="27">
        <f>-CM116/CM115</f>
        <v>7.2497896701384599E-3</v>
      </c>
    </row>
    <row r="118" spans="1:91" hidden="1" outlineLevel="1" collapsed="1" x14ac:dyDescent="0.2">
      <c r="A118" s="58" t="s">
        <v>198</v>
      </c>
      <c r="B118" s="61">
        <f t="shared" ref="B118:K118" si="147">B115</f>
        <v>960</v>
      </c>
      <c r="C118" s="61">
        <f t="shared" si="147"/>
        <v>1228</v>
      </c>
      <c r="D118" s="61">
        <f t="shared" si="147"/>
        <v>1103</v>
      </c>
      <c r="E118" s="61">
        <f t="shared" si="147"/>
        <v>971</v>
      </c>
      <c r="F118" s="65">
        <f t="shared" si="147"/>
        <v>4262</v>
      </c>
      <c r="G118" s="61">
        <f t="shared" si="147"/>
        <v>983</v>
      </c>
      <c r="H118" s="61">
        <f t="shared" si="147"/>
        <v>1329</v>
      </c>
      <c r="I118" s="61">
        <f t="shared" si="147"/>
        <v>1423</v>
      </c>
      <c r="J118" s="61">
        <f t="shared" si="147"/>
        <v>1308</v>
      </c>
      <c r="K118" s="65">
        <f t="shared" si="147"/>
        <v>5043</v>
      </c>
      <c r="L118" s="53">
        <f t="shared" ref="L118:AD118" si="148">SUM(L115,L116)</f>
        <v>1437</v>
      </c>
      <c r="M118" s="53">
        <f t="shared" si="148"/>
        <v>2031</v>
      </c>
      <c r="N118" s="53">
        <f t="shared" si="148"/>
        <v>2016</v>
      </c>
      <c r="O118" s="53">
        <f t="shared" si="148"/>
        <v>2086</v>
      </c>
      <c r="P118" s="65">
        <f t="shared" si="148"/>
        <v>7570</v>
      </c>
      <c r="Q118" s="53">
        <f t="shared" si="148"/>
        <v>2067</v>
      </c>
      <c r="R118" s="53">
        <f t="shared" si="148"/>
        <v>2608</v>
      </c>
      <c r="S118" s="53">
        <f t="shared" si="148"/>
        <v>2254</v>
      </c>
      <c r="T118" s="53">
        <f t="shared" si="148"/>
        <v>1802</v>
      </c>
      <c r="U118" s="65">
        <f t="shared" si="148"/>
        <v>8731</v>
      </c>
      <c r="V118" s="53">
        <f t="shared" si="148"/>
        <v>1796</v>
      </c>
      <c r="W118" s="53">
        <f t="shared" si="148"/>
        <v>2206</v>
      </c>
      <c r="X118" s="53">
        <f t="shared" si="148"/>
        <v>2176</v>
      </c>
      <c r="Y118" s="53">
        <f t="shared" si="148"/>
        <v>2015</v>
      </c>
      <c r="Z118" s="65">
        <f t="shared" si="148"/>
        <v>8193</v>
      </c>
      <c r="AA118" s="53">
        <f t="shared" si="148"/>
        <v>1952</v>
      </c>
      <c r="AB118" s="53">
        <f t="shared" si="148"/>
        <v>2292</v>
      </c>
      <c r="AC118" s="53">
        <f t="shared" si="148"/>
        <v>2132</v>
      </c>
      <c r="AD118" s="53">
        <f t="shared" si="148"/>
        <v>1840</v>
      </c>
      <c r="AE118" s="65">
        <f>SUM(AA118:AD118)</f>
        <v>8216</v>
      </c>
      <c r="AF118" s="53">
        <f>SUM(AF115,AF116)</f>
        <v>1888</v>
      </c>
      <c r="AG118" s="53">
        <f>SUM(AG115,AG116)</f>
        <v>2420</v>
      </c>
      <c r="AH118" s="53">
        <f>SUM(AH115,AH116)</f>
        <v>2240</v>
      </c>
      <c r="AI118" s="53">
        <f>SUM(AI115,AI116)</f>
        <v>1953</v>
      </c>
      <c r="AJ118" s="65">
        <f>SUM(AF118:AI118)</f>
        <v>8501</v>
      </c>
      <c r="AK118" s="53">
        <f>SUM(AK115,AK116)</f>
        <v>2084</v>
      </c>
      <c r="AL118" s="53">
        <f>SUM(AL115,AL116)</f>
        <v>2476</v>
      </c>
      <c r="AM118" s="53">
        <f>SUM(AM115,AM116)</f>
        <v>2182</v>
      </c>
      <c r="AN118" s="53">
        <f>SUM(AN115,AN116)</f>
        <v>2065</v>
      </c>
      <c r="AO118" s="65">
        <f>SUM(AK118:AN118)</f>
        <v>8807</v>
      </c>
      <c r="AP118" s="53">
        <f>SUM(AP115,AP116)</f>
        <v>2018</v>
      </c>
      <c r="AQ118" s="53">
        <f>SUM(AQ115,AQ116)</f>
        <v>2218</v>
      </c>
      <c r="AR118" s="53">
        <f>SUM(AR115,AR116)</f>
        <v>1811</v>
      </c>
      <c r="AS118" s="53">
        <f>SUM(AS115,AS116)</f>
        <v>1551</v>
      </c>
      <c r="AT118" s="65">
        <f>SUM(AP118:AS118)</f>
        <v>7598</v>
      </c>
      <c r="AU118" s="53">
        <f>SUM(AU115,AU116)</f>
        <v>1657</v>
      </c>
      <c r="AV118" s="53">
        <f>SUM(AV115,AV116)</f>
        <v>2042</v>
      </c>
      <c r="AW118" s="53">
        <f>SUM(AW115,AW116)</f>
        <v>1804</v>
      </c>
      <c r="AX118" s="53">
        <f>SUM(AX115,AX116)</f>
        <v>1469</v>
      </c>
      <c r="AY118" s="65">
        <f>SUM(AU118:AX118)</f>
        <v>6972</v>
      </c>
      <c r="AZ118" s="53">
        <f>SUM(AZ115,AZ116)</f>
        <v>1665</v>
      </c>
      <c r="BA118" s="53">
        <f>SUM(BA115,BA116)</f>
        <v>1917</v>
      </c>
      <c r="BB118" s="53">
        <f>SUM(BB115,BB116)</f>
        <v>1733</v>
      </c>
      <c r="BC118" s="53">
        <f>SUM(BC115,BC116)</f>
        <v>1367</v>
      </c>
      <c r="BD118" s="65">
        <f>SUM(AZ118:BC118)</f>
        <v>6682</v>
      </c>
      <c r="BE118" s="53">
        <f>SUM(BE115,BE116)</f>
        <v>1626.7572992251612</v>
      </c>
      <c r="BF118" s="53">
        <f>SUM(BF115,BF116)</f>
        <v>1982.1510566801383</v>
      </c>
      <c r="BG118" s="53">
        <f>SUM(BG115,BG116)</f>
        <v>1015.6898645826698</v>
      </c>
      <c r="BH118" s="53">
        <f>SUM(BH115,BH116)</f>
        <v>883.40177951203054</v>
      </c>
      <c r="BI118" s="65">
        <f>SUM(BE118:BH118)</f>
        <v>5508</v>
      </c>
      <c r="BJ118" s="53">
        <f>SUM(BJ115,BJ116)</f>
        <v>888.32761881760359</v>
      </c>
      <c r="BK118" s="53">
        <f>SUM(BK115,BK116)</f>
        <v>1084.049008969851</v>
      </c>
      <c r="BL118" s="53">
        <f>SUM(BL115,BL116)</f>
        <v>555.48621655793625</v>
      </c>
      <c r="BM118" s="53">
        <f>SUM(BM115,BM116)</f>
        <v>483.13715565460888</v>
      </c>
      <c r="BN118" s="65">
        <f>SUM(BJ118:BM118)</f>
        <v>3010.9999999999995</v>
      </c>
      <c r="BO118" s="53">
        <f>SUM(BO115,BO116)</f>
        <v>519.54332007233472</v>
      </c>
      <c r="BP118" s="53">
        <f>SUM(BP115,BP116)</f>
        <v>634.01205738821238</v>
      </c>
      <c r="BQ118" s="53">
        <f>SUM(BQ115,BQ116)</f>
        <v>324.87918543956351</v>
      </c>
      <c r="BR118" s="53">
        <f>SUM(BR115,BR116)</f>
        <v>282.56543709988915</v>
      </c>
      <c r="BS118" s="65">
        <f>SUM(BO118:BR118)</f>
        <v>1760.9999999999998</v>
      </c>
      <c r="BT118" s="53">
        <f>SUM(BT115,BT116)</f>
        <v>529.93418647378144</v>
      </c>
      <c r="BU118" s="53">
        <f>SUM(BU115,BU116)</f>
        <v>646.69229853597665</v>
      </c>
      <c r="BV118" s="53">
        <f>SUM(BV115,BV116)</f>
        <v>331.37676914835481</v>
      </c>
      <c r="BW118" s="53">
        <f>SUM(BW115,BW116)</f>
        <v>288.21674584188696</v>
      </c>
      <c r="BX118" s="65">
        <f>SUM(BT118:BW118)</f>
        <v>1796.22</v>
      </c>
      <c r="BY118" s="53">
        <f>SUM(BY115,BY116)</f>
        <v>540.53287020325706</v>
      </c>
      <c r="BZ118" s="53">
        <f>SUM(BZ115,BZ116)</f>
        <v>659.62614450669628</v>
      </c>
      <c r="CA118" s="53">
        <f>SUM(CA115,CA116)</f>
        <v>338.00430453132191</v>
      </c>
      <c r="CB118" s="53">
        <f>SUM(CB115,CB116)</f>
        <v>293.98108075872472</v>
      </c>
      <c r="CC118" s="65">
        <f>SUM(BY118:CB118)</f>
        <v>1832.1443999999997</v>
      </c>
      <c r="CD118" s="53">
        <f>SUM(CD115,CD116)</f>
        <v>551.34352760732224</v>
      </c>
      <c r="CE118" s="53">
        <f>SUM(CE115,CE116)</f>
        <v>672.81866739683016</v>
      </c>
      <c r="CF118" s="53">
        <f>SUM(CF115,CF116)</f>
        <v>344.76439062194834</v>
      </c>
      <c r="CG118" s="53">
        <f>SUM(CG115,CG116)</f>
        <v>299.86070237389924</v>
      </c>
      <c r="CH118" s="65">
        <f>SUM(CD118:CG118)</f>
        <v>1868.787288</v>
      </c>
      <c r="CI118" s="53">
        <f>SUM(CI115,CI116)</f>
        <v>562.37039815946866</v>
      </c>
      <c r="CJ118" s="53">
        <f>SUM(CJ115,CJ116)</f>
        <v>686.27504074476678</v>
      </c>
      <c r="CK118" s="53">
        <f>SUM(CK115,CK116)</f>
        <v>351.65967843438733</v>
      </c>
      <c r="CL118" s="53">
        <f>SUM(CL115,CL116)</f>
        <v>305.85791642137718</v>
      </c>
      <c r="CM118" s="65">
        <f>SUM(CI118:CL118)</f>
        <v>1906.1630337600002</v>
      </c>
    </row>
    <row r="119" spans="1:91" hidden="1" outlineLevel="1" x14ac:dyDescent="0.2">
      <c r="A119" s="25" t="s">
        <v>191</v>
      </c>
      <c r="B119" s="36"/>
      <c r="C119" s="36">
        <v>0.01</v>
      </c>
      <c r="D119" s="36">
        <v>0.04</v>
      </c>
      <c r="E119" s="36">
        <v>0.1</v>
      </c>
      <c r="F119" s="27">
        <v>6.424861495844876E-2</v>
      </c>
      <c r="G119" s="36">
        <v>0.09</v>
      </c>
      <c r="H119" s="36">
        <v>0.02</v>
      </c>
      <c r="I119" s="36">
        <v>0.25</v>
      </c>
      <c r="J119" s="36">
        <v>0.28999999999999998</v>
      </c>
      <c r="K119" s="27">
        <v>0.16</v>
      </c>
      <c r="L119" s="36">
        <v>7.0000000000000007E-2</v>
      </c>
      <c r="M119" s="36">
        <v>0.13</v>
      </c>
      <c r="N119" s="36">
        <v>0.08</v>
      </c>
      <c r="O119" s="36">
        <v>0.1</v>
      </c>
      <c r="P119" s="27">
        <v>0.09</v>
      </c>
      <c r="Q119" s="36">
        <v>0.09</v>
      </c>
      <c r="R119" s="36">
        <v>0.06</v>
      </c>
      <c r="S119" s="36">
        <v>0.06</v>
      </c>
      <c r="T119" s="36">
        <v>0.1</v>
      </c>
      <c r="U119" s="27">
        <v>0.08</v>
      </c>
      <c r="V119" s="36">
        <v>0.02</v>
      </c>
      <c r="W119" s="36">
        <v>0.05</v>
      </c>
      <c r="X119" s="36">
        <v>0.08</v>
      </c>
      <c r="Y119" s="36">
        <v>0.06</v>
      </c>
      <c r="Z119" s="27">
        <v>7.0000000000000007E-2</v>
      </c>
      <c r="AA119" s="36">
        <v>0.1</v>
      </c>
      <c r="AB119" s="36">
        <v>0.11</v>
      </c>
      <c r="AC119" s="36">
        <v>0.08</v>
      </c>
      <c r="AD119" s="36">
        <v>0.09</v>
      </c>
      <c r="AE119" s="27">
        <v>0.1</v>
      </c>
      <c r="AF119" s="36">
        <v>0.03</v>
      </c>
      <c r="AG119" s="36">
        <v>0.05</v>
      </c>
      <c r="AH119" s="36">
        <v>0.04</v>
      </c>
      <c r="AI119" s="36">
        <v>0.04</v>
      </c>
      <c r="AJ119" s="27">
        <v>0.04</v>
      </c>
      <c r="AK119" s="36">
        <v>0.08</v>
      </c>
      <c r="AL119" s="36">
        <v>0.1</v>
      </c>
      <c r="AM119" s="36">
        <v>0.04</v>
      </c>
      <c r="AN119" s="36">
        <v>0.03</v>
      </c>
      <c r="AO119" s="27">
        <v>0.06</v>
      </c>
      <c r="AP119" s="36">
        <v>0.02</v>
      </c>
      <c r="AQ119" s="36">
        <v>0.01</v>
      </c>
      <c r="AR119" s="36">
        <v>0.08</v>
      </c>
      <c r="AS119" s="36">
        <v>7.0000000000000007E-2</v>
      </c>
      <c r="AT119" s="27">
        <v>0.04</v>
      </c>
      <c r="AU119" s="36">
        <v>0.05</v>
      </c>
      <c r="AV119" s="36">
        <v>0.08</v>
      </c>
      <c r="AW119" s="36">
        <v>0.01</v>
      </c>
      <c r="AX119" s="36">
        <v>0.05</v>
      </c>
      <c r="AY119" s="27">
        <v>0.05</v>
      </c>
      <c r="AZ119" s="36">
        <v>0.11</v>
      </c>
      <c r="BA119" s="36">
        <v>0.05</v>
      </c>
      <c r="BB119" s="36">
        <v>0.08</v>
      </c>
      <c r="BC119" s="36">
        <v>0</v>
      </c>
      <c r="BD119" s="27">
        <v>0.06</v>
      </c>
      <c r="BE119" s="36">
        <v>-0.01</v>
      </c>
      <c r="BF119" s="41">
        <v>4.4999999999999998E-2</v>
      </c>
      <c r="BG119" s="41">
        <v>0.04</v>
      </c>
      <c r="BH119" s="36">
        <f>(BI119*BD115-SUMPRODUCT(AZ115:BB115,BE119:BG119))/BC115</f>
        <v>9.3921568627450991E-2</v>
      </c>
      <c r="BI119" s="44">
        <v>0.04</v>
      </c>
      <c r="BJ119" s="41">
        <f>BN119</f>
        <v>0.04</v>
      </c>
      <c r="BK119" s="41">
        <f>BN119</f>
        <v>0.04</v>
      </c>
      <c r="BL119" s="41">
        <f>BN119</f>
        <v>0.04</v>
      </c>
      <c r="BM119" s="36">
        <f>(BN119*BI115-SUMPRODUCT(BE115:BG115,BJ119:BL119))/BH115</f>
        <v>3.9999999999999987E-2</v>
      </c>
      <c r="BN119" s="44">
        <v>0.04</v>
      </c>
      <c r="BO119" s="41">
        <f>BS119</f>
        <v>0.03</v>
      </c>
      <c r="BP119" s="41">
        <f>BS119</f>
        <v>0.03</v>
      </c>
      <c r="BQ119" s="41">
        <f>BS119</f>
        <v>0.03</v>
      </c>
      <c r="BR119" s="36">
        <f>(BS119*BN115-SUMPRODUCT(BJ115:BL115,BO119:BQ119))/BM115</f>
        <v>2.9999999999999982E-2</v>
      </c>
      <c r="BS119" s="44">
        <v>0.03</v>
      </c>
      <c r="BT119" s="41">
        <f>BX119</f>
        <v>0.02</v>
      </c>
      <c r="BU119" s="41">
        <f>BX119</f>
        <v>0.02</v>
      </c>
      <c r="BV119" s="41">
        <f>BX119</f>
        <v>0.02</v>
      </c>
      <c r="BW119" s="36">
        <f>(BX119*BS115-SUMPRODUCT(BO115:BQ115,BT119:BV119))/BR115</f>
        <v>1.999999999999998E-2</v>
      </c>
      <c r="BX119" s="44">
        <v>0.02</v>
      </c>
      <c r="BY119" s="41">
        <f>CC119</f>
        <v>0.02</v>
      </c>
      <c r="BZ119" s="41">
        <f>CC119</f>
        <v>0.02</v>
      </c>
      <c r="CA119" s="41">
        <f>CC119</f>
        <v>0.02</v>
      </c>
      <c r="CB119" s="36">
        <f>(CC119*BX115-SUMPRODUCT(BT115:BV115,BY119:CA119))/BW115</f>
        <v>2.0000000000000004E-2</v>
      </c>
      <c r="CC119" s="44">
        <v>0.02</v>
      </c>
      <c r="CD119" s="41">
        <f>CH119</f>
        <v>0.02</v>
      </c>
      <c r="CE119" s="41">
        <f>CH119</f>
        <v>0.02</v>
      </c>
      <c r="CF119" s="41">
        <f>CH119</f>
        <v>0.02</v>
      </c>
      <c r="CG119" s="36">
        <f>(CH119*CC115-SUMPRODUCT(BY115:CA115,CD119:CF119))/CB115</f>
        <v>2.0000000000000011E-2</v>
      </c>
      <c r="CH119" s="44">
        <v>0.02</v>
      </c>
      <c r="CI119" s="41">
        <f>CM119</f>
        <v>0.02</v>
      </c>
      <c r="CJ119" s="41">
        <f>CM119</f>
        <v>0.02</v>
      </c>
      <c r="CK119" s="41">
        <f>CM119</f>
        <v>0.02</v>
      </c>
      <c r="CL119" s="36">
        <f>(CM119*CH115-SUMPRODUCT(CD115:CF115,CI119:CK119))/CG115</f>
        <v>2.0000000000000007E-2</v>
      </c>
      <c r="CM119" s="44">
        <v>0.02</v>
      </c>
    </row>
    <row r="120" spans="1:91" hidden="1" outlineLevel="1" x14ac:dyDescent="0.2">
      <c r="A120" s="25" t="s">
        <v>188</v>
      </c>
      <c r="B120" s="61" t="s">
        <v>169</v>
      </c>
      <c r="C120" s="61" t="s">
        <v>169</v>
      </c>
      <c r="D120" s="61" t="s">
        <v>169</v>
      </c>
      <c r="E120" s="61" t="s">
        <v>169</v>
      </c>
      <c r="F120" s="113" t="s">
        <v>169</v>
      </c>
      <c r="G120" s="61" t="s">
        <v>169</v>
      </c>
      <c r="H120" s="61" t="s">
        <v>169</v>
      </c>
      <c r="I120" s="61" t="s">
        <v>169</v>
      </c>
      <c r="J120" s="61" t="s">
        <v>169</v>
      </c>
      <c r="K120" s="113" t="s">
        <v>169</v>
      </c>
      <c r="L120" s="36">
        <v>7.0000000000000007E-2</v>
      </c>
      <c r="M120" s="36">
        <v>-0.02</v>
      </c>
      <c r="N120" s="36">
        <v>-0.09</v>
      </c>
      <c r="O120" s="36">
        <v>-0.05</v>
      </c>
      <c r="P120" s="27">
        <v>-0.02</v>
      </c>
      <c r="Q120" s="36">
        <v>-0.06</v>
      </c>
      <c r="R120" s="36">
        <v>-0.02</v>
      </c>
      <c r="S120" s="36">
        <v>-0.04</v>
      </c>
      <c r="T120" s="36">
        <v>-0.06</v>
      </c>
      <c r="U120" s="27">
        <v>-0.05</v>
      </c>
      <c r="V120" s="36">
        <v>0.04</v>
      </c>
      <c r="W120" s="36">
        <v>-0.04</v>
      </c>
      <c r="X120" s="36">
        <v>-0.02</v>
      </c>
      <c r="Y120" s="36">
        <v>-0.03</v>
      </c>
      <c r="Z120" s="27">
        <v>-0.04</v>
      </c>
      <c r="AA120" s="36">
        <v>-0.03</v>
      </c>
      <c r="AB120" s="36">
        <v>-0.02</v>
      </c>
      <c r="AC120" s="36">
        <v>0</v>
      </c>
      <c r="AD120" s="36">
        <v>0.02</v>
      </c>
      <c r="AE120" s="27">
        <v>-0.01</v>
      </c>
      <c r="AF120" s="36">
        <v>0.02</v>
      </c>
      <c r="AG120" s="36">
        <v>0.04</v>
      </c>
      <c r="AH120" s="36">
        <v>0.03</v>
      </c>
      <c r="AI120" s="36">
        <v>0.03</v>
      </c>
      <c r="AJ120" s="27">
        <v>0.03</v>
      </c>
      <c r="AK120" s="36">
        <v>0.03</v>
      </c>
      <c r="AL120" s="36">
        <v>-0.01</v>
      </c>
      <c r="AM120" s="36">
        <v>0.01</v>
      </c>
      <c r="AN120" s="36">
        <v>0.01</v>
      </c>
      <c r="AO120" s="27">
        <v>0.01</v>
      </c>
      <c r="AP120" s="36">
        <v>0.02</v>
      </c>
      <c r="AQ120" s="36">
        <v>0.01</v>
      </c>
      <c r="AR120" s="36">
        <v>-0.02</v>
      </c>
      <c r="AS120" s="36">
        <v>0.01</v>
      </c>
      <c r="AT120" s="27">
        <v>0.01</v>
      </c>
      <c r="AU120" s="36">
        <v>-0.04</v>
      </c>
      <c r="AV120" s="36">
        <v>-0.02</v>
      </c>
      <c r="AW120" s="36">
        <v>0</v>
      </c>
      <c r="AX120" s="36">
        <v>-0.04</v>
      </c>
      <c r="AY120" s="27">
        <v>-0.02</v>
      </c>
      <c r="AZ120" s="36">
        <v>-0.02</v>
      </c>
      <c r="BA120" s="36">
        <v>-0.03</v>
      </c>
      <c r="BB120" s="36">
        <v>-0.05</v>
      </c>
      <c r="BC120" s="36">
        <v>0</v>
      </c>
      <c r="BD120" s="27">
        <v>-0.03</v>
      </c>
      <c r="BE120" s="36">
        <f>BI120</f>
        <v>0</v>
      </c>
      <c r="BF120" s="41">
        <f>BI120</f>
        <v>0</v>
      </c>
      <c r="BG120" s="41">
        <f>BI120</f>
        <v>0</v>
      </c>
      <c r="BH120" s="36">
        <f>(BI120*BD115-SUMPRODUCT(AZ115:BB115,BE120:BG120))/BC115</f>
        <v>0</v>
      </c>
      <c r="BI120" s="44">
        <v>0</v>
      </c>
      <c r="BJ120" s="41">
        <f>BN120</f>
        <v>0</v>
      </c>
      <c r="BK120" s="41">
        <f>BN120</f>
        <v>0</v>
      </c>
      <c r="BL120" s="41">
        <f>BN120</f>
        <v>0</v>
      </c>
      <c r="BM120" s="36">
        <f>(BN120*BI115-SUMPRODUCT(BE115:BG115,BJ120:BL120))/BH115</f>
        <v>0</v>
      </c>
      <c r="BN120" s="44">
        <v>0</v>
      </c>
      <c r="BO120" s="41">
        <f>BS120</f>
        <v>0</v>
      </c>
      <c r="BP120" s="41">
        <f>BS120</f>
        <v>0</v>
      </c>
      <c r="BQ120" s="41">
        <f>BS120</f>
        <v>0</v>
      </c>
      <c r="BR120" s="36">
        <f>(BS120*BN115-SUMPRODUCT(BJ115:BL115,BO120:BQ120))/BM115</f>
        <v>0</v>
      </c>
      <c r="BS120" s="44">
        <v>0</v>
      </c>
      <c r="BT120" s="41">
        <f>BX120</f>
        <v>0</v>
      </c>
      <c r="BU120" s="41">
        <f>BX120</f>
        <v>0</v>
      </c>
      <c r="BV120" s="41">
        <f>BX120</f>
        <v>0</v>
      </c>
      <c r="BW120" s="36">
        <f>(BX120*BS115-SUMPRODUCT(BO115:BQ115,BT120:BV120))/BR115</f>
        <v>0</v>
      </c>
      <c r="BX120" s="44">
        <v>0</v>
      </c>
      <c r="BY120" s="41">
        <f>CC120</f>
        <v>0</v>
      </c>
      <c r="BZ120" s="41">
        <f>CC120</f>
        <v>0</v>
      </c>
      <c r="CA120" s="41">
        <f>CC120</f>
        <v>0</v>
      </c>
      <c r="CB120" s="36">
        <f>(CC120*BX115-SUMPRODUCT(BT115:BV115,BY120:CA120))/BW115</f>
        <v>0</v>
      </c>
      <c r="CC120" s="44">
        <v>0</v>
      </c>
      <c r="CD120" s="41">
        <f>CH120</f>
        <v>0</v>
      </c>
      <c r="CE120" s="41">
        <f>CH120</f>
        <v>0</v>
      </c>
      <c r="CF120" s="41">
        <f>CH120</f>
        <v>0</v>
      </c>
      <c r="CG120" s="36">
        <f>(CH120*CC115-SUMPRODUCT(BY115:CA115,CD120:CF120))/CB115</f>
        <v>0</v>
      </c>
      <c r="CH120" s="44">
        <v>0</v>
      </c>
      <c r="CI120" s="41">
        <f>CM120</f>
        <v>0</v>
      </c>
      <c r="CJ120" s="41">
        <f>CM120</f>
        <v>0</v>
      </c>
      <c r="CK120" s="41">
        <f>CM120</f>
        <v>0</v>
      </c>
      <c r="CL120" s="36">
        <f>(CM120*CH115-SUMPRODUCT(CD115:CF115,CI120:CK120))/CG115</f>
        <v>0</v>
      </c>
      <c r="CM120" s="44">
        <v>0</v>
      </c>
    </row>
    <row r="121" spans="1:91" hidden="1" outlineLevel="1" x14ac:dyDescent="0.2">
      <c r="A121" s="25" t="s">
        <v>189</v>
      </c>
      <c r="B121" s="61" t="s">
        <v>169</v>
      </c>
      <c r="C121" s="61" t="s">
        <v>169</v>
      </c>
      <c r="D121" s="61" t="s">
        <v>169</v>
      </c>
      <c r="E121" s="61" t="s">
        <v>169</v>
      </c>
      <c r="F121" s="113" t="s">
        <v>169</v>
      </c>
      <c r="G121" s="61" t="s">
        <v>169</v>
      </c>
      <c r="H121" s="61" t="s">
        <v>169</v>
      </c>
      <c r="I121" s="61" t="s">
        <v>169</v>
      </c>
      <c r="J121" s="61" t="s">
        <v>169</v>
      </c>
      <c r="K121" s="113" t="s">
        <v>169</v>
      </c>
      <c r="L121" s="36">
        <v>0.06</v>
      </c>
      <c r="M121" s="36">
        <v>0.09</v>
      </c>
      <c r="N121" s="36">
        <v>0.09</v>
      </c>
      <c r="O121" s="36">
        <v>0.19</v>
      </c>
      <c r="P121" s="27">
        <v>0.11</v>
      </c>
      <c r="Q121" s="36">
        <v>0.15</v>
      </c>
      <c r="R121" s="36">
        <v>0.14000000000000001</v>
      </c>
      <c r="S121" s="36">
        <v>0.09</v>
      </c>
      <c r="T121" s="36">
        <v>-0.09</v>
      </c>
      <c r="U121" s="27">
        <v>7.0000000000000007E-2</v>
      </c>
      <c r="V121" s="36">
        <v>-0.12</v>
      </c>
      <c r="W121" s="36">
        <v>-0.11</v>
      </c>
      <c r="X121" s="36">
        <v>-0.08</v>
      </c>
      <c r="Y121" s="36">
        <v>0.09</v>
      </c>
      <c r="Z121" s="27">
        <v>-0.06</v>
      </c>
      <c r="AA121" s="36">
        <v>0.09</v>
      </c>
      <c r="AB121" s="36">
        <v>0.03</v>
      </c>
      <c r="AC121" s="36">
        <v>-0.01</v>
      </c>
      <c r="AD121" s="36">
        <v>-0.01</v>
      </c>
      <c r="AE121" s="27">
        <v>0.02</v>
      </c>
      <c r="AF121" s="36">
        <v>0.02</v>
      </c>
      <c r="AG121" s="36">
        <v>7.0000000000000007E-2</v>
      </c>
      <c r="AH121" s="36">
        <v>0.09</v>
      </c>
      <c r="AI121" s="36">
        <v>-0.01</v>
      </c>
      <c r="AJ121" s="27">
        <v>0.04</v>
      </c>
      <c r="AK121" s="36">
        <v>-0.02</v>
      </c>
      <c r="AL121" s="36">
        <v>-0.09</v>
      </c>
      <c r="AM121" s="36">
        <v>-0.11</v>
      </c>
      <c r="AN121" s="36">
        <v>-0.03</v>
      </c>
      <c r="AO121" s="27">
        <v>-0.06</v>
      </c>
      <c r="AP121" s="36">
        <v>-0.02</v>
      </c>
      <c r="AQ121" s="36">
        <v>-0.01</v>
      </c>
      <c r="AR121" s="36">
        <v>0.02</v>
      </c>
      <c r="AS121" s="36">
        <v>0</v>
      </c>
      <c r="AT121" s="27">
        <v>-0.01</v>
      </c>
      <c r="AU121" s="36">
        <v>-0.01</v>
      </c>
      <c r="AV121" s="36">
        <v>-0.01</v>
      </c>
      <c r="AW121" s="36">
        <v>0.01</v>
      </c>
      <c r="AX121" s="36">
        <v>-0.04</v>
      </c>
      <c r="AY121" s="27">
        <v>-0.02</v>
      </c>
      <c r="AZ121" s="36">
        <v>-0.09</v>
      </c>
      <c r="BA121" s="36">
        <v>-0.1</v>
      </c>
      <c r="BB121" s="36">
        <v>-0.11</v>
      </c>
      <c r="BC121" s="36">
        <v>-0.11</v>
      </c>
      <c r="BD121" s="27">
        <v>-0.1</v>
      </c>
      <c r="BE121" s="36">
        <v>-2.896858905395723E-2</v>
      </c>
      <c r="BF121" s="41">
        <v>-2.7014054939938369E-2</v>
      </c>
      <c r="BG121" s="41">
        <v>-1.8833953073187672E-2</v>
      </c>
      <c r="BH121" s="41">
        <v>-1.2609224781865746E-2</v>
      </c>
      <c r="BI121" s="27">
        <f>SUMPRODUCT(AZ115:BC115,BE121:BH121)/BD115</f>
        <v>-2.2432536481508853E-2</v>
      </c>
      <c r="BJ121" s="41">
        <v>-8.3272677296916502E-4</v>
      </c>
      <c r="BK121" s="41">
        <f>BN121</f>
        <v>0</v>
      </c>
      <c r="BL121" s="41">
        <f>BN121</f>
        <v>0</v>
      </c>
      <c r="BM121" s="41">
        <f>BN121</f>
        <v>0</v>
      </c>
      <c r="BN121" s="44">
        <v>0</v>
      </c>
      <c r="BO121" s="41">
        <f>BS121</f>
        <v>0</v>
      </c>
      <c r="BP121" s="41">
        <f>BS121</f>
        <v>0</v>
      </c>
      <c r="BQ121" s="41">
        <f>BS121</f>
        <v>0</v>
      </c>
      <c r="BR121" s="41">
        <f>BS121</f>
        <v>0</v>
      </c>
      <c r="BS121" s="44">
        <v>0</v>
      </c>
      <c r="BT121" s="41">
        <f>BX121</f>
        <v>0</v>
      </c>
      <c r="BU121" s="41">
        <f>BX121</f>
        <v>0</v>
      </c>
      <c r="BV121" s="41">
        <f>BX121</f>
        <v>0</v>
      </c>
      <c r="BW121" s="41">
        <f>BX121</f>
        <v>0</v>
      </c>
      <c r="BX121" s="44">
        <v>0</v>
      </c>
      <c r="BY121" s="41">
        <f>CC121</f>
        <v>0</v>
      </c>
      <c r="BZ121" s="41">
        <f>CC121</f>
        <v>0</v>
      </c>
      <c r="CA121" s="41">
        <f>CC121</f>
        <v>0</v>
      </c>
      <c r="CB121" s="41">
        <f>CC121</f>
        <v>0</v>
      </c>
      <c r="CC121" s="44">
        <v>0</v>
      </c>
      <c r="CD121" s="41">
        <f>CH121</f>
        <v>0</v>
      </c>
      <c r="CE121" s="41">
        <f>CH121</f>
        <v>0</v>
      </c>
      <c r="CF121" s="41">
        <f>CH121</f>
        <v>0</v>
      </c>
      <c r="CG121" s="41">
        <f>CH121</f>
        <v>0</v>
      </c>
      <c r="CH121" s="44">
        <v>0</v>
      </c>
      <c r="CI121" s="41">
        <f>CM121</f>
        <v>0</v>
      </c>
      <c r="CJ121" s="41">
        <f>CM121</f>
        <v>0</v>
      </c>
      <c r="CK121" s="41">
        <f>CM121</f>
        <v>0</v>
      </c>
      <c r="CL121" s="41">
        <f>CM121</f>
        <v>0</v>
      </c>
      <c r="CM121" s="44">
        <v>0</v>
      </c>
    </row>
    <row r="122" spans="1:91" hidden="1" outlineLevel="1" x14ac:dyDescent="0.2">
      <c r="A122" s="30" t="s">
        <v>193</v>
      </c>
      <c r="B122" s="61" t="s">
        <v>169</v>
      </c>
      <c r="C122" s="61" t="s">
        <v>169</v>
      </c>
      <c r="D122" s="61" t="s">
        <v>169</v>
      </c>
      <c r="E122" s="61" t="s">
        <v>169</v>
      </c>
      <c r="F122" s="113" t="s">
        <v>169</v>
      </c>
      <c r="G122" s="61" t="s">
        <v>169</v>
      </c>
      <c r="H122" s="61" t="s">
        <v>169</v>
      </c>
      <c r="I122" s="61" t="s">
        <v>169</v>
      </c>
      <c r="J122" s="61" t="s">
        <v>169</v>
      </c>
      <c r="K122" s="113" t="s">
        <v>169</v>
      </c>
      <c r="L122" s="36">
        <v>0.27</v>
      </c>
      <c r="M122" s="36">
        <v>0.35</v>
      </c>
      <c r="N122" s="36">
        <v>0.36</v>
      </c>
      <c r="O122" s="36">
        <v>0.37</v>
      </c>
      <c r="P122" s="27">
        <v>0.35</v>
      </c>
      <c r="Q122" s="36">
        <v>0.25</v>
      </c>
      <c r="R122" s="36">
        <v>0.12</v>
      </c>
      <c r="S122" s="36">
        <v>0.01</v>
      </c>
      <c r="T122" s="36">
        <v>-0.08</v>
      </c>
      <c r="U122" s="27">
        <v>0.06</v>
      </c>
      <c r="V122" s="36">
        <v>-7.0000000000000007E-2</v>
      </c>
      <c r="W122" s="36">
        <v>-7.0000000000000007E-2</v>
      </c>
      <c r="X122" s="36">
        <v>-0.02</v>
      </c>
      <c r="Y122" s="36">
        <v>0</v>
      </c>
      <c r="Z122" s="27">
        <v>-0.04</v>
      </c>
      <c r="AA122" s="36">
        <v>-7.0000000000000007E-2</v>
      </c>
      <c r="AB122" s="36">
        <v>-0.08</v>
      </c>
      <c r="AC122" s="36">
        <v>-0.09</v>
      </c>
      <c r="AD122" s="36">
        <v>-0.19</v>
      </c>
      <c r="AE122" s="27">
        <v>-0.11</v>
      </c>
      <c r="AF122" s="36">
        <f>AF123-SUM(AF119:AF121)</f>
        <v>-0.10540718259989884</v>
      </c>
      <c r="AG122" s="36">
        <f>AG123-SUM(AG119:AG121)</f>
        <v>-0.10561933534743204</v>
      </c>
      <c r="AH122" s="36">
        <v>-0.11</v>
      </c>
      <c r="AI122" s="36">
        <v>0</v>
      </c>
      <c r="AJ122" s="27">
        <f>AJ123-AJ121-AJ120-AJ119</f>
        <v>-7.655840250210523E-2</v>
      </c>
      <c r="AK122" s="36">
        <v>0.01</v>
      </c>
      <c r="AL122" s="36">
        <v>0.02</v>
      </c>
      <c r="AM122" s="36">
        <v>0.04</v>
      </c>
      <c r="AN122" s="36">
        <v>0.05</v>
      </c>
      <c r="AO122" s="27">
        <v>0.03</v>
      </c>
      <c r="AP122" s="36">
        <v>-0.05</v>
      </c>
      <c r="AQ122" s="36">
        <v>-0.11</v>
      </c>
      <c r="AR122" s="36">
        <v>-0.25</v>
      </c>
      <c r="AS122" s="36">
        <v>-0.34</v>
      </c>
      <c r="AT122" s="27">
        <v>-0.18</v>
      </c>
      <c r="AU122" s="36">
        <v>-0.17</v>
      </c>
      <c r="AV122" s="36">
        <v>-0.14000000000000001</v>
      </c>
      <c r="AW122" s="36">
        <v>-0.02</v>
      </c>
      <c r="AX122" s="36">
        <v>-0.02</v>
      </c>
      <c r="AY122" s="27">
        <v>-0.09</v>
      </c>
      <c r="AZ122" s="36">
        <v>0</v>
      </c>
      <c r="BA122" s="36">
        <v>0.02</v>
      </c>
      <c r="BB122" s="36">
        <v>0.04</v>
      </c>
      <c r="BC122" s="36">
        <v>0.04</v>
      </c>
      <c r="BD122" s="27">
        <v>0.03</v>
      </c>
      <c r="BE122" s="36">
        <v>1.6E-2</v>
      </c>
      <c r="BF122" s="41">
        <v>1.6E-2</v>
      </c>
      <c r="BG122" s="41">
        <v>-0.43507841589238083</v>
      </c>
      <c r="BH122" s="36">
        <f>BG122</f>
        <v>-0.43507841589238083</v>
      </c>
      <c r="BI122" s="27">
        <f>SUMPRODUCT(AZ115:BC115,BE122:BH122)/BD115</f>
        <v>-0.19328805420173903</v>
      </c>
      <c r="BJ122" s="41">
        <f>BN122</f>
        <v>-0.49309465425632026</v>
      </c>
      <c r="BK122" s="41">
        <f>BN122</f>
        <v>-0.49309465425632026</v>
      </c>
      <c r="BL122" s="41">
        <f>BN122</f>
        <v>-0.49309465425632026</v>
      </c>
      <c r="BM122" s="41">
        <f>BN122</f>
        <v>-0.49309465425632026</v>
      </c>
      <c r="BN122" s="44">
        <v>-0.49309465425632026</v>
      </c>
      <c r="BO122" s="41">
        <f>BS122</f>
        <v>-0.44514447027565596</v>
      </c>
      <c r="BP122" s="41">
        <f>BS122</f>
        <v>-0.44514447027565596</v>
      </c>
      <c r="BQ122" s="41">
        <f>BS122</f>
        <v>-0.44514447027565596</v>
      </c>
      <c r="BR122" s="41">
        <f>BS122</f>
        <v>-0.44514447027565596</v>
      </c>
      <c r="BS122" s="44">
        <v>-0.44514447027565596</v>
      </c>
      <c r="BT122" s="41">
        <f>BX122</f>
        <v>0</v>
      </c>
      <c r="BU122" s="41">
        <f>BX122</f>
        <v>0</v>
      </c>
      <c r="BV122" s="41">
        <f>BX122</f>
        <v>0</v>
      </c>
      <c r="BW122" s="41">
        <f>BX122</f>
        <v>0</v>
      </c>
      <c r="BX122" s="44">
        <v>0</v>
      </c>
      <c r="BY122" s="41">
        <f>CC122</f>
        <v>0</v>
      </c>
      <c r="BZ122" s="41">
        <f>CC122</f>
        <v>0</v>
      </c>
      <c r="CA122" s="41">
        <f>CC122</f>
        <v>0</v>
      </c>
      <c r="CB122" s="41">
        <f>CC122</f>
        <v>0</v>
      </c>
      <c r="CC122" s="44">
        <v>0</v>
      </c>
      <c r="CD122" s="41">
        <f>CH122</f>
        <v>0</v>
      </c>
      <c r="CE122" s="41">
        <f>CH122</f>
        <v>0</v>
      </c>
      <c r="CF122" s="41">
        <f>CH122</f>
        <v>0</v>
      </c>
      <c r="CG122" s="41">
        <f>CH122</f>
        <v>0</v>
      </c>
      <c r="CH122" s="44">
        <v>0</v>
      </c>
      <c r="CI122" s="41">
        <f>CM122</f>
        <v>0</v>
      </c>
      <c r="CJ122" s="41">
        <f>CM122</f>
        <v>0</v>
      </c>
      <c r="CK122" s="41">
        <f>CM122</f>
        <v>0</v>
      </c>
      <c r="CL122" s="41">
        <f>CM122</f>
        <v>0</v>
      </c>
      <c r="CM122" s="44">
        <v>0</v>
      </c>
    </row>
    <row r="123" spans="1:91" hidden="1" outlineLevel="1" x14ac:dyDescent="0.2">
      <c r="A123" s="33" t="s">
        <v>190</v>
      </c>
      <c r="B123" s="79" t="s">
        <v>169</v>
      </c>
      <c r="C123" s="79" t="s">
        <v>169</v>
      </c>
      <c r="D123" s="79" t="s">
        <v>169</v>
      </c>
      <c r="E123" s="79" t="s">
        <v>169</v>
      </c>
      <c r="F123" s="99" t="s">
        <v>169</v>
      </c>
      <c r="G123" s="79" t="s">
        <v>169</v>
      </c>
      <c r="H123" s="79" t="s">
        <v>169</v>
      </c>
      <c r="I123" s="79" t="s">
        <v>169</v>
      </c>
      <c r="J123" s="79" t="s">
        <v>169</v>
      </c>
      <c r="K123" s="99" t="s">
        <v>169</v>
      </c>
      <c r="L123" s="80">
        <f>L115/G115-1</f>
        <v>0.48219735503560535</v>
      </c>
      <c r="M123" s="80">
        <f>M115/H115-1</f>
        <v>0.56207674943566599</v>
      </c>
      <c r="N123" s="80">
        <f>N115/I115-1</f>
        <v>0.44624033731553059</v>
      </c>
      <c r="O123" s="80">
        <f>O115/J115-1</f>
        <v>0.60856269113149852</v>
      </c>
      <c r="P123" s="35">
        <v>0.53</v>
      </c>
      <c r="Q123" s="80">
        <f t="shared" ref="Q123:AD123" si="149">Q115/L115-1</f>
        <v>0.43376801647220309</v>
      </c>
      <c r="R123" s="80">
        <f t="shared" si="149"/>
        <v>0.30105973025048161</v>
      </c>
      <c r="S123" s="80">
        <f t="shared" si="149"/>
        <v>0.12196307094266268</v>
      </c>
      <c r="T123" s="80">
        <f t="shared" si="149"/>
        <v>-0.12927756653992395</v>
      </c>
      <c r="U123" s="35">
        <f t="shared" si="149"/>
        <v>0.16062378167641334</v>
      </c>
      <c r="V123" s="80">
        <f t="shared" si="149"/>
        <v>-0.1278123504068932</v>
      </c>
      <c r="W123" s="80">
        <f t="shared" si="149"/>
        <v>-0.16993706034801925</v>
      </c>
      <c r="X123" s="80">
        <f t="shared" si="149"/>
        <v>-4.2009527934170676E-2</v>
      </c>
      <c r="Y123" s="80">
        <f t="shared" si="149"/>
        <v>0.11572052401746724</v>
      </c>
      <c r="Z123" s="35">
        <f t="shared" si="149"/>
        <v>-6.8413391557496372E-2</v>
      </c>
      <c r="AA123" s="80">
        <f t="shared" si="149"/>
        <v>8.507135016465428E-2</v>
      </c>
      <c r="AB123" s="80">
        <f t="shared" si="149"/>
        <v>3.3452274754683264E-2</v>
      </c>
      <c r="AC123" s="80">
        <f t="shared" si="149"/>
        <v>-2.396021699819173E-2</v>
      </c>
      <c r="AD123" s="80">
        <f t="shared" si="149"/>
        <v>-9.0019569471624261E-2</v>
      </c>
      <c r="AE123" s="35">
        <f t="shared" ref="AE123:AR123" si="150">AE115/Z115-1</f>
        <v>-8.413461538461231E-4</v>
      </c>
      <c r="AF123" s="80">
        <f t="shared" si="150"/>
        <v>-3.5407182599898834E-2</v>
      </c>
      <c r="AG123" s="80">
        <f t="shared" si="150"/>
        <v>5.4380664652567967E-2</v>
      </c>
      <c r="AH123" s="80">
        <f t="shared" si="150"/>
        <v>4.863362667901816E-2</v>
      </c>
      <c r="AI123" s="80">
        <f t="shared" si="150"/>
        <v>6.290322580645169E-2</v>
      </c>
      <c r="AJ123" s="35">
        <f t="shared" si="150"/>
        <v>3.3441597497894771E-2</v>
      </c>
      <c r="AK123" s="80">
        <f t="shared" si="150"/>
        <v>0.10277923439958059</v>
      </c>
      <c r="AL123" s="80">
        <f t="shared" si="150"/>
        <v>2.2103970528039252E-2</v>
      </c>
      <c r="AM123" s="80">
        <f t="shared" si="150"/>
        <v>-2.4734982332155431E-2</v>
      </c>
      <c r="AN123" s="80">
        <f t="shared" si="150"/>
        <v>5.5639858371269613E-2</v>
      </c>
      <c r="AO123" s="35">
        <f>AO115/AJ115-1</f>
        <v>3.538586893260387E-2</v>
      </c>
      <c r="AP123" s="80">
        <f t="shared" si="150"/>
        <v>-3.0908226343319023E-2</v>
      </c>
      <c r="AQ123" s="80">
        <f t="shared" si="150"/>
        <v>-0.10372446936323587</v>
      </c>
      <c r="AR123" s="80">
        <f t="shared" si="150"/>
        <v>-0.17028985507246375</v>
      </c>
      <c r="AS123" s="80">
        <f t="shared" ref="AS123:BA123" si="151">AS115/AN115-1</f>
        <v>-0.2486823191183517</v>
      </c>
      <c r="AT123" s="35">
        <f t="shared" si="151"/>
        <v>-0.13704328274311406</v>
      </c>
      <c r="AU123" s="80">
        <f t="shared" si="151"/>
        <v>-0.17909715407262017</v>
      </c>
      <c r="AV123" s="80">
        <f t="shared" si="151"/>
        <v>-7.9535299374441482E-2</v>
      </c>
      <c r="AW123" s="80">
        <f t="shared" si="151"/>
        <v>-4.9126637554585129E-3</v>
      </c>
      <c r="AX123" s="80">
        <f t="shared" si="151"/>
        <v>-5.4209183673469385E-2</v>
      </c>
      <c r="AY123" s="35">
        <f t="shared" si="151"/>
        <v>-8.2985930171964539E-2</v>
      </c>
      <c r="AZ123" s="80">
        <f t="shared" si="151"/>
        <v>2.9886431560071092E-3</v>
      </c>
      <c r="BA123" s="80">
        <f t="shared" si="151"/>
        <v>-6.3106796116504826E-2</v>
      </c>
      <c r="BB123" s="80">
        <f>BB115/AW115-1</f>
        <v>-4.223806911684036E-2</v>
      </c>
      <c r="BC123" s="80">
        <f>BC115/AX115-1</f>
        <v>-7.1476736345246095E-2</v>
      </c>
      <c r="BD123" s="35">
        <f>BD115/AY115-1</f>
        <v>-4.375621537150165E-2</v>
      </c>
      <c r="BE123" s="80">
        <f>SUM(BE119:BE122)</f>
        <v>-2.2968589053957232E-2</v>
      </c>
      <c r="BF123" s="80">
        <f>SUM(BF119:BF122)</f>
        <v>3.3985945060061626E-2</v>
      </c>
      <c r="BG123" s="80">
        <f>SUM(BG119:BG122)</f>
        <v>-0.41391236896556849</v>
      </c>
      <c r="BH123" s="80">
        <f>SUM(BH119:BH122)</f>
        <v>-0.35376607204679555</v>
      </c>
      <c r="BI123" s="35">
        <f>BI115/BD115-1</f>
        <v>-0.17572059068324786</v>
      </c>
      <c r="BJ123" s="80">
        <f>SUM(BJ119:BJ122)</f>
        <v>-0.45392738102928942</v>
      </c>
      <c r="BK123" s="80">
        <f>SUM(BK119:BK122)</f>
        <v>-0.45309465425632028</v>
      </c>
      <c r="BL123" s="80">
        <f>SUM(BL119:BL122)</f>
        <v>-0.45309465425632028</v>
      </c>
      <c r="BM123" s="80">
        <f>SUM(BM119:BM122)</f>
        <v>-0.45309465425632028</v>
      </c>
      <c r="BN123" s="35">
        <f>BN115/BI115-1</f>
        <v>-0.45334071876015292</v>
      </c>
      <c r="BO123" s="80">
        <f>SUM(BO119:BO122)</f>
        <v>-0.41514447027565593</v>
      </c>
      <c r="BP123" s="80">
        <f>SUM(BP119:BP122)</f>
        <v>-0.41514447027565593</v>
      </c>
      <c r="BQ123" s="80">
        <f>SUM(BQ119:BQ122)</f>
        <v>-0.41514447027565593</v>
      </c>
      <c r="BR123" s="80">
        <f>SUM(BR119:BR122)</f>
        <v>-0.41514447027565599</v>
      </c>
      <c r="BS123" s="35">
        <f>BS115/BN115-1</f>
        <v>-0.41514447027565593</v>
      </c>
      <c r="BT123" s="80">
        <f>SUM(BT119:BT122)</f>
        <v>0.02</v>
      </c>
      <c r="BU123" s="80">
        <f>SUM(BU119:BU122)</f>
        <v>0.02</v>
      </c>
      <c r="BV123" s="80">
        <f>SUM(BV119:BV122)</f>
        <v>0.02</v>
      </c>
      <c r="BW123" s="80">
        <f>SUM(BW119:BW122)</f>
        <v>1.999999999999998E-2</v>
      </c>
      <c r="BX123" s="35">
        <f>BX115/BS115-1</f>
        <v>2.000000000000024E-2</v>
      </c>
      <c r="BY123" s="80">
        <f>SUM(BY119:BY122)</f>
        <v>0.02</v>
      </c>
      <c r="BZ123" s="80">
        <f>SUM(BZ119:BZ122)</f>
        <v>0.02</v>
      </c>
      <c r="CA123" s="80">
        <f>SUM(CA119:CA122)</f>
        <v>0.02</v>
      </c>
      <c r="CB123" s="80">
        <f>SUM(CB119:CB122)</f>
        <v>2.0000000000000004E-2</v>
      </c>
      <c r="CC123" s="35">
        <f>CC115/BX115-1</f>
        <v>2.0000000000000018E-2</v>
      </c>
      <c r="CD123" s="80">
        <f>SUM(CD119:CD122)</f>
        <v>0.02</v>
      </c>
      <c r="CE123" s="80">
        <f>SUM(CE119:CE122)</f>
        <v>0.02</v>
      </c>
      <c r="CF123" s="80">
        <f>SUM(CF119:CF122)</f>
        <v>0.02</v>
      </c>
      <c r="CG123" s="80">
        <f>SUM(CG119:CG122)</f>
        <v>2.0000000000000011E-2</v>
      </c>
      <c r="CH123" s="35">
        <f>CH115/CC115-1</f>
        <v>2.0000000000000018E-2</v>
      </c>
      <c r="CI123" s="80">
        <f>SUM(CI119:CI122)</f>
        <v>0.02</v>
      </c>
      <c r="CJ123" s="80">
        <f>SUM(CJ119:CJ122)</f>
        <v>0.02</v>
      </c>
      <c r="CK123" s="80">
        <f>SUM(CK119:CK122)</f>
        <v>0.02</v>
      </c>
      <c r="CL123" s="80">
        <f>SUM(CL119:CL122)</f>
        <v>2.0000000000000007E-2</v>
      </c>
      <c r="CM123" s="35">
        <f>CM115/CH115-1</f>
        <v>2.0000000000000018E-2</v>
      </c>
    </row>
    <row r="124" spans="1:91" ht="15" customHeight="1" collapsed="1" x14ac:dyDescent="0.2">
      <c r="A124" s="63"/>
      <c r="B124" s="50"/>
      <c r="C124" s="50"/>
      <c r="D124" s="50"/>
      <c r="E124" s="46"/>
      <c r="F124" s="100"/>
      <c r="G124" s="36"/>
      <c r="H124" s="36"/>
      <c r="I124" s="36"/>
      <c r="J124" s="36"/>
      <c r="K124" s="100"/>
      <c r="L124" s="55"/>
      <c r="M124" s="55"/>
      <c r="N124" s="55"/>
      <c r="O124" s="55"/>
      <c r="P124" s="100"/>
      <c r="Q124" s="148"/>
      <c r="R124" s="148"/>
      <c r="S124" s="148"/>
      <c r="T124" s="148"/>
      <c r="U124" s="149"/>
      <c r="V124" s="148"/>
      <c r="W124" s="148"/>
      <c r="X124" s="148"/>
      <c r="Y124" s="148"/>
      <c r="Z124" s="149"/>
      <c r="AA124" s="62"/>
      <c r="AB124" s="62"/>
      <c r="AC124" s="62"/>
      <c r="AD124" s="62"/>
      <c r="AE124" s="149"/>
      <c r="AF124" s="148"/>
      <c r="AG124" s="148"/>
      <c r="AH124" s="148"/>
      <c r="AI124" s="148"/>
      <c r="AJ124" s="149"/>
      <c r="AK124" s="62"/>
      <c r="AL124" s="62"/>
      <c r="AM124" s="62"/>
      <c r="AN124" s="62"/>
      <c r="AO124" s="149"/>
      <c r="AP124" s="62"/>
      <c r="AQ124" s="62"/>
      <c r="AR124" s="62"/>
      <c r="AS124" s="62"/>
      <c r="AT124" s="149"/>
      <c r="AU124" s="62"/>
      <c r="AV124" s="62"/>
      <c r="AW124" s="62"/>
      <c r="AX124" s="62"/>
      <c r="AY124" s="149"/>
      <c r="AZ124" s="62"/>
      <c r="BA124" s="62"/>
      <c r="BB124" s="62"/>
      <c r="BC124" s="62"/>
      <c r="BD124" s="645"/>
      <c r="BE124" s="62"/>
      <c r="BF124" s="62"/>
      <c r="BG124" s="62"/>
      <c r="BH124" s="62"/>
      <c r="BI124" s="651"/>
      <c r="BJ124" s="650"/>
      <c r="BK124" s="650"/>
      <c r="BL124" s="650"/>
      <c r="BM124" s="650"/>
      <c r="BN124" s="651"/>
      <c r="BO124" s="650"/>
      <c r="BP124" s="650"/>
      <c r="BQ124" s="650"/>
      <c r="BR124" s="650"/>
      <c r="BS124" s="651"/>
      <c r="BT124" s="62"/>
      <c r="BU124" s="62"/>
      <c r="BV124" s="50"/>
      <c r="BW124" s="50"/>
      <c r="BX124" s="67"/>
      <c r="BY124" s="62"/>
      <c r="BZ124" s="62"/>
      <c r="CA124" s="50"/>
      <c r="CB124" s="50"/>
      <c r="CC124" s="67"/>
      <c r="CD124" s="62"/>
      <c r="CE124" s="62"/>
      <c r="CF124" s="50"/>
      <c r="CG124" s="50"/>
      <c r="CH124" s="67"/>
      <c r="CI124" s="62"/>
      <c r="CJ124" s="62"/>
      <c r="CK124" s="50"/>
      <c r="CL124" s="50"/>
      <c r="CM124" s="67"/>
    </row>
    <row r="125" spans="1:91" x14ac:dyDescent="0.2">
      <c r="A125" s="52" t="s">
        <v>185</v>
      </c>
      <c r="B125" s="53"/>
      <c r="C125" s="53"/>
      <c r="D125" s="53"/>
      <c r="E125" s="53"/>
      <c r="F125" s="65"/>
      <c r="G125" s="53"/>
      <c r="H125" s="53"/>
      <c r="I125" s="53"/>
      <c r="J125" s="53"/>
      <c r="K125" s="65"/>
      <c r="L125" s="53"/>
      <c r="M125" s="53"/>
      <c r="N125" s="53"/>
      <c r="O125" s="53"/>
      <c r="P125" s="65"/>
      <c r="Q125" s="53"/>
      <c r="R125" s="53"/>
      <c r="S125" s="53"/>
      <c r="T125" s="53"/>
      <c r="U125" s="65"/>
      <c r="V125" s="53"/>
      <c r="W125" s="53"/>
      <c r="X125" s="53"/>
      <c r="Y125" s="53"/>
      <c r="Z125" s="65"/>
      <c r="AA125" s="53"/>
      <c r="AB125" s="53"/>
      <c r="AC125" s="53"/>
      <c r="AD125" s="53"/>
      <c r="AE125" s="65"/>
      <c r="AF125" s="53"/>
      <c r="AG125" s="53"/>
      <c r="AH125" s="53"/>
      <c r="AI125" s="53"/>
      <c r="AJ125" s="65"/>
      <c r="AK125" s="53"/>
      <c r="AL125" s="53"/>
      <c r="AM125" s="53"/>
      <c r="AN125" s="53"/>
      <c r="AO125" s="65"/>
      <c r="AP125" s="53"/>
      <c r="AQ125" s="53"/>
      <c r="AR125" s="53"/>
      <c r="AS125" s="53"/>
      <c r="AT125" s="65">
        <v>24320</v>
      </c>
      <c r="AU125" s="53">
        <v>5373</v>
      </c>
      <c r="AV125" s="53">
        <v>6475</v>
      </c>
      <c r="AW125" s="53">
        <v>6176</v>
      </c>
      <c r="AX125" s="53">
        <v>5627</v>
      </c>
      <c r="AY125" s="65">
        <f>SUM(AU125:AX125)</f>
        <v>23651</v>
      </c>
      <c r="AZ125" s="547">
        <v>5531</v>
      </c>
      <c r="BA125" s="547">
        <v>6385</v>
      </c>
      <c r="BB125" s="547">
        <v>5948</v>
      </c>
      <c r="BC125" s="547">
        <v>5199</v>
      </c>
      <c r="BD125" s="65">
        <f>SUM(AZ125:BC125)</f>
        <v>23063</v>
      </c>
      <c r="BE125" s="547">
        <v>5292</v>
      </c>
      <c r="BF125" s="53">
        <v>5615</v>
      </c>
      <c r="BG125" s="53">
        <v>4840</v>
      </c>
      <c r="BH125" s="53">
        <v>4138</v>
      </c>
      <c r="BI125" s="65">
        <f>SUM(BE125:BH125)</f>
        <v>19885</v>
      </c>
      <c r="BJ125" s="53">
        <v>3836</v>
      </c>
      <c r="BK125" s="53">
        <v>2998</v>
      </c>
      <c r="BL125" s="53">
        <v>2392</v>
      </c>
      <c r="BM125" s="53">
        <v>1234</v>
      </c>
      <c r="BN125" s="65">
        <f>SUM(BJ125:BM125)</f>
        <v>10460</v>
      </c>
      <c r="BO125" s="53">
        <v>1051</v>
      </c>
      <c r="BP125" s="53">
        <f>BK125*(1+BP134)</f>
        <v>959.35540610520241</v>
      </c>
      <c r="BQ125" s="53">
        <f>BL125*(1+BQ134)</f>
        <v>769.87152607981886</v>
      </c>
      <c r="BR125" s="53">
        <f>BM125*(1+BR134)</f>
        <v>425.54006291148875</v>
      </c>
      <c r="BS125" s="65">
        <f>SUM(BO125:BR125)</f>
        <v>3205.7669950965101</v>
      </c>
      <c r="BT125" s="53">
        <f>BO125*(1+BT134)</f>
        <v>1076.4035046429958</v>
      </c>
      <c r="BU125" s="53">
        <f>BP125*(1+BU134)</f>
        <v>983.33929125783243</v>
      </c>
      <c r="BV125" s="53">
        <f>BQ125*(1+BV134)</f>
        <v>789.11831423181422</v>
      </c>
      <c r="BW125" s="53">
        <f>BR125*(1+BW134)</f>
        <v>436.17856448427602</v>
      </c>
      <c r="BX125" s="65">
        <f>SUM(BT125:BW125)</f>
        <v>3285.0396746169185</v>
      </c>
      <c r="BY125" s="53">
        <f>BT125*(1+BY134)</f>
        <v>1103.3135922590707</v>
      </c>
      <c r="BZ125" s="53">
        <f>BU125*(1+BZ134)</f>
        <v>1007.9227735392782</v>
      </c>
      <c r="CA125" s="53">
        <f>BV125*(1+CA134)</f>
        <v>808.84627208760946</v>
      </c>
      <c r="CB125" s="53">
        <f>BW125*(1+CB134)</f>
        <v>447.08302859638286</v>
      </c>
      <c r="CC125" s="65">
        <f>SUM(BY125:CB125)</f>
        <v>3367.1656664823413</v>
      </c>
      <c r="CD125" s="53">
        <f>BY125*(1+CD134)</f>
        <v>1119.8632961429566</v>
      </c>
      <c r="CE125" s="53">
        <f>BZ125*(1+CE134)</f>
        <v>1023.0416151423673</v>
      </c>
      <c r="CF125" s="53">
        <f>CA125*(1+CF134)</f>
        <v>820.97896616892353</v>
      </c>
      <c r="CG125" s="53">
        <f>CB125*(1+CG134)</f>
        <v>453.78927402532855</v>
      </c>
      <c r="CH125" s="65">
        <f>SUM(CD125:CG125)</f>
        <v>3417.6731514795761</v>
      </c>
      <c r="CI125" s="53">
        <f>CD125*(1+CI134)</f>
        <v>1136.6612455851009</v>
      </c>
      <c r="CJ125" s="53">
        <f>CE125*(1+CJ134)</f>
        <v>1038.3872393695026</v>
      </c>
      <c r="CK125" s="53">
        <f>CF125*(1+CK134)</f>
        <v>833.29365066145726</v>
      </c>
      <c r="CL125" s="53">
        <f>CG125*(1+CL134)</f>
        <v>460.59611313570844</v>
      </c>
      <c r="CM125" s="65">
        <f>SUM(CI125:CL125)</f>
        <v>3468.9382487517696</v>
      </c>
    </row>
    <row r="126" spans="1:91" x14ac:dyDescent="0.2">
      <c r="A126" s="45" t="s">
        <v>194</v>
      </c>
      <c r="B126" s="61"/>
      <c r="C126" s="61"/>
      <c r="D126" s="61"/>
      <c r="E126" s="61"/>
      <c r="F126" s="113"/>
      <c r="G126" s="61"/>
      <c r="H126" s="61"/>
      <c r="I126" s="61"/>
      <c r="J126" s="61"/>
      <c r="K126" s="113"/>
      <c r="L126" s="70"/>
      <c r="M126" s="70"/>
      <c r="N126" s="70"/>
      <c r="O126" s="70"/>
      <c r="P126" s="77"/>
      <c r="Q126" s="70"/>
      <c r="R126" s="70"/>
      <c r="S126" s="70"/>
      <c r="T126" s="70"/>
      <c r="U126" s="77"/>
      <c r="V126" s="70"/>
      <c r="W126" s="70"/>
      <c r="X126" s="70"/>
      <c r="Y126" s="70"/>
      <c r="Z126" s="77"/>
      <c r="AA126" s="70"/>
      <c r="AB126" s="70"/>
      <c r="AC126" s="70"/>
      <c r="AD126" s="70"/>
      <c r="AE126" s="77"/>
      <c r="AF126" s="70"/>
      <c r="AG126" s="70"/>
      <c r="AH126" s="70"/>
      <c r="AI126" s="70"/>
      <c r="AJ126" s="77"/>
      <c r="AK126" s="70"/>
      <c r="AL126" s="70"/>
      <c r="AM126" s="70"/>
      <c r="AN126" s="70"/>
      <c r="AO126" s="77"/>
      <c r="AP126" s="70"/>
      <c r="AQ126" s="70"/>
      <c r="AR126" s="70"/>
      <c r="AS126" s="70"/>
      <c r="AT126" s="77">
        <v>-195</v>
      </c>
      <c r="AU126" s="70">
        <v>-43</v>
      </c>
      <c r="AV126" s="70">
        <v>-51</v>
      </c>
      <c r="AW126" s="70">
        <v>-56</v>
      </c>
      <c r="AX126" s="70">
        <v>-42</v>
      </c>
      <c r="AY126" s="77">
        <f>SUM(AU126:AX126)</f>
        <v>-192</v>
      </c>
      <c r="AZ126" s="548">
        <v>-45</v>
      </c>
      <c r="BA126" s="548">
        <v>-50</v>
      </c>
      <c r="BB126" s="548">
        <v>-48</v>
      </c>
      <c r="BC126" s="548">
        <v>-35</v>
      </c>
      <c r="BD126" s="77">
        <v>-178</v>
      </c>
      <c r="BE126" s="548">
        <v>-41</v>
      </c>
      <c r="BF126" s="70">
        <v>-44</v>
      </c>
      <c r="BG126" s="70">
        <v>-31</v>
      </c>
      <c r="BH126" s="70">
        <v>-18</v>
      </c>
      <c r="BI126" s="77">
        <f>SUM(BE126:BH126)</f>
        <v>-134</v>
      </c>
      <c r="BJ126" s="70">
        <v>-23</v>
      </c>
      <c r="BK126" s="70">
        <v>-23</v>
      </c>
      <c r="BL126" s="70">
        <v>-23</v>
      </c>
      <c r="BM126" s="70">
        <v>-12</v>
      </c>
      <c r="BN126" s="77">
        <f>SUM(BJ126:BM126)</f>
        <v>-81</v>
      </c>
      <c r="BO126" s="70">
        <v>0</v>
      </c>
      <c r="BP126" s="70">
        <f>-BP127*BP125</f>
        <v>-7.3599647566443149</v>
      </c>
      <c r="BQ126" s="70">
        <f>-BQ127*BQ125</f>
        <v>-7.402610827690566</v>
      </c>
      <c r="BR126" s="70">
        <f>-BR127*BR125</f>
        <v>-4.1381529618621276</v>
      </c>
      <c r="BS126" s="77">
        <f>SUM(BO126:BR126)</f>
        <v>-18.900728546197008</v>
      </c>
      <c r="BT126" s="70">
        <f>-BT127*BT125</f>
        <v>0</v>
      </c>
      <c r="BU126" s="70">
        <f>-BU127*BU125</f>
        <v>-7.5439638755604221</v>
      </c>
      <c r="BV126" s="70">
        <f>-BV127*BV125</f>
        <v>-7.5876760983828291</v>
      </c>
      <c r="BW126" s="70">
        <f>-BW127*BW125</f>
        <v>-4.2416067859086812</v>
      </c>
      <c r="BX126" s="77">
        <f>SUM(BT126:BW126)</f>
        <v>-19.373246759851931</v>
      </c>
      <c r="BY126" s="70">
        <f>-BY127*BY125</f>
        <v>0</v>
      </c>
      <c r="BZ126" s="70">
        <f>-BZ127*BZ125</f>
        <v>-7.7325629724494327</v>
      </c>
      <c r="CA126" s="70">
        <f>-CA127*CA125</f>
        <v>-7.7773680008423991</v>
      </c>
      <c r="CB126" s="70">
        <f>-CB127*CB125</f>
        <v>-4.3476469555563977</v>
      </c>
      <c r="CC126" s="77">
        <f>SUM(BY126:CB126)</f>
        <v>-19.857577928848229</v>
      </c>
      <c r="CD126" s="70">
        <f>-CD127*CD125</f>
        <v>0</v>
      </c>
      <c r="CE126" s="70">
        <f>-CE127*CE125</f>
        <v>-7.8485514170361732</v>
      </c>
      <c r="CF126" s="70">
        <f>-CF127*CF125</f>
        <v>-7.8940285208550343</v>
      </c>
      <c r="CG126" s="70">
        <f>-CG127*CG125</f>
        <v>-4.4128616598897432</v>
      </c>
      <c r="CH126" s="77">
        <f>SUM(CD126:CG126)</f>
        <v>-20.15544159778095</v>
      </c>
      <c r="CI126" s="70">
        <f>-CI127*CI125</f>
        <v>0</v>
      </c>
      <c r="CJ126" s="70">
        <f>-CJ127*CJ125</f>
        <v>-7.9662796882917144</v>
      </c>
      <c r="CK126" s="70">
        <f>-CK127*CK125</f>
        <v>-8.0124389486678584</v>
      </c>
      <c r="CL126" s="70">
        <f>-CL127*CL125</f>
        <v>-4.4790545847880887</v>
      </c>
      <c r="CM126" s="77">
        <f>SUM(CI126:CL126)</f>
        <v>-20.457773221747662</v>
      </c>
    </row>
    <row r="127" spans="1:91" hidden="1" outlineLevel="1" x14ac:dyDescent="0.2">
      <c r="A127" s="45" t="s">
        <v>196</v>
      </c>
      <c r="B127" s="61"/>
      <c r="C127" s="61"/>
      <c r="D127" s="61"/>
      <c r="E127" s="61"/>
      <c r="F127" s="113"/>
      <c r="G127" s="61"/>
      <c r="H127" s="61"/>
      <c r="I127" s="61"/>
      <c r="J127" s="61"/>
      <c r="K127" s="113"/>
      <c r="L127" s="36"/>
      <c r="M127" s="36"/>
      <c r="N127" s="36"/>
      <c r="O127" s="36"/>
      <c r="P127" s="27"/>
      <c r="Q127" s="36"/>
      <c r="R127" s="36"/>
      <c r="S127" s="36"/>
      <c r="T127" s="36"/>
      <c r="U127" s="27"/>
      <c r="V127" s="36"/>
      <c r="W127" s="36"/>
      <c r="X127" s="36"/>
      <c r="Y127" s="36"/>
      <c r="Z127" s="27"/>
      <c r="AA127" s="36"/>
      <c r="AB127" s="36"/>
      <c r="AC127" s="36"/>
      <c r="AD127" s="36"/>
      <c r="AE127" s="27"/>
      <c r="AF127" s="36"/>
      <c r="AG127" s="36"/>
      <c r="AH127" s="36"/>
      <c r="AI127" s="36"/>
      <c r="AJ127" s="27"/>
      <c r="AK127" s="36"/>
      <c r="AL127" s="36"/>
      <c r="AM127" s="36"/>
      <c r="AN127" s="36"/>
      <c r="AO127" s="27"/>
      <c r="AP127" s="36"/>
      <c r="AQ127" s="36"/>
      <c r="AR127" s="36"/>
      <c r="AS127" s="36"/>
      <c r="AT127" s="27">
        <f t="shared" ref="AT127:BG127" si="152">-AT126/AT125</f>
        <v>8.0180921052631585E-3</v>
      </c>
      <c r="AU127" s="36">
        <f t="shared" si="152"/>
        <v>8.0029778522240826E-3</v>
      </c>
      <c r="AV127" s="36">
        <f t="shared" si="152"/>
        <v>7.876447876447876E-3</v>
      </c>
      <c r="AW127" s="36">
        <f t="shared" si="152"/>
        <v>9.0673575129533671E-3</v>
      </c>
      <c r="AX127" s="36">
        <f t="shared" si="152"/>
        <v>7.4640127954505066E-3</v>
      </c>
      <c r="AY127" s="27">
        <f t="shared" si="152"/>
        <v>8.1180499767451696E-3</v>
      </c>
      <c r="AZ127" s="36">
        <f t="shared" si="152"/>
        <v>8.1359609473874526E-3</v>
      </c>
      <c r="BA127" s="36">
        <f t="shared" si="152"/>
        <v>7.8308535630383716E-3</v>
      </c>
      <c r="BB127" s="36">
        <f t="shared" si="152"/>
        <v>8.0699394754539348E-3</v>
      </c>
      <c r="BC127" s="36">
        <f t="shared" si="152"/>
        <v>6.732063858434314E-3</v>
      </c>
      <c r="BD127" s="27">
        <f t="shared" si="152"/>
        <v>7.7179898538785067E-3</v>
      </c>
      <c r="BE127" s="36">
        <f t="shared" si="152"/>
        <v>7.7475434618291764E-3</v>
      </c>
      <c r="BF127" s="36">
        <f t="shared" si="152"/>
        <v>7.8361531611754222E-3</v>
      </c>
      <c r="BG127" s="36">
        <f t="shared" si="152"/>
        <v>6.4049586776859504E-3</v>
      </c>
      <c r="BH127" s="36">
        <f t="shared" ref="BH127:BK127" si="153">-BH126/BH125</f>
        <v>4.3499275012083135E-3</v>
      </c>
      <c r="BI127" s="27">
        <f>-BI126/BI125</f>
        <v>6.7387477998491329E-3</v>
      </c>
      <c r="BJ127" s="36">
        <f t="shared" si="153"/>
        <v>5.9958289885297181E-3</v>
      </c>
      <c r="BK127" s="36">
        <f t="shared" si="153"/>
        <v>7.6717811874583057E-3</v>
      </c>
      <c r="BL127" s="36">
        <f t="shared" ref="BL127:BO127" si="154">-BL126/BL125</f>
        <v>9.6153846153846159E-3</v>
      </c>
      <c r="BM127" s="36">
        <f t="shared" si="154"/>
        <v>9.7244732576985422E-3</v>
      </c>
      <c r="BN127" s="27">
        <f>-BN126/BN125</f>
        <v>7.7437858508604207E-3</v>
      </c>
      <c r="BO127" s="36">
        <f t="shared" si="154"/>
        <v>0</v>
      </c>
      <c r="BP127" s="41">
        <f>BK127</f>
        <v>7.6717811874583057E-3</v>
      </c>
      <c r="BQ127" s="41">
        <f>BL127</f>
        <v>9.6153846153846159E-3</v>
      </c>
      <c r="BR127" s="41">
        <f>BM127</f>
        <v>9.7244732576985422E-3</v>
      </c>
      <c r="BS127" s="27">
        <f>-BS126/BS125</f>
        <v>5.8958522484969305E-3</v>
      </c>
      <c r="BT127" s="41">
        <f>BO127</f>
        <v>0</v>
      </c>
      <c r="BU127" s="41">
        <f>BP127</f>
        <v>7.6717811874583057E-3</v>
      </c>
      <c r="BV127" s="41">
        <f>BQ127</f>
        <v>9.6153846153846159E-3</v>
      </c>
      <c r="BW127" s="41">
        <f>BR127</f>
        <v>9.7244732576985422E-3</v>
      </c>
      <c r="BX127" s="27">
        <f>-BX126/BX125</f>
        <v>5.8974163720293942E-3</v>
      </c>
      <c r="BY127" s="41">
        <f>BT127</f>
        <v>0</v>
      </c>
      <c r="BZ127" s="41">
        <f>BU127</f>
        <v>7.6717811874583057E-3</v>
      </c>
      <c r="CA127" s="41">
        <f>BV127</f>
        <v>9.6153846153846159E-3</v>
      </c>
      <c r="CB127" s="41">
        <f>BW127</f>
        <v>9.7244732576985422E-3</v>
      </c>
      <c r="CC127" s="27">
        <f>-CC126/CC125</f>
        <v>5.8974163720293951E-3</v>
      </c>
      <c r="CD127" s="41">
        <f>BY127</f>
        <v>0</v>
      </c>
      <c r="CE127" s="41">
        <f>BZ127</f>
        <v>7.6717811874583057E-3</v>
      </c>
      <c r="CF127" s="41">
        <f>CA127</f>
        <v>9.6153846153846159E-3</v>
      </c>
      <c r="CG127" s="41">
        <f>CB127</f>
        <v>9.7244732576985422E-3</v>
      </c>
      <c r="CH127" s="27">
        <f>-CH126/CH125</f>
        <v>5.8974163720293951E-3</v>
      </c>
      <c r="CI127" s="41">
        <f>CD127</f>
        <v>0</v>
      </c>
      <c r="CJ127" s="41">
        <f>CE127</f>
        <v>7.6717811874583057E-3</v>
      </c>
      <c r="CK127" s="41">
        <f>CF127</f>
        <v>9.6153846153846159E-3</v>
      </c>
      <c r="CL127" s="41">
        <f>CG127</f>
        <v>9.7244732576985422E-3</v>
      </c>
      <c r="CM127" s="27">
        <f>-CM126/CM125</f>
        <v>5.8974163720293942E-3</v>
      </c>
    </row>
    <row r="128" spans="1:91" collapsed="1" x14ac:dyDescent="0.2">
      <c r="A128" s="58" t="s">
        <v>198</v>
      </c>
      <c r="B128" s="61"/>
      <c r="C128" s="61"/>
      <c r="D128" s="61"/>
      <c r="E128" s="61"/>
      <c r="F128" s="65"/>
      <c r="G128" s="61"/>
      <c r="H128" s="61"/>
      <c r="I128" s="61"/>
      <c r="J128" s="61"/>
      <c r="K128" s="65"/>
      <c r="L128" s="53"/>
      <c r="M128" s="53"/>
      <c r="N128" s="53"/>
      <c r="O128" s="53"/>
      <c r="P128" s="65"/>
      <c r="Q128" s="53"/>
      <c r="R128" s="53"/>
      <c r="S128" s="53"/>
      <c r="T128" s="53"/>
      <c r="U128" s="65"/>
      <c r="V128" s="53"/>
      <c r="W128" s="53"/>
      <c r="X128" s="53"/>
      <c r="Y128" s="53"/>
      <c r="Z128" s="65"/>
      <c r="AA128" s="53"/>
      <c r="AB128" s="53"/>
      <c r="AC128" s="53"/>
      <c r="AD128" s="53"/>
      <c r="AE128" s="65"/>
      <c r="AF128" s="53"/>
      <c r="AG128" s="53"/>
      <c r="AH128" s="53"/>
      <c r="AI128" s="53"/>
      <c r="AJ128" s="65"/>
      <c r="AK128" s="53"/>
      <c r="AL128" s="53"/>
      <c r="AM128" s="53"/>
      <c r="AN128" s="53"/>
      <c r="AO128" s="65"/>
      <c r="AP128" s="53"/>
      <c r="AQ128" s="53"/>
      <c r="AR128" s="53"/>
      <c r="AS128" s="53"/>
      <c r="AT128" s="65">
        <f>SUM(AT125,AT126)</f>
        <v>24125</v>
      </c>
      <c r="AU128" s="53">
        <f>SUM(AU125,AU126)</f>
        <v>5330</v>
      </c>
      <c r="AV128" s="53">
        <f>SUM(AV125,AV126)</f>
        <v>6424</v>
      </c>
      <c r="AW128" s="53">
        <f>SUM(AW125,AW126)</f>
        <v>6120</v>
      </c>
      <c r="AX128" s="53">
        <f>SUM(AX125,AX126)</f>
        <v>5585</v>
      </c>
      <c r="AY128" s="65">
        <f>SUM(AU128:AX128)</f>
        <v>23459</v>
      </c>
      <c r="AZ128" s="53">
        <f>SUM(AZ125,AZ126)</f>
        <v>5486</v>
      </c>
      <c r="BA128" s="53">
        <f>SUM(BA125,BA126)</f>
        <v>6335</v>
      </c>
      <c r="BB128" s="53">
        <f>SUM(BB125,BB126)</f>
        <v>5900</v>
      </c>
      <c r="BC128" s="53">
        <f>SUM(BC125,BC126)</f>
        <v>5164</v>
      </c>
      <c r="BD128" s="65">
        <f>SUM(AZ128:BC128)</f>
        <v>22885</v>
      </c>
      <c r="BE128" s="53">
        <f>SUM(BE125,BE126)</f>
        <v>5251</v>
      </c>
      <c r="BF128" s="53">
        <f>SUM(BF125,BF126)</f>
        <v>5571</v>
      </c>
      <c r="BG128" s="53">
        <f>SUM(BG125,BG126)</f>
        <v>4809</v>
      </c>
      <c r="BH128" s="53">
        <f>SUM(BH125,BH126)</f>
        <v>4120</v>
      </c>
      <c r="BI128" s="65">
        <f>SUM(BE128:BH128)</f>
        <v>19751</v>
      </c>
      <c r="BJ128" s="53">
        <f>SUM(BJ125,BJ126)</f>
        <v>3813</v>
      </c>
      <c r="BK128" s="53">
        <f>SUM(BK125,BK126)</f>
        <v>2975</v>
      </c>
      <c r="BL128" s="53">
        <f>SUM(BL125,BL126)</f>
        <v>2369</v>
      </c>
      <c r="BM128" s="53">
        <f>SUM(BM125,BM126)</f>
        <v>1222</v>
      </c>
      <c r="BN128" s="65">
        <f>SUM(BJ128:BM128)</f>
        <v>10379</v>
      </c>
      <c r="BO128" s="53">
        <f>SUM(BO125,BO126)</f>
        <v>1051</v>
      </c>
      <c r="BP128" s="53">
        <f>SUM(BP125,BP126)</f>
        <v>951.99544134855807</v>
      </c>
      <c r="BQ128" s="53">
        <f>SUM(BQ125,BQ126)</f>
        <v>762.46891525212834</v>
      </c>
      <c r="BR128" s="53">
        <f>SUM(BR125,BR126)</f>
        <v>421.4019099496266</v>
      </c>
      <c r="BS128" s="65">
        <f>SUM(BO128:BR128)</f>
        <v>3186.866266550313</v>
      </c>
      <c r="BT128" s="53">
        <f>SUM(BT125,BT126)</f>
        <v>1076.4035046429958</v>
      </c>
      <c r="BU128" s="53">
        <f>SUM(BU125,BU126)</f>
        <v>975.79532738227203</v>
      </c>
      <c r="BV128" s="53">
        <f>SUM(BV125,BV126)</f>
        <v>781.53063813343135</v>
      </c>
      <c r="BW128" s="53">
        <f>SUM(BW125,BW126)</f>
        <v>431.93695769836734</v>
      </c>
      <c r="BX128" s="65">
        <f>SUM(BT128:BW128)</f>
        <v>3265.6664278570661</v>
      </c>
      <c r="BY128" s="53">
        <f>SUM(BY125,BY126)</f>
        <v>1103.3135922590707</v>
      </c>
      <c r="BZ128" s="53">
        <f>SUM(BZ125,BZ126)</f>
        <v>1000.1902105668288</v>
      </c>
      <c r="CA128" s="53">
        <f>SUM(CA125,CA126)</f>
        <v>801.06890408676702</v>
      </c>
      <c r="CB128" s="53">
        <f>SUM(CB125,CB126)</f>
        <v>442.73538164082646</v>
      </c>
      <c r="CC128" s="65">
        <f>SUM(BY128:CB128)</f>
        <v>3347.3080885534928</v>
      </c>
      <c r="CD128" s="53">
        <f>SUM(CD125,CD126)</f>
        <v>1119.8632961429566</v>
      </c>
      <c r="CE128" s="53">
        <f>SUM(CE125,CE126)</f>
        <v>1015.1930637253311</v>
      </c>
      <c r="CF128" s="53">
        <f>SUM(CF125,CF126)</f>
        <v>813.08493764806849</v>
      </c>
      <c r="CG128" s="53">
        <f>SUM(CG125,CG126)</f>
        <v>449.3764123654388</v>
      </c>
      <c r="CH128" s="65">
        <f>SUM(CD128:CG128)</f>
        <v>3397.5177098817944</v>
      </c>
      <c r="CI128" s="53">
        <f>SUM(CI125,CI126)</f>
        <v>1136.6612455851009</v>
      </c>
      <c r="CJ128" s="53">
        <f>SUM(CJ125,CJ126)</f>
        <v>1030.4209596812109</v>
      </c>
      <c r="CK128" s="53">
        <f>SUM(CK125,CK126)</f>
        <v>825.2812117127894</v>
      </c>
      <c r="CL128" s="53">
        <f>SUM(CL125,CL126)</f>
        <v>456.11705855092032</v>
      </c>
      <c r="CM128" s="65">
        <f>SUM(CI128:CL128)</f>
        <v>3448.4804755300215</v>
      </c>
    </row>
    <row r="129" spans="1:91" hidden="1" x14ac:dyDescent="0.2">
      <c r="A129" s="25" t="s">
        <v>191</v>
      </c>
      <c r="B129" s="36"/>
      <c r="C129" s="36"/>
      <c r="D129" s="36"/>
      <c r="E129" s="36"/>
      <c r="F129" s="27"/>
      <c r="G129" s="36"/>
      <c r="H129" s="36"/>
      <c r="I129" s="36"/>
      <c r="J129" s="36"/>
      <c r="K129" s="27"/>
      <c r="L129" s="36"/>
      <c r="M129" s="36"/>
      <c r="N129" s="36"/>
      <c r="O129" s="36"/>
      <c r="P129" s="27"/>
      <c r="Q129" s="36"/>
      <c r="R129" s="36"/>
      <c r="S129" s="36"/>
      <c r="T129" s="36"/>
      <c r="U129" s="27"/>
      <c r="V129" s="36"/>
      <c r="W129" s="36"/>
      <c r="X129" s="36"/>
      <c r="Y129" s="36"/>
      <c r="Z129" s="27"/>
      <c r="AA129" s="36"/>
      <c r="AB129" s="36"/>
      <c r="AC129" s="36"/>
      <c r="AD129" s="36"/>
      <c r="AE129" s="27"/>
      <c r="AF129" s="36"/>
      <c r="AG129" s="36"/>
      <c r="AH129" s="36"/>
      <c r="AI129" s="36"/>
      <c r="AJ129" s="27"/>
      <c r="AK129" s="36"/>
      <c r="AL129" s="36"/>
      <c r="AM129" s="36"/>
      <c r="AN129" s="36"/>
      <c r="AO129" s="27"/>
      <c r="AP129" s="36"/>
      <c r="AQ129" s="36"/>
      <c r="AR129" s="36"/>
      <c r="AS129" s="36"/>
      <c r="AT129" s="27"/>
      <c r="AU129" s="36"/>
      <c r="AV129" s="36"/>
      <c r="AW129" s="36"/>
      <c r="AX129" s="36"/>
      <c r="AY129" s="27">
        <v>-0.02</v>
      </c>
      <c r="AZ129" s="36">
        <v>-0.01</v>
      </c>
      <c r="BA129" s="36">
        <v>0.01</v>
      </c>
      <c r="BB129" s="36">
        <v>-0.01</v>
      </c>
      <c r="BC129" s="36">
        <v>-0.01</v>
      </c>
      <c r="BD129" s="27">
        <v>0</v>
      </c>
      <c r="BE129" s="36">
        <v>-0.04</v>
      </c>
      <c r="BF129" s="41"/>
      <c r="BG129" s="41"/>
      <c r="BH129" s="36"/>
      <c r="BI129" s="44"/>
      <c r="BJ129" s="36"/>
      <c r="BK129" s="36"/>
      <c r="BL129" s="36"/>
      <c r="BM129" s="36"/>
      <c r="BN129" s="185"/>
      <c r="BO129" s="36"/>
      <c r="BP129" s="36"/>
      <c r="BQ129" s="36"/>
      <c r="BR129" s="36"/>
      <c r="BS129" s="185"/>
      <c r="BT129" s="36"/>
      <c r="BU129" s="36"/>
      <c r="BV129" s="36"/>
      <c r="BW129" s="36"/>
      <c r="BX129" s="185"/>
      <c r="BY129" s="36"/>
      <c r="BZ129" s="36"/>
      <c r="CA129" s="36"/>
      <c r="CB129" s="36"/>
      <c r="CC129" s="185"/>
      <c r="CD129" s="36"/>
      <c r="CE129" s="36"/>
      <c r="CF129" s="36"/>
      <c r="CG129" s="36"/>
      <c r="CH129" s="185"/>
      <c r="CI129" s="36"/>
      <c r="CJ129" s="36"/>
      <c r="CK129" s="36"/>
      <c r="CL129" s="36"/>
      <c r="CM129" s="185"/>
    </row>
    <row r="130" spans="1:91" x14ac:dyDescent="0.2">
      <c r="A130" s="45" t="s">
        <v>363</v>
      </c>
      <c r="B130" s="36"/>
      <c r="C130" s="36"/>
      <c r="D130" s="36"/>
      <c r="E130" s="36"/>
      <c r="F130" s="27"/>
      <c r="G130" s="36"/>
      <c r="H130" s="36"/>
      <c r="I130" s="36"/>
      <c r="J130" s="36"/>
      <c r="K130" s="27"/>
      <c r="L130" s="36"/>
      <c r="M130" s="36"/>
      <c r="N130" s="36"/>
      <c r="O130" s="36"/>
      <c r="P130" s="27"/>
      <c r="Q130" s="36"/>
      <c r="R130" s="36"/>
      <c r="S130" s="36"/>
      <c r="T130" s="36"/>
      <c r="U130" s="27"/>
      <c r="V130" s="36"/>
      <c r="W130" s="36"/>
      <c r="X130" s="36"/>
      <c r="Y130" s="36"/>
      <c r="Z130" s="27"/>
      <c r="AA130" s="36"/>
      <c r="AB130" s="36"/>
      <c r="AC130" s="36"/>
      <c r="AD130" s="36"/>
      <c r="AE130" s="27"/>
      <c r="AF130" s="36"/>
      <c r="AG130" s="36"/>
      <c r="AH130" s="36"/>
      <c r="AI130" s="36"/>
      <c r="AJ130" s="27"/>
      <c r="AK130" s="36"/>
      <c r="AL130" s="36"/>
      <c r="AM130" s="36"/>
      <c r="AN130" s="36"/>
      <c r="AO130" s="27"/>
      <c r="AP130" s="36"/>
      <c r="AQ130" s="36"/>
      <c r="AR130" s="36"/>
      <c r="AS130" s="36"/>
      <c r="AT130" s="27"/>
      <c r="AU130" s="36"/>
      <c r="AV130" s="36"/>
      <c r="AW130" s="36"/>
      <c r="AX130" s="36"/>
      <c r="AY130" s="27">
        <v>0.02</v>
      </c>
      <c r="AZ130" s="36"/>
      <c r="BA130" s="36"/>
      <c r="BB130" s="36"/>
      <c r="BC130" s="36"/>
      <c r="BD130" s="27">
        <v>0.02</v>
      </c>
      <c r="BE130" s="36">
        <v>0</v>
      </c>
      <c r="BF130" s="729">
        <v>-0.02</v>
      </c>
      <c r="BG130" s="729">
        <v>-0.02</v>
      </c>
      <c r="BH130" s="729">
        <v>0.03</v>
      </c>
      <c r="BI130" s="27">
        <v>0</v>
      </c>
      <c r="BJ130" s="729">
        <v>-0.04</v>
      </c>
      <c r="BK130" s="729">
        <v>-0.02</v>
      </c>
      <c r="BL130" s="729">
        <v>-0.01</v>
      </c>
      <c r="BM130" s="729">
        <v>-0.02</v>
      </c>
      <c r="BN130" s="186">
        <v>-0.03</v>
      </c>
      <c r="BO130" s="729">
        <v>0.12</v>
      </c>
      <c r="BP130" s="41">
        <v>-5.0000000000000001E-3</v>
      </c>
      <c r="BQ130" s="41">
        <v>-0.02</v>
      </c>
      <c r="BR130" s="36">
        <f>(BS130*BN125-SUMPRODUCT(BJ125:BL125,BO130:BQ130))/BM125</f>
        <v>-1.6961102106969259E-2</v>
      </c>
      <c r="BS130" s="44">
        <v>3.5999999999999997E-2</v>
      </c>
      <c r="BT130" s="36">
        <f>BX130</f>
        <v>-5.0000000000000001E-3</v>
      </c>
      <c r="BU130" s="36">
        <f>BT130</f>
        <v>-5.0000000000000001E-3</v>
      </c>
      <c r="BV130" s="36">
        <f>BU130</f>
        <v>-5.0000000000000001E-3</v>
      </c>
      <c r="BW130" s="36">
        <f>(BX130*BS125-SUMPRODUCT(BO125:BQ125,BT130:BV130))/BR125</f>
        <v>-5.000000000000001E-3</v>
      </c>
      <c r="BX130" s="44">
        <v>-5.0000000000000001E-3</v>
      </c>
      <c r="BY130" s="36">
        <f>CC130</f>
        <v>-5.0000000000000001E-3</v>
      </c>
      <c r="BZ130" s="36">
        <f>BY130</f>
        <v>-5.0000000000000001E-3</v>
      </c>
      <c r="CA130" s="36">
        <f>BZ130</f>
        <v>-5.0000000000000001E-3</v>
      </c>
      <c r="CB130" s="36">
        <f>(CC130*BX125-SUMPRODUCT(BT125:BV125,BY130:CA130))/BW125</f>
        <v>-5.0000000000000053E-3</v>
      </c>
      <c r="CC130" s="44">
        <v>-5.0000000000000001E-3</v>
      </c>
      <c r="CD130" s="36">
        <f>CH130</f>
        <v>-5.0000000000000001E-3</v>
      </c>
      <c r="CE130" s="36">
        <f>CD130</f>
        <v>-5.0000000000000001E-3</v>
      </c>
      <c r="CF130" s="36">
        <f>CE130</f>
        <v>-5.0000000000000001E-3</v>
      </c>
      <c r="CG130" s="36">
        <f>(CH130*CC125-SUMPRODUCT(BY125:CA125,CD130:CF130))/CB125</f>
        <v>-5.0000000000000036E-3</v>
      </c>
      <c r="CH130" s="44">
        <v>-5.0000000000000001E-3</v>
      </c>
      <c r="CI130" s="36">
        <f>CM130</f>
        <v>-5.0000000000000001E-3</v>
      </c>
      <c r="CJ130" s="36">
        <f>CI130</f>
        <v>-5.0000000000000001E-3</v>
      </c>
      <c r="CK130" s="36">
        <f>CJ130</f>
        <v>-5.0000000000000001E-3</v>
      </c>
      <c r="CL130" s="36">
        <f>(CM130*CH125-SUMPRODUCT(CD125:CF125,CI130:CK130))/CG125</f>
        <v>-4.9999999999999984E-3</v>
      </c>
      <c r="CM130" s="44">
        <v>-5.0000000000000001E-3</v>
      </c>
    </row>
    <row r="131" spans="1:91" x14ac:dyDescent="0.2">
      <c r="A131" s="25" t="s">
        <v>188</v>
      </c>
      <c r="B131" s="61"/>
      <c r="C131" s="61"/>
      <c r="D131" s="61"/>
      <c r="E131" s="61"/>
      <c r="F131" s="113"/>
      <c r="G131" s="61"/>
      <c r="H131" s="61"/>
      <c r="I131" s="61"/>
      <c r="J131" s="61"/>
      <c r="K131" s="113"/>
      <c r="L131" s="36"/>
      <c r="M131" s="36"/>
      <c r="N131" s="36"/>
      <c r="O131" s="36"/>
      <c r="P131" s="27"/>
      <c r="Q131" s="36"/>
      <c r="R131" s="36"/>
      <c r="S131" s="36"/>
      <c r="T131" s="36"/>
      <c r="U131" s="27"/>
      <c r="V131" s="36"/>
      <c r="W131" s="36"/>
      <c r="X131" s="36"/>
      <c r="Y131" s="36"/>
      <c r="Z131" s="27"/>
      <c r="AA131" s="36"/>
      <c r="AB131" s="36"/>
      <c r="AC131" s="36"/>
      <c r="AD131" s="36"/>
      <c r="AE131" s="27"/>
      <c r="AF131" s="36"/>
      <c r="AG131" s="36"/>
      <c r="AH131" s="36"/>
      <c r="AI131" s="36"/>
      <c r="AJ131" s="27"/>
      <c r="AK131" s="36"/>
      <c r="AL131" s="36"/>
      <c r="AM131" s="36"/>
      <c r="AN131" s="36"/>
      <c r="AO131" s="27"/>
      <c r="AP131" s="36"/>
      <c r="AQ131" s="36"/>
      <c r="AR131" s="36"/>
      <c r="AS131" s="36"/>
      <c r="AT131" s="27"/>
      <c r="AU131" s="36"/>
      <c r="AV131" s="36"/>
      <c r="AW131" s="36"/>
      <c r="AX131" s="36"/>
      <c r="AY131" s="27">
        <v>0</v>
      </c>
      <c r="AZ131" s="36"/>
      <c r="BA131" s="36"/>
      <c r="BB131" s="36"/>
      <c r="BC131" s="36"/>
      <c r="BD131" s="27">
        <v>0</v>
      </c>
      <c r="BE131" s="36">
        <v>0</v>
      </c>
      <c r="BF131" s="729">
        <v>0.02</v>
      </c>
      <c r="BG131" s="729">
        <v>0.03</v>
      </c>
      <c r="BH131" s="729">
        <v>0</v>
      </c>
      <c r="BI131" s="27">
        <v>0.01</v>
      </c>
      <c r="BJ131" s="729">
        <v>0.02</v>
      </c>
      <c r="BK131" s="729">
        <v>0.02</v>
      </c>
      <c r="BL131" s="729">
        <v>0.04</v>
      </c>
      <c r="BM131" s="729">
        <v>0.15</v>
      </c>
      <c r="BN131" s="186">
        <v>0.04</v>
      </c>
      <c r="BO131" s="729">
        <v>0.02</v>
      </c>
      <c r="BP131" s="41">
        <v>0.02</v>
      </c>
      <c r="BQ131" s="41">
        <v>0.02</v>
      </c>
      <c r="BR131" s="36">
        <f>(BS131*BN125-SUMPRODUCT(BJ125:BL125,BO131:BQ131))/BM125</f>
        <v>2.0000000000000004E-2</v>
      </c>
      <c r="BS131" s="44">
        <v>0.02</v>
      </c>
      <c r="BT131" s="41">
        <f>BX131</f>
        <v>0.03</v>
      </c>
      <c r="BU131" s="41">
        <f>BX131</f>
        <v>0.03</v>
      </c>
      <c r="BV131" s="41">
        <f>BX131</f>
        <v>0.03</v>
      </c>
      <c r="BW131" s="36">
        <f>(BX131*BS125-SUMPRODUCT(BO125:BQ125,BT131:BV131))/BR125</f>
        <v>3.0000000000000037E-2</v>
      </c>
      <c r="BX131" s="44">
        <v>0.03</v>
      </c>
      <c r="BY131" s="41">
        <f>CC131</f>
        <v>0.03</v>
      </c>
      <c r="BZ131" s="41">
        <f>CC131</f>
        <v>0.03</v>
      </c>
      <c r="CA131" s="41">
        <f>CC131</f>
        <v>0.03</v>
      </c>
      <c r="CB131" s="36">
        <f>(CC131*BX125-SUMPRODUCT(BT125:BV125,BY131:CA131))/BW125</f>
        <v>3.0000000000000027E-2</v>
      </c>
      <c r="CC131" s="44">
        <v>0.03</v>
      </c>
      <c r="CD131" s="41">
        <f>CH131</f>
        <v>0.02</v>
      </c>
      <c r="CE131" s="41">
        <f>CH131</f>
        <v>0.02</v>
      </c>
      <c r="CF131" s="41">
        <f>CH131</f>
        <v>0.02</v>
      </c>
      <c r="CG131" s="36">
        <f>(CH131*CC125-SUMPRODUCT(BY125:CA125,CD131:CF131))/CB125</f>
        <v>2.0000000000000014E-2</v>
      </c>
      <c r="CH131" s="44">
        <v>0.02</v>
      </c>
      <c r="CI131" s="41">
        <f>CM131</f>
        <v>0.02</v>
      </c>
      <c r="CJ131" s="41">
        <f>CM131</f>
        <v>0.02</v>
      </c>
      <c r="CK131" s="41">
        <f>CM131</f>
        <v>0.02</v>
      </c>
      <c r="CL131" s="36">
        <f>(CM131*CH125-SUMPRODUCT(CD125:CF125,CI131:CK131))/CG125</f>
        <v>1.9999999999999993E-2</v>
      </c>
      <c r="CM131" s="44">
        <v>0.02</v>
      </c>
    </row>
    <row r="132" spans="1:91" x14ac:dyDescent="0.2">
      <c r="A132" s="25" t="s">
        <v>189</v>
      </c>
      <c r="B132" s="61"/>
      <c r="C132" s="61"/>
      <c r="D132" s="61"/>
      <c r="E132" s="61"/>
      <c r="F132" s="113"/>
      <c r="G132" s="61"/>
      <c r="H132" s="61"/>
      <c r="I132" s="61"/>
      <c r="J132" s="61"/>
      <c r="K132" s="113"/>
      <c r="L132" s="36"/>
      <c r="M132" s="36"/>
      <c r="N132" s="36"/>
      <c r="O132" s="36"/>
      <c r="P132" s="27"/>
      <c r="Q132" s="36"/>
      <c r="R132" s="36"/>
      <c r="S132" s="36"/>
      <c r="T132" s="36"/>
      <c r="U132" s="27"/>
      <c r="V132" s="36"/>
      <c r="W132" s="36"/>
      <c r="X132" s="36"/>
      <c r="Y132" s="36"/>
      <c r="Z132" s="27"/>
      <c r="AA132" s="36"/>
      <c r="AB132" s="36"/>
      <c r="AC132" s="36"/>
      <c r="AD132" s="36"/>
      <c r="AE132" s="27"/>
      <c r="AF132" s="36"/>
      <c r="AG132" s="36"/>
      <c r="AH132" s="36"/>
      <c r="AI132" s="36"/>
      <c r="AJ132" s="27"/>
      <c r="AK132" s="36"/>
      <c r="AL132" s="36"/>
      <c r="AM132" s="36"/>
      <c r="AN132" s="36"/>
      <c r="AO132" s="27"/>
      <c r="AP132" s="36"/>
      <c r="AQ132" s="36"/>
      <c r="AR132" s="36"/>
      <c r="AS132" s="36"/>
      <c r="AT132" s="27"/>
      <c r="AU132" s="36"/>
      <c r="AV132" s="36"/>
      <c r="AW132" s="36"/>
      <c r="AX132" s="36"/>
      <c r="AY132" s="27">
        <v>-0.01</v>
      </c>
      <c r="AZ132" s="36"/>
      <c r="BA132" s="36"/>
      <c r="BB132" s="36"/>
      <c r="BC132" s="36"/>
      <c r="BD132" s="27">
        <v>-0.03</v>
      </c>
      <c r="BE132" s="36">
        <v>-0.03</v>
      </c>
      <c r="BF132" s="729">
        <v>-0.01</v>
      </c>
      <c r="BG132" s="729">
        <v>-0.01</v>
      </c>
      <c r="BH132" s="729">
        <v>0</v>
      </c>
      <c r="BI132" s="27">
        <v>-0.01</v>
      </c>
      <c r="BJ132" s="729">
        <v>0</v>
      </c>
      <c r="BK132" s="729">
        <v>0</v>
      </c>
      <c r="BL132" s="729">
        <v>0</v>
      </c>
      <c r="BM132" s="729">
        <v>0.01</v>
      </c>
      <c r="BN132" s="186">
        <v>0</v>
      </c>
      <c r="BO132" s="729">
        <v>0.01</v>
      </c>
      <c r="BP132" s="41">
        <v>4.9984676801875438E-3</v>
      </c>
      <c r="BQ132" s="41">
        <v>1.8526446821985356E-3</v>
      </c>
      <c r="BR132" s="41">
        <v>1.8071822621465144E-3</v>
      </c>
      <c r="BS132" s="27">
        <f>SUMPRODUCT(BJ125:BM125,BO132:BR132)/BN125</f>
        <v>5.7368064145803012E-3</v>
      </c>
      <c r="BT132" s="41">
        <v>-8.2920585823421358E-4</v>
      </c>
      <c r="BU132" s="41">
        <v>0</v>
      </c>
      <c r="BV132" s="41">
        <v>0</v>
      </c>
      <c r="BW132" s="41">
        <v>0</v>
      </c>
      <c r="BX132" s="27">
        <f>SUMPRODUCT(BO125:BR125,BT132:BW132)/BS125</f>
        <v>-2.7185237053634396E-4</v>
      </c>
      <c r="BY132" s="662">
        <v>0</v>
      </c>
      <c r="BZ132" s="662">
        <v>0</v>
      </c>
      <c r="CA132" s="662">
        <v>0</v>
      </c>
      <c r="CB132" s="662">
        <v>0</v>
      </c>
      <c r="CC132" s="27">
        <f>SUMPRODUCT(BT125:BW125,BY132:CB132)/BX125</f>
        <v>0</v>
      </c>
      <c r="CD132" s="662">
        <v>0</v>
      </c>
      <c r="CE132" s="662">
        <v>0</v>
      </c>
      <c r="CF132" s="662">
        <v>0</v>
      </c>
      <c r="CG132" s="662">
        <v>0</v>
      </c>
      <c r="CH132" s="27">
        <f>SUMPRODUCT(BY125:CB125,CD132:CG132)/CC125</f>
        <v>0</v>
      </c>
      <c r="CI132" s="662">
        <v>0</v>
      </c>
      <c r="CJ132" s="662">
        <v>0</v>
      </c>
      <c r="CK132" s="662">
        <v>0</v>
      </c>
      <c r="CL132" s="662">
        <v>0</v>
      </c>
      <c r="CM132" s="27">
        <f>SUMPRODUCT(CD125:CG125,CI132:CL132)/CH125</f>
        <v>0</v>
      </c>
    </row>
    <row r="133" spans="1:91" x14ac:dyDescent="0.2">
      <c r="A133" s="30" t="s">
        <v>193</v>
      </c>
      <c r="B133" s="61"/>
      <c r="C133" s="61"/>
      <c r="D133" s="61"/>
      <c r="E133" s="61"/>
      <c r="F133" s="113"/>
      <c r="G133" s="61"/>
      <c r="H133" s="61"/>
      <c r="I133" s="61"/>
      <c r="J133" s="61"/>
      <c r="K133" s="113"/>
      <c r="L133" s="36"/>
      <c r="M133" s="36"/>
      <c r="N133" s="36"/>
      <c r="O133" s="36"/>
      <c r="P133" s="27"/>
      <c r="Q133" s="36"/>
      <c r="R133" s="36"/>
      <c r="S133" s="36"/>
      <c r="T133" s="36"/>
      <c r="U133" s="27"/>
      <c r="V133" s="36"/>
      <c r="W133" s="36"/>
      <c r="X133" s="36"/>
      <c r="Y133" s="36"/>
      <c r="Z133" s="27"/>
      <c r="AA133" s="36"/>
      <c r="AB133" s="36"/>
      <c r="AC133" s="36"/>
      <c r="AD133" s="36"/>
      <c r="AE133" s="27"/>
      <c r="AF133" s="36"/>
      <c r="AG133" s="36"/>
      <c r="AH133" s="36"/>
      <c r="AI133" s="36"/>
      <c r="AJ133" s="27"/>
      <c r="AK133" s="36"/>
      <c r="AL133" s="36"/>
      <c r="AM133" s="36"/>
      <c r="AN133" s="36"/>
      <c r="AO133" s="27"/>
      <c r="AP133" s="36"/>
      <c r="AQ133" s="36"/>
      <c r="AR133" s="36"/>
      <c r="AS133" s="36"/>
      <c r="AT133" s="27"/>
      <c r="AU133" s="36"/>
      <c r="AV133" s="36"/>
      <c r="AW133" s="36"/>
      <c r="AX133" s="36"/>
      <c r="AY133" s="27">
        <v>-0.04</v>
      </c>
      <c r="AZ133" s="36"/>
      <c r="BA133" s="36"/>
      <c r="BB133" s="36"/>
      <c r="BC133" s="36"/>
      <c r="BD133" s="27">
        <v>-0.01</v>
      </c>
      <c r="BE133" s="36">
        <v>-0.01</v>
      </c>
      <c r="BF133" s="729">
        <v>-0.11</v>
      </c>
      <c r="BG133" s="729">
        <v>-0.19</v>
      </c>
      <c r="BH133" s="729">
        <v>-0.23</v>
      </c>
      <c r="BI133" s="27">
        <v>-0.13</v>
      </c>
      <c r="BJ133" s="729">
        <v>-0.25</v>
      </c>
      <c r="BK133" s="729">
        <v>-0.46</v>
      </c>
      <c r="BL133" s="729">
        <v>-0.53</v>
      </c>
      <c r="BM133" s="729">
        <v>-0.83</v>
      </c>
      <c r="BN133" s="186">
        <v>-0.48</v>
      </c>
      <c r="BO133" s="729">
        <f>-0.9+0.03</f>
        <v>-0.87</v>
      </c>
      <c r="BP133" s="41">
        <v>-0.7</v>
      </c>
      <c r="BQ133" s="41">
        <v>-0.68</v>
      </c>
      <c r="BR133" s="41">
        <v>-0.66</v>
      </c>
      <c r="BS133" s="27">
        <f>SUMPRODUCT(BJ125:BM125,BO133:BR133)/BN125</f>
        <v>-0.75305162523900571</v>
      </c>
      <c r="BT133" s="41">
        <v>0</v>
      </c>
      <c r="BU133" s="41">
        <v>0</v>
      </c>
      <c r="BV133" s="41">
        <v>0</v>
      </c>
      <c r="BW133" s="41">
        <v>0</v>
      </c>
      <c r="BX133" s="27">
        <f>SUMPRODUCT(BO125:BR125,BT133:BW133)/BS125</f>
        <v>0</v>
      </c>
      <c r="BY133" s="41">
        <v>0</v>
      </c>
      <c r="BZ133" s="41">
        <v>0</v>
      </c>
      <c r="CA133" s="41">
        <v>0</v>
      </c>
      <c r="CB133" s="41">
        <v>0</v>
      </c>
      <c r="CC133" s="27">
        <f>SUMPRODUCT(BT125:BW125,BY133:CB133)/BX125</f>
        <v>0</v>
      </c>
      <c r="CD133" s="41">
        <v>0</v>
      </c>
      <c r="CE133" s="41">
        <v>0</v>
      </c>
      <c r="CF133" s="41">
        <v>0</v>
      </c>
      <c r="CG133" s="41">
        <v>0</v>
      </c>
      <c r="CH133" s="27">
        <f>SUMPRODUCT(BY125:CB125,CD133:CG133)/CC125</f>
        <v>0</v>
      </c>
      <c r="CI133" s="41">
        <v>0</v>
      </c>
      <c r="CJ133" s="41">
        <v>0</v>
      </c>
      <c r="CK133" s="41">
        <v>0</v>
      </c>
      <c r="CL133" s="41">
        <v>0</v>
      </c>
      <c r="CM133" s="27">
        <f>SUMPRODUCT(CD125:CG125,CI133:CL133)/CH125</f>
        <v>0</v>
      </c>
    </row>
    <row r="134" spans="1:91" x14ac:dyDescent="0.2">
      <c r="A134" s="33" t="s">
        <v>190</v>
      </c>
      <c r="B134" s="79"/>
      <c r="C134" s="79"/>
      <c r="D134" s="79"/>
      <c r="E134" s="79"/>
      <c r="F134" s="99"/>
      <c r="G134" s="79"/>
      <c r="H134" s="79"/>
      <c r="I134" s="79"/>
      <c r="J134" s="79"/>
      <c r="K134" s="99"/>
      <c r="L134" s="80"/>
      <c r="M134" s="80"/>
      <c r="N134" s="80"/>
      <c r="O134" s="80"/>
      <c r="P134" s="35"/>
      <c r="Q134" s="80"/>
      <c r="R134" s="80"/>
      <c r="S134" s="80"/>
      <c r="T134" s="80"/>
      <c r="U134" s="35"/>
      <c r="V134" s="80"/>
      <c r="W134" s="80"/>
      <c r="X134" s="80"/>
      <c r="Y134" s="80"/>
      <c r="Z134" s="35"/>
      <c r="AA134" s="80"/>
      <c r="AB134" s="80"/>
      <c r="AC134" s="80"/>
      <c r="AD134" s="80"/>
      <c r="AE134" s="35"/>
      <c r="AF134" s="80"/>
      <c r="AG134" s="80"/>
      <c r="AH134" s="80"/>
      <c r="AI134" s="80"/>
      <c r="AJ134" s="35"/>
      <c r="AK134" s="80"/>
      <c r="AL134" s="80"/>
      <c r="AM134" s="80"/>
      <c r="AN134" s="80"/>
      <c r="AO134" s="35"/>
      <c r="AP134" s="80"/>
      <c r="AQ134" s="80"/>
      <c r="AR134" s="80"/>
      <c r="AS134" s="80"/>
      <c r="AT134" s="35"/>
      <c r="AU134" s="80"/>
      <c r="AV134" s="80"/>
      <c r="AW134" s="80"/>
      <c r="AX134" s="80"/>
      <c r="AY134" s="35">
        <f>AY125/AT125-1</f>
        <v>-2.7508223684210575E-2</v>
      </c>
      <c r="AZ134" s="80">
        <f t="shared" ref="AZ134:BO134" si="155">AZ125/AU125-1</f>
        <v>2.9406290712823413E-2</v>
      </c>
      <c r="BA134" s="80">
        <f t="shared" si="155"/>
        <v>-1.3899613899613916E-2</v>
      </c>
      <c r="BB134" s="80">
        <f t="shared" si="155"/>
        <v>-3.6917098445595875E-2</v>
      </c>
      <c r="BC134" s="80">
        <f t="shared" si="155"/>
        <v>-7.6061844677448032E-2</v>
      </c>
      <c r="BD134" s="35">
        <f>BD125/AY125-1</f>
        <v>-2.4861528053782056E-2</v>
      </c>
      <c r="BE134" s="80">
        <f t="shared" si="155"/>
        <v>-4.3210992587235597E-2</v>
      </c>
      <c r="BF134" s="80">
        <f t="shared" si="155"/>
        <v>-0.12059514487079093</v>
      </c>
      <c r="BG134" s="80">
        <f t="shared" si="155"/>
        <v>-0.18628110289172828</v>
      </c>
      <c r="BH134" s="80">
        <f t="shared" si="155"/>
        <v>-0.20407770725139451</v>
      </c>
      <c r="BI134" s="35">
        <f>BI125/BD125-1</f>
        <v>-0.1377964705372241</v>
      </c>
      <c r="BJ134" s="80">
        <f t="shared" si="155"/>
        <v>-0.27513227513227512</v>
      </c>
      <c r="BK134" s="80">
        <f t="shared" si="155"/>
        <v>-0.46607301869991091</v>
      </c>
      <c r="BL134" s="80">
        <f t="shared" si="155"/>
        <v>-0.5057851239669422</v>
      </c>
      <c r="BM134" s="80">
        <f t="shared" si="155"/>
        <v>-0.70178830352827459</v>
      </c>
      <c r="BN134" s="35">
        <f>BN125/BI125-1</f>
        <v>-0.47397535831028414</v>
      </c>
      <c r="BO134" s="80">
        <f t="shared" si="155"/>
        <v>-0.72601668404588104</v>
      </c>
      <c r="BP134" s="80">
        <f>SUM(BP130:BP133)</f>
        <v>-0.68000153231981242</v>
      </c>
      <c r="BQ134" s="80">
        <f>SUM(BQ130:BQ133)</f>
        <v>-0.67814735531780146</v>
      </c>
      <c r="BR134" s="80">
        <f>SUM(BR130:BR133)</f>
        <v>-0.65515391984482274</v>
      </c>
      <c r="BS134" s="35">
        <f>BS125/BN125-1</f>
        <v>-0.6935213197804484</v>
      </c>
      <c r="BT134" s="80">
        <f>SUM(BT130:BT133)</f>
        <v>2.4170794141765786E-2</v>
      </c>
      <c r="BU134" s="80">
        <f>SUM(BU130:BU133)</f>
        <v>2.4999999999999998E-2</v>
      </c>
      <c r="BV134" s="80">
        <f>SUM(BV130:BV133)</f>
        <v>2.4999999999999998E-2</v>
      </c>
      <c r="BW134" s="80">
        <f>SUM(BW130:BW133)</f>
        <v>2.5000000000000036E-2</v>
      </c>
      <c r="BX134" s="35">
        <f>BX125/BS125-1</f>
        <v>2.4728147629463626E-2</v>
      </c>
      <c r="BY134" s="80">
        <f>SUM(BY130:BY133)</f>
        <v>2.4999999999999998E-2</v>
      </c>
      <c r="BZ134" s="80">
        <f>SUM(BZ130:BZ133)</f>
        <v>2.4999999999999998E-2</v>
      </c>
      <c r="CA134" s="80">
        <f>SUM(CA130:CA133)</f>
        <v>2.4999999999999998E-2</v>
      </c>
      <c r="CB134" s="80">
        <f>SUM(CB130:CB133)</f>
        <v>2.5000000000000022E-2</v>
      </c>
      <c r="CC134" s="35">
        <f>CC125/BX125-1</f>
        <v>2.4999999999999911E-2</v>
      </c>
      <c r="CD134" s="80">
        <f>SUM(CD130:CD133)</f>
        <v>1.4999999999999999E-2</v>
      </c>
      <c r="CE134" s="80">
        <f>SUM(CE130:CE133)</f>
        <v>1.4999999999999999E-2</v>
      </c>
      <c r="CF134" s="80">
        <f>SUM(CF130:CF133)</f>
        <v>1.4999999999999999E-2</v>
      </c>
      <c r="CG134" s="80">
        <f>SUM(CG130:CG133)</f>
        <v>1.500000000000001E-2</v>
      </c>
      <c r="CH134" s="35">
        <f>CH125/CC125-1</f>
        <v>1.4999999999999902E-2</v>
      </c>
      <c r="CI134" s="80">
        <f>SUM(CI130:CI133)</f>
        <v>1.4999999999999999E-2</v>
      </c>
      <c r="CJ134" s="80">
        <f>SUM(CJ130:CJ133)</f>
        <v>1.4999999999999999E-2</v>
      </c>
      <c r="CK134" s="80">
        <f>SUM(CK130:CK133)</f>
        <v>1.4999999999999999E-2</v>
      </c>
      <c r="CL134" s="80">
        <f>SUM(CL130:CL133)</f>
        <v>1.4999999999999996E-2</v>
      </c>
      <c r="CM134" s="35">
        <f>CM125/CH125-1</f>
        <v>1.4999999999999902E-2</v>
      </c>
    </row>
    <row r="135" spans="1:91" ht="15" customHeight="1" x14ac:dyDescent="0.2">
      <c r="A135" s="63"/>
      <c r="B135" s="50"/>
      <c r="C135" s="50"/>
      <c r="D135" s="50"/>
      <c r="E135" s="46"/>
      <c r="F135" s="100"/>
      <c r="G135" s="36"/>
      <c r="H135" s="36"/>
      <c r="I135" s="36"/>
      <c r="J135" s="36"/>
      <c r="K135" s="100"/>
      <c r="L135" s="62"/>
      <c r="M135" s="62"/>
      <c r="N135" s="62"/>
      <c r="O135" s="62"/>
      <c r="P135" s="100"/>
      <c r="Q135" s="148"/>
      <c r="R135" s="148"/>
      <c r="S135" s="148"/>
      <c r="T135" s="148"/>
      <c r="U135" s="149"/>
      <c r="V135" s="148"/>
      <c r="W135" s="148"/>
      <c r="X135" s="148"/>
      <c r="Y135" s="148"/>
      <c r="Z135" s="149"/>
      <c r="AA135" s="148"/>
      <c r="AB135" s="148"/>
      <c r="AC135" s="148"/>
      <c r="AD135" s="148"/>
      <c r="AE135" s="149"/>
      <c r="AF135" s="148"/>
      <c r="AG135" s="148"/>
      <c r="AH135" s="148"/>
      <c r="AI135" s="148"/>
      <c r="AJ135" s="149"/>
      <c r="AK135" s="62"/>
      <c r="AL135" s="62"/>
      <c r="AM135" s="62"/>
      <c r="AN135" s="62"/>
      <c r="AO135" s="149"/>
      <c r="AP135" s="62"/>
      <c r="AQ135" s="62"/>
      <c r="AR135" s="62"/>
      <c r="AS135" s="62"/>
      <c r="AT135" s="149"/>
      <c r="AU135" s="62"/>
      <c r="AV135" s="62"/>
      <c r="AW135" s="62"/>
      <c r="AX135" s="62"/>
      <c r="AY135" s="149"/>
      <c r="AZ135" s="62"/>
      <c r="BA135" s="62"/>
      <c r="BB135" s="62"/>
      <c r="BC135" s="62"/>
      <c r="BD135" s="149"/>
      <c r="BE135" s="62"/>
      <c r="BF135" s="36"/>
      <c r="BG135" s="36"/>
      <c r="BH135" s="36"/>
      <c r="BI135" s="27"/>
      <c r="BJ135" s="62"/>
      <c r="BK135" s="62"/>
      <c r="BL135" s="62"/>
      <c r="BM135" s="68"/>
      <c r="BN135" s="86"/>
      <c r="BO135" s="62"/>
      <c r="BP135" s="62"/>
      <c r="BQ135" s="62"/>
      <c r="BR135" s="68"/>
      <c r="BS135" s="86"/>
      <c r="BT135" s="62"/>
      <c r="BU135" s="62"/>
      <c r="BV135" s="62"/>
      <c r="BW135" s="68"/>
      <c r="BX135" s="86"/>
      <c r="BY135" s="62"/>
      <c r="BZ135" s="62"/>
      <c r="CA135" s="62"/>
      <c r="CB135" s="68"/>
      <c r="CC135" s="86"/>
      <c r="CD135" s="62"/>
      <c r="CE135" s="62"/>
      <c r="CF135" s="62"/>
      <c r="CG135" s="68"/>
      <c r="CH135" s="86"/>
      <c r="CI135" s="62"/>
      <c r="CJ135" s="62"/>
      <c r="CK135" s="62"/>
      <c r="CL135" s="68"/>
      <c r="CM135" s="86"/>
    </row>
    <row r="136" spans="1:91" x14ac:dyDescent="0.2">
      <c r="A136" s="52" t="s">
        <v>186</v>
      </c>
      <c r="B136" s="53">
        <v>21</v>
      </c>
      <c r="C136" s="53">
        <f>25</f>
        <v>25</v>
      </c>
      <c r="D136" s="53">
        <v>19</v>
      </c>
      <c r="E136" s="53">
        <v>18</v>
      </c>
      <c r="F136" s="65">
        <f>SUM(B136:E136)</f>
        <v>83</v>
      </c>
      <c r="G136" s="53">
        <v>20</v>
      </c>
      <c r="H136" s="53">
        <v>22</v>
      </c>
      <c r="I136" s="53">
        <v>24</v>
      </c>
      <c r="J136" s="53">
        <v>27</v>
      </c>
      <c r="K136" s="65">
        <f>SUM(G136:J136)</f>
        <v>93</v>
      </c>
      <c r="L136" s="53">
        <v>14</v>
      </c>
      <c r="M136" s="53">
        <v>18</v>
      </c>
      <c r="N136" s="53">
        <v>17</v>
      </c>
      <c r="O136" s="53">
        <v>23</v>
      </c>
      <c r="P136" s="65">
        <f>SUM(L136:O136)</f>
        <v>72</v>
      </c>
      <c r="Q136" s="53">
        <v>28</v>
      </c>
      <c r="R136" s="53">
        <v>29</v>
      </c>
      <c r="S136" s="53">
        <v>34</v>
      </c>
      <c r="T136" s="53">
        <v>16</v>
      </c>
      <c r="U136" s="65">
        <f>SUM(Q136:T136)</f>
        <v>107</v>
      </c>
      <c r="V136" s="53">
        <v>17</v>
      </c>
      <c r="W136" s="53">
        <v>35</v>
      </c>
      <c r="X136" s="53">
        <v>12</v>
      </c>
      <c r="Y136" s="53">
        <v>24</v>
      </c>
      <c r="Z136" s="65">
        <f>SUM(V136:Y136)</f>
        <v>88</v>
      </c>
      <c r="AA136" s="53">
        <v>18</v>
      </c>
      <c r="AB136" s="53">
        <v>33</v>
      </c>
      <c r="AC136" s="53">
        <v>12</v>
      </c>
      <c r="AD136" s="53">
        <v>29</v>
      </c>
      <c r="AE136" s="65">
        <f>SUM(AA136:AD136)</f>
        <v>92</v>
      </c>
      <c r="AF136" s="53">
        <f>28+28</f>
        <v>56</v>
      </c>
      <c r="AG136" s="53">
        <v>63</v>
      </c>
      <c r="AH136" s="53">
        <f>34-5</f>
        <v>29</v>
      </c>
      <c r="AI136" s="53">
        <v>34</v>
      </c>
      <c r="AJ136" s="65">
        <f>SUM(AF136:AI136)</f>
        <v>182</v>
      </c>
      <c r="AK136" s="53">
        <v>30</v>
      </c>
      <c r="AL136" s="53">
        <v>51</v>
      </c>
      <c r="AM136" s="53">
        <f>26+4</f>
        <v>30</v>
      </c>
      <c r="AN136" s="53">
        <v>19</v>
      </c>
      <c r="AO136" s="65">
        <f>SUM(AK136:AN136)</f>
        <v>130</v>
      </c>
      <c r="AP136" s="53">
        <v>44</v>
      </c>
      <c r="AQ136" s="53">
        <v>53</v>
      </c>
      <c r="AR136" s="53">
        <v>27</v>
      </c>
      <c r="AS136" s="53">
        <v>30</v>
      </c>
      <c r="AT136" s="65">
        <f>SUM(AP136:AS136)</f>
        <v>154</v>
      </c>
      <c r="AU136" s="53">
        <v>33</v>
      </c>
      <c r="AV136" s="53">
        <v>50</v>
      </c>
      <c r="AW136" s="53">
        <v>43</v>
      </c>
      <c r="AX136" s="53">
        <v>10</v>
      </c>
      <c r="AY136" s="65">
        <f>SUM(AU136:AX136)</f>
        <v>136</v>
      </c>
      <c r="AZ136" s="53">
        <v>40</v>
      </c>
      <c r="BA136" s="547">
        <v>25</v>
      </c>
      <c r="BB136" s="547">
        <v>55</v>
      </c>
      <c r="BC136" s="547">
        <v>46</v>
      </c>
      <c r="BD136" s="65">
        <f>SUM(AZ136:BC136)</f>
        <v>166</v>
      </c>
      <c r="BE136" s="547">
        <v>34</v>
      </c>
      <c r="BF136" s="53">
        <f>63-9</f>
        <v>54</v>
      </c>
      <c r="BG136" s="53">
        <v>43</v>
      </c>
      <c r="BH136" s="53">
        <v>10</v>
      </c>
      <c r="BI136" s="65">
        <f>SUM(BE136:BH136)</f>
        <v>141</v>
      </c>
      <c r="BJ136" s="53">
        <v>29</v>
      </c>
      <c r="BK136" s="53">
        <v>45</v>
      </c>
      <c r="BL136" s="53">
        <v>48</v>
      </c>
      <c r="BM136" s="53">
        <v>16</v>
      </c>
      <c r="BN136" s="65">
        <f>SUM(BJ136:BM136)</f>
        <v>138</v>
      </c>
      <c r="BO136" s="53">
        <v>18</v>
      </c>
      <c r="BP136" s="53">
        <f>BK136*(1+BP137)</f>
        <v>47.25</v>
      </c>
      <c r="BQ136" s="53">
        <f>BL136*(1+BQ137)</f>
        <v>50.400000000000006</v>
      </c>
      <c r="BR136" s="53">
        <f>BM136*(1+BR137)</f>
        <v>16.8</v>
      </c>
      <c r="BS136" s="65">
        <f>SUM(BO136:BR136)</f>
        <v>132.45000000000002</v>
      </c>
      <c r="BT136" s="53">
        <f>BO136*(1+BT137)</f>
        <v>18.900000000000002</v>
      </c>
      <c r="BU136" s="53">
        <f>BP136*(1+BU137)</f>
        <v>49.612500000000004</v>
      </c>
      <c r="BV136" s="53">
        <f>BQ136*(1+BV137)</f>
        <v>52.920000000000009</v>
      </c>
      <c r="BW136" s="53">
        <f>BR136*(1+BW137)</f>
        <v>17.64</v>
      </c>
      <c r="BX136" s="65">
        <f>SUM(BT136:BW136)</f>
        <v>139.07249999999999</v>
      </c>
      <c r="BY136" s="53">
        <f>BT136*(1+BY137)</f>
        <v>19.845000000000002</v>
      </c>
      <c r="BZ136" s="53">
        <f>BU136*(1+BZ137)</f>
        <v>52.093125000000008</v>
      </c>
      <c r="CA136" s="53">
        <f>BV136*(1+CA137)</f>
        <v>55.56600000000001</v>
      </c>
      <c r="CB136" s="53">
        <f>BW136*(1+CB137)</f>
        <v>18.522000000000002</v>
      </c>
      <c r="CC136" s="65">
        <f>SUM(BY136:CB136)</f>
        <v>146.02612500000001</v>
      </c>
      <c r="CD136" s="53">
        <f>BY136*(1+CD137)</f>
        <v>20.837250000000004</v>
      </c>
      <c r="CE136" s="53">
        <f>BZ136*(1+CE137)</f>
        <v>54.697781250000013</v>
      </c>
      <c r="CF136" s="53">
        <f>CA136*(1+CF137)</f>
        <v>58.344300000000011</v>
      </c>
      <c r="CG136" s="53">
        <f>CB136*(1+CG137)</f>
        <v>19.448100000000004</v>
      </c>
      <c r="CH136" s="65">
        <f>SUM(CD136:CG136)</f>
        <v>153.32743125000005</v>
      </c>
      <c r="CI136" s="53">
        <f>CD136*(1+CI137)</f>
        <v>21.879112500000005</v>
      </c>
      <c r="CJ136" s="53">
        <f>CE136*(1+CJ137)</f>
        <v>57.432670312500015</v>
      </c>
      <c r="CK136" s="53">
        <f>CF136*(1+CK137)</f>
        <v>61.261515000000017</v>
      </c>
      <c r="CL136" s="53">
        <f>CG136*(1+CL137)</f>
        <v>20.420505000000006</v>
      </c>
      <c r="CM136" s="65">
        <f>SUM(CI136:CL136)</f>
        <v>160.99380281250001</v>
      </c>
    </row>
    <row r="137" spans="1:91" x14ac:dyDescent="0.2">
      <c r="A137" s="81" t="s">
        <v>197</v>
      </c>
      <c r="B137" s="82"/>
      <c r="C137" s="82"/>
      <c r="D137" s="82"/>
      <c r="E137" s="83"/>
      <c r="F137" s="101"/>
      <c r="G137" s="80"/>
      <c r="H137" s="80"/>
      <c r="I137" s="80"/>
      <c r="J137" s="80"/>
      <c r="K137" s="101"/>
      <c r="L137" s="82"/>
      <c r="M137" s="82"/>
      <c r="N137" s="84"/>
      <c r="O137" s="84"/>
      <c r="P137" s="101"/>
      <c r="Q137" s="84"/>
      <c r="R137" s="84"/>
      <c r="S137" s="82"/>
      <c r="T137" s="82"/>
      <c r="U137" s="97"/>
      <c r="V137" s="80">
        <f t="shared" ref="V137:AV137" si="156">V136/Q136-1</f>
        <v>-0.3928571428571429</v>
      </c>
      <c r="W137" s="80">
        <f t="shared" si="156"/>
        <v>0.2068965517241379</v>
      </c>
      <c r="X137" s="80">
        <f t="shared" si="156"/>
        <v>-0.64705882352941169</v>
      </c>
      <c r="Y137" s="80">
        <f t="shared" si="156"/>
        <v>0.5</v>
      </c>
      <c r="Z137" s="35">
        <f t="shared" si="156"/>
        <v>-0.17757009345794394</v>
      </c>
      <c r="AA137" s="80">
        <f t="shared" si="156"/>
        <v>5.8823529411764719E-2</v>
      </c>
      <c r="AB137" s="80">
        <f t="shared" si="156"/>
        <v>-5.7142857142857162E-2</v>
      </c>
      <c r="AC137" s="80">
        <f t="shared" si="156"/>
        <v>0</v>
      </c>
      <c r="AD137" s="80">
        <f t="shared" si="156"/>
        <v>0.20833333333333326</v>
      </c>
      <c r="AE137" s="35">
        <f>AE136/Z136-1</f>
        <v>4.5454545454545414E-2</v>
      </c>
      <c r="AF137" s="80">
        <f t="shared" si="156"/>
        <v>2.1111111111111112</v>
      </c>
      <c r="AG137" s="80">
        <f t="shared" si="156"/>
        <v>0.90909090909090917</v>
      </c>
      <c r="AH137" s="80">
        <f t="shared" si="156"/>
        <v>1.4166666666666665</v>
      </c>
      <c r="AI137" s="80">
        <f t="shared" si="156"/>
        <v>0.17241379310344818</v>
      </c>
      <c r="AJ137" s="35">
        <f>AJ136/AE136-1</f>
        <v>0.97826086956521729</v>
      </c>
      <c r="AK137" s="80">
        <f t="shared" si="156"/>
        <v>-0.4642857142857143</v>
      </c>
      <c r="AL137" s="80">
        <f t="shared" si="156"/>
        <v>-0.19047619047619047</v>
      </c>
      <c r="AM137" s="80">
        <f t="shared" si="156"/>
        <v>3.4482758620689724E-2</v>
      </c>
      <c r="AN137" s="80">
        <f t="shared" si="156"/>
        <v>-0.44117647058823528</v>
      </c>
      <c r="AO137" s="35">
        <f>AO136/AJ136-1</f>
        <v>-0.2857142857142857</v>
      </c>
      <c r="AP137" s="80">
        <f t="shared" si="156"/>
        <v>0.46666666666666656</v>
      </c>
      <c r="AQ137" s="80">
        <f t="shared" si="156"/>
        <v>3.9215686274509887E-2</v>
      </c>
      <c r="AR137" s="80">
        <f t="shared" si="156"/>
        <v>-9.9999999999999978E-2</v>
      </c>
      <c r="AS137" s="80">
        <f t="shared" si="156"/>
        <v>0.57894736842105265</v>
      </c>
      <c r="AT137" s="35">
        <f>AT136/AO136-1</f>
        <v>0.18461538461538463</v>
      </c>
      <c r="AU137" s="80">
        <f t="shared" si="156"/>
        <v>-0.25</v>
      </c>
      <c r="AV137" s="80">
        <f t="shared" si="156"/>
        <v>-5.6603773584905648E-2</v>
      </c>
      <c r="AW137" s="80">
        <f t="shared" ref="AW137:BO137" si="157">AW136/AR136-1</f>
        <v>0.59259259259259256</v>
      </c>
      <c r="AX137" s="80">
        <f t="shared" si="157"/>
        <v>-0.66666666666666674</v>
      </c>
      <c r="AY137" s="35">
        <f t="shared" si="157"/>
        <v>-0.11688311688311692</v>
      </c>
      <c r="AZ137" s="80">
        <f t="shared" si="157"/>
        <v>0.21212121212121215</v>
      </c>
      <c r="BA137" s="80">
        <f t="shared" si="157"/>
        <v>-0.5</v>
      </c>
      <c r="BB137" s="80">
        <f t="shared" si="157"/>
        <v>0.27906976744186052</v>
      </c>
      <c r="BC137" s="80">
        <f t="shared" si="157"/>
        <v>3.5999999999999996</v>
      </c>
      <c r="BD137" s="35">
        <f>BD136/AY136-1</f>
        <v>0.22058823529411775</v>
      </c>
      <c r="BE137" s="80">
        <f t="shared" si="157"/>
        <v>-0.15000000000000002</v>
      </c>
      <c r="BF137" s="80">
        <f t="shared" si="157"/>
        <v>1.1600000000000001</v>
      </c>
      <c r="BG137" s="80">
        <f t="shared" si="157"/>
        <v>-0.21818181818181814</v>
      </c>
      <c r="BH137" s="80">
        <f t="shared" si="157"/>
        <v>-0.78260869565217395</v>
      </c>
      <c r="BI137" s="35">
        <f>BI136/BD136-1</f>
        <v>-0.1506024096385542</v>
      </c>
      <c r="BJ137" s="80">
        <f t="shared" si="157"/>
        <v>-0.1470588235294118</v>
      </c>
      <c r="BK137" s="80">
        <f t="shared" si="157"/>
        <v>-0.16666666666666663</v>
      </c>
      <c r="BL137" s="80">
        <f t="shared" si="157"/>
        <v>0.11627906976744184</v>
      </c>
      <c r="BM137" s="80">
        <f t="shared" si="157"/>
        <v>0.60000000000000009</v>
      </c>
      <c r="BN137" s="35">
        <f>BN136/BI136-1</f>
        <v>-2.1276595744680882E-2</v>
      </c>
      <c r="BO137" s="80">
        <f t="shared" si="157"/>
        <v>-0.37931034482758619</v>
      </c>
      <c r="BP137" s="85">
        <v>0.05</v>
      </c>
      <c r="BQ137" s="85">
        <v>0.05</v>
      </c>
      <c r="BR137" s="85">
        <v>0.05</v>
      </c>
      <c r="BS137" s="35">
        <f>BS136/BN136-1</f>
        <v>-4.0217391304347649E-2</v>
      </c>
      <c r="BT137" s="85">
        <v>0.05</v>
      </c>
      <c r="BU137" s="85">
        <v>0.05</v>
      </c>
      <c r="BV137" s="85">
        <v>0.05</v>
      </c>
      <c r="BW137" s="85">
        <v>0.05</v>
      </c>
      <c r="BX137" s="35">
        <f>BX136/BS136-1</f>
        <v>4.9999999999999822E-2</v>
      </c>
      <c r="BY137" s="85">
        <v>0.05</v>
      </c>
      <c r="BZ137" s="85">
        <v>0.05</v>
      </c>
      <c r="CA137" s="85">
        <v>0.05</v>
      </c>
      <c r="CB137" s="85">
        <v>0.05</v>
      </c>
      <c r="CC137" s="35">
        <f>CC136/BX136-1</f>
        <v>5.0000000000000044E-2</v>
      </c>
      <c r="CD137" s="85">
        <v>0.05</v>
      </c>
      <c r="CE137" s="85">
        <v>0.05</v>
      </c>
      <c r="CF137" s="85">
        <v>0.05</v>
      </c>
      <c r="CG137" s="85">
        <v>0.05</v>
      </c>
      <c r="CH137" s="35">
        <f>CH136/CC136-1</f>
        <v>5.0000000000000266E-2</v>
      </c>
      <c r="CI137" s="85">
        <v>0.05</v>
      </c>
      <c r="CJ137" s="85">
        <v>0.05</v>
      </c>
      <c r="CK137" s="85">
        <v>0.05</v>
      </c>
      <c r="CL137" s="85">
        <v>0.05</v>
      </c>
      <c r="CM137" s="35">
        <f>CM136/CH136-1</f>
        <v>4.9999999999999822E-2</v>
      </c>
    </row>
    <row r="138" spans="1:91" x14ac:dyDescent="0.2">
      <c r="A138" s="47"/>
      <c r="B138" s="50"/>
      <c r="C138" s="50"/>
      <c r="D138" s="50"/>
      <c r="E138" s="46"/>
      <c r="F138" s="100"/>
      <c r="G138" s="36"/>
      <c r="H138" s="36"/>
      <c r="I138" s="36"/>
      <c r="J138" s="36"/>
      <c r="K138" s="100"/>
      <c r="L138" s="50"/>
      <c r="M138" s="50"/>
      <c r="N138" s="55"/>
      <c r="O138" s="55"/>
      <c r="P138" s="100"/>
      <c r="Q138" s="55"/>
      <c r="R138" s="55"/>
      <c r="S138" s="50"/>
      <c r="T138" s="50"/>
      <c r="U138" s="67"/>
      <c r="V138" s="150"/>
      <c r="W138" s="150"/>
      <c r="X138" s="150"/>
      <c r="Y138" s="148"/>
      <c r="Z138" s="149"/>
      <c r="AA138" s="150"/>
      <c r="AB138" s="148"/>
      <c r="AC138" s="148"/>
      <c r="AD138" s="148"/>
      <c r="AE138" s="149"/>
      <c r="AF138" s="148"/>
      <c r="AG138" s="148"/>
      <c r="AH138" s="148"/>
      <c r="AI138" s="148"/>
      <c r="AJ138" s="149"/>
      <c r="AK138" s="148"/>
      <c r="AL138" s="148"/>
      <c r="AM138" s="148"/>
      <c r="AN138" s="148"/>
      <c r="AO138" s="149"/>
      <c r="AP138" s="50"/>
      <c r="AQ138" s="50"/>
      <c r="AR138" s="50"/>
      <c r="AS138" s="50"/>
      <c r="AT138" s="67"/>
      <c r="AU138" s="50"/>
      <c r="AV138" s="50"/>
      <c r="AW138" s="50"/>
      <c r="AX138" s="50"/>
      <c r="AY138" s="67"/>
      <c r="AZ138" s="637"/>
      <c r="BA138" s="637"/>
      <c r="BB138" s="637"/>
      <c r="BC138" s="637"/>
      <c r="BD138" s="67"/>
      <c r="BE138" s="50"/>
      <c r="BF138" s="50"/>
      <c r="BG138" s="50"/>
      <c r="BH138" s="50"/>
      <c r="BI138" s="67"/>
      <c r="BJ138" s="50"/>
      <c r="BK138" s="50"/>
      <c r="BL138" s="50"/>
      <c r="BM138" s="50"/>
      <c r="BN138" s="67"/>
      <c r="BO138" s="50"/>
      <c r="BP138" s="50"/>
      <c r="BQ138" s="50"/>
      <c r="BR138" s="50"/>
      <c r="BS138" s="67"/>
      <c r="BT138" s="50"/>
      <c r="BU138" s="50"/>
      <c r="BV138" s="50"/>
      <c r="BW138" s="50"/>
      <c r="BX138" s="67"/>
      <c r="BY138" s="50"/>
      <c r="BZ138" s="50"/>
      <c r="CA138" s="50"/>
      <c r="CB138" s="50"/>
      <c r="CC138" s="67"/>
      <c r="CD138" s="50"/>
      <c r="CE138" s="50"/>
      <c r="CF138" s="50"/>
      <c r="CG138" s="50"/>
      <c r="CH138" s="67"/>
      <c r="CI138" s="50"/>
      <c r="CJ138" s="50"/>
      <c r="CK138" s="50"/>
      <c r="CL138" s="50"/>
      <c r="CM138" s="67"/>
    </row>
    <row r="139" spans="1:91" hidden="1" outlineLevel="1" x14ac:dyDescent="0.2">
      <c r="A139" s="52" t="s">
        <v>359</v>
      </c>
      <c r="B139" s="53"/>
      <c r="C139" s="53"/>
      <c r="D139" s="53"/>
      <c r="E139" s="53"/>
      <c r="F139" s="65"/>
      <c r="G139" s="53"/>
      <c r="H139" s="53"/>
      <c r="I139" s="53"/>
      <c r="J139" s="53"/>
      <c r="K139" s="65"/>
      <c r="L139" s="53"/>
      <c r="M139" s="53"/>
      <c r="N139" s="53"/>
      <c r="O139" s="53"/>
      <c r="P139" s="65"/>
      <c r="Q139" s="53"/>
      <c r="R139" s="53"/>
      <c r="S139" s="53"/>
      <c r="T139" s="53"/>
      <c r="U139" s="65"/>
      <c r="V139" s="53"/>
      <c r="W139" s="53"/>
      <c r="X139" s="53"/>
      <c r="Y139" s="53"/>
      <c r="Z139" s="65"/>
      <c r="AA139" s="53"/>
      <c r="AB139" s="53"/>
      <c r="AC139" s="53"/>
      <c r="AD139" s="53"/>
      <c r="AE139" s="65"/>
      <c r="AF139" s="128"/>
      <c r="AG139" s="128"/>
      <c r="AH139" s="128"/>
      <c r="AI139" s="53"/>
      <c r="AJ139" s="65"/>
      <c r="AK139" s="53"/>
      <c r="AL139" s="53"/>
      <c r="AM139" s="53"/>
      <c r="AN139" s="53"/>
      <c r="AO139" s="65"/>
      <c r="AP139" s="53"/>
      <c r="AQ139" s="53"/>
      <c r="AR139" s="53"/>
      <c r="AS139" s="53"/>
      <c r="AT139" s="65"/>
      <c r="AU139" s="53"/>
      <c r="AV139" s="53"/>
      <c r="AW139" s="53"/>
      <c r="AX139" s="53"/>
      <c r="AY139" s="65"/>
      <c r="AZ139" s="53"/>
      <c r="BA139" s="53"/>
      <c r="BB139" s="53"/>
      <c r="BC139" s="53"/>
      <c r="BD139" s="65"/>
      <c r="BE139" s="53"/>
      <c r="BF139" s="53"/>
      <c r="BG139" s="53"/>
      <c r="BH139" s="53"/>
      <c r="BI139" s="65"/>
      <c r="BJ139" s="53"/>
      <c r="BK139" s="53"/>
      <c r="BL139" s="53"/>
      <c r="BM139" s="53"/>
      <c r="BN139" s="65"/>
      <c r="BO139" s="53"/>
      <c r="BP139" s="53"/>
      <c r="BQ139" s="53"/>
      <c r="BR139" s="53"/>
      <c r="BS139" s="65"/>
      <c r="BT139" s="53"/>
      <c r="BU139" s="53"/>
      <c r="BV139" s="53"/>
      <c r="BW139" s="53"/>
      <c r="BX139" s="65"/>
      <c r="BY139" s="53"/>
      <c r="BZ139" s="53"/>
      <c r="CA139" s="53"/>
      <c r="CB139" s="53"/>
      <c r="CC139" s="65"/>
      <c r="CD139" s="53"/>
      <c r="CE139" s="53"/>
      <c r="CF139" s="53"/>
      <c r="CG139" s="53"/>
      <c r="CH139" s="65"/>
      <c r="CI139" s="53"/>
      <c r="CJ139" s="53"/>
      <c r="CK139" s="53"/>
      <c r="CL139" s="53"/>
      <c r="CM139" s="65"/>
    </row>
    <row r="140" spans="1:91" hidden="1" outlineLevel="1" x14ac:dyDescent="0.2">
      <c r="A140" s="47" t="s">
        <v>182</v>
      </c>
      <c r="B140" s="59">
        <f t="shared" ref="B140:AG140" si="158">B31/B7</f>
        <v>8.0484056857472147E-2</v>
      </c>
      <c r="C140" s="59">
        <f t="shared" si="158"/>
        <v>7.4643423137876391E-2</v>
      </c>
      <c r="D140" s="59">
        <f t="shared" si="158"/>
        <v>7.4209044227265195E-2</v>
      </c>
      <c r="E140" s="59">
        <f t="shared" si="158"/>
        <v>9.1334894613583142E-2</v>
      </c>
      <c r="F140" s="78">
        <f t="shared" si="158"/>
        <v>7.9856301939058169E-2</v>
      </c>
      <c r="G140" s="59">
        <f t="shared" si="158"/>
        <v>7.8836586299272871E-2</v>
      </c>
      <c r="H140" s="59">
        <f t="shared" si="158"/>
        <v>7.5355157504632495E-2</v>
      </c>
      <c r="I140" s="59">
        <f t="shared" si="158"/>
        <v>6.9259374031608312E-2</v>
      </c>
      <c r="J140" s="59">
        <f t="shared" si="158"/>
        <v>7.7039784221173302E-2</v>
      </c>
      <c r="K140" s="78">
        <f t="shared" si="158"/>
        <v>7.4892062437728335E-2</v>
      </c>
      <c r="L140" s="59">
        <f t="shared" si="158"/>
        <v>7.0784859904964775E-2</v>
      </c>
      <c r="M140" s="59">
        <f t="shared" si="158"/>
        <v>6.5304538988749508E-2</v>
      </c>
      <c r="N140" s="59">
        <f t="shared" si="158"/>
        <v>5.9687906371911577E-2</v>
      </c>
      <c r="O140" s="59">
        <f t="shared" si="158"/>
        <v>7.4341836038739603E-2</v>
      </c>
      <c r="P140" s="78">
        <f t="shared" si="158"/>
        <v>6.7262709221332775E-2</v>
      </c>
      <c r="Q140" s="59">
        <f t="shared" si="158"/>
        <v>7.047025342187288E-2</v>
      </c>
      <c r="R140" s="59">
        <f t="shared" si="158"/>
        <v>6.6438204731372977E-2</v>
      </c>
      <c r="S140" s="59">
        <f t="shared" si="158"/>
        <v>6.4339330394376268E-2</v>
      </c>
      <c r="T140" s="59">
        <f t="shared" si="158"/>
        <v>6.6516980072972215E-2</v>
      </c>
      <c r="U140" s="78">
        <f t="shared" si="158"/>
        <v>6.6835712496869523E-2</v>
      </c>
      <c r="V140" s="59">
        <f t="shared" si="158"/>
        <v>6.3886176593667174E-2</v>
      </c>
      <c r="W140" s="59">
        <f t="shared" si="158"/>
        <v>6.6045723962743441E-2</v>
      </c>
      <c r="X140" s="59">
        <f t="shared" si="158"/>
        <v>5.7807061163600196E-2</v>
      </c>
      <c r="Y140" s="59">
        <f t="shared" si="158"/>
        <v>6.764314247669774E-2</v>
      </c>
      <c r="Z140" s="27">
        <f t="shared" si="158"/>
        <v>6.37947725072604E-2</v>
      </c>
      <c r="AA140" s="59">
        <f t="shared" si="158"/>
        <v>7.3222591362126249E-2</v>
      </c>
      <c r="AB140" s="59">
        <f t="shared" si="158"/>
        <v>7.0209822457920221E-2</v>
      </c>
      <c r="AC140" s="59">
        <f t="shared" si="158"/>
        <v>6.978400189888441E-2</v>
      </c>
      <c r="AD140" s="59">
        <f t="shared" si="158"/>
        <v>5.5460263007432821E-2</v>
      </c>
      <c r="AE140" s="78">
        <f t="shared" si="158"/>
        <v>6.6345852672342609E-2</v>
      </c>
      <c r="AF140" s="59">
        <f t="shared" si="158"/>
        <v>5.633001422475107E-2</v>
      </c>
      <c r="AG140" s="59">
        <f t="shared" si="158"/>
        <v>5.5036507811886633E-2</v>
      </c>
      <c r="AH140" s="59">
        <f t="shared" ref="AH140:BM140" si="159">AH31/AH7</f>
        <v>5.4643469737809362E-2</v>
      </c>
      <c r="AI140" s="59">
        <f t="shared" si="159"/>
        <v>5.6702898550724641E-2</v>
      </c>
      <c r="AJ140" s="78">
        <f t="shared" si="159"/>
        <v>5.5621174702029423E-2</v>
      </c>
      <c r="AK140" s="59">
        <f t="shared" si="159"/>
        <v>5.522133429110173E-2</v>
      </c>
      <c r="AL140" s="59">
        <f t="shared" si="159"/>
        <v>5.5640476918373587E-2</v>
      </c>
      <c r="AM140" s="59">
        <f t="shared" si="159"/>
        <v>5.6545690213869085E-2</v>
      </c>
      <c r="AN140" s="59">
        <f t="shared" si="159"/>
        <v>5.7267568747271937E-2</v>
      </c>
      <c r="AO140" s="78">
        <f t="shared" si="159"/>
        <v>5.6164098292378173E-2</v>
      </c>
      <c r="AP140" s="59">
        <f t="shared" si="159"/>
        <v>6.0625283189850478E-2</v>
      </c>
      <c r="AQ140" s="59">
        <f t="shared" ca="1" si="159"/>
        <v>6.0004706251470703E-2</v>
      </c>
      <c r="AR140" s="59">
        <f t="shared" ca="1" si="159"/>
        <v>5.5610972568578554E-2</v>
      </c>
      <c r="AS140" s="59">
        <f t="shared" si="159"/>
        <v>5.9782608695652176E-2</v>
      </c>
      <c r="AT140" s="78">
        <f t="shared" ca="1" si="159"/>
        <v>5.8970418747598924E-2</v>
      </c>
      <c r="AU140" s="59">
        <f t="shared" si="159"/>
        <v>6.2216338880484112E-2</v>
      </c>
      <c r="AV140" s="59">
        <f t="shared" si="159"/>
        <v>5.8215365038969305E-2</v>
      </c>
      <c r="AW140" s="59">
        <f t="shared" si="159"/>
        <v>5.9201736806947229E-2</v>
      </c>
      <c r="AX140" s="59">
        <f t="shared" si="159"/>
        <v>5.803899926416483E-2</v>
      </c>
      <c r="AY140" s="78">
        <f t="shared" si="159"/>
        <v>5.9350406539414757E-2</v>
      </c>
      <c r="AZ140" s="59">
        <f t="shared" si="159"/>
        <v>5.9564933246195502E-2</v>
      </c>
      <c r="BA140" s="59">
        <f t="shared" si="159"/>
        <v>5.3553800592300096E-2</v>
      </c>
      <c r="BB140" s="59">
        <f t="shared" si="159"/>
        <v>5.1457075347860329E-2</v>
      </c>
      <c r="BC140" s="59">
        <f t="shared" si="159"/>
        <v>5.4600000000000003E-2</v>
      </c>
      <c r="BD140" s="78">
        <f t="shared" si="159"/>
        <v>5.4702668532984153E-2</v>
      </c>
      <c r="BE140" s="59">
        <f t="shared" si="159"/>
        <v>5.2279988382224807E-2</v>
      </c>
      <c r="BF140" s="59">
        <f t="shared" si="159"/>
        <v>5.2933009371745922E-2</v>
      </c>
      <c r="BG140" s="59">
        <f t="shared" si="159"/>
        <v>5.4483380398964956E-2</v>
      </c>
      <c r="BH140" s="59">
        <f t="shared" si="159"/>
        <v>5.1559714061139676E-2</v>
      </c>
      <c r="BI140" s="78">
        <f t="shared" si="159"/>
        <v>5.2857856344497203E-2</v>
      </c>
      <c r="BJ140" s="59">
        <f t="shared" si="159"/>
        <v>5.8678881258244601E-2</v>
      </c>
      <c r="BK140" s="59">
        <f t="shared" si="159"/>
        <v>6.1292411636634923E-2</v>
      </c>
      <c r="BL140" s="59">
        <f t="shared" si="159"/>
        <v>6.1360460024322938E-2</v>
      </c>
      <c r="BM140" s="59">
        <f t="shared" si="159"/>
        <v>6.6155627370738615E-2</v>
      </c>
      <c r="BN140" s="78">
        <f t="shared" ref="BN140:CM140" si="160">BN31/BN7</f>
        <v>6.1663249535498975E-2</v>
      </c>
      <c r="BO140" s="59">
        <f t="shared" si="160"/>
        <v>7.6327538079941512E-2</v>
      </c>
      <c r="BP140" s="59">
        <f t="shared" si="160"/>
        <v>7.2468740348921007E-2</v>
      </c>
      <c r="BQ140" s="59">
        <f t="shared" si="160"/>
        <v>7.0484417369114288E-2</v>
      </c>
      <c r="BR140" s="59">
        <f t="shared" si="160"/>
        <v>7.0899142212564339E-2</v>
      </c>
      <c r="BS140" s="78">
        <f t="shared" si="160"/>
        <v>7.2514238740863629E-2</v>
      </c>
      <c r="BT140" s="59">
        <f t="shared" si="160"/>
        <v>7.6100065729930264E-2</v>
      </c>
      <c r="BU140" s="59">
        <f t="shared" si="160"/>
        <v>7.3137639136804933E-2</v>
      </c>
      <c r="BV140" s="59">
        <f t="shared" si="160"/>
        <v>7.1064879945759427E-2</v>
      </c>
      <c r="BW140" s="59">
        <f t="shared" si="160"/>
        <v>7.1334297904825372E-2</v>
      </c>
      <c r="BX140" s="78">
        <f t="shared" si="160"/>
        <v>7.2888950781157993E-2</v>
      </c>
      <c r="BY140" s="59">
        <f t="shared" si="160"/>
        <v>7.6791509188581755E-2</v>
      </c>
      <c r="BZ140" s="59">
        <f t="shared" si="160"/>
        <v>7.3827902522655281E-2</v>
      </c>
      <c r="CA140" s="59">
        <f t="shared" si="160"/>
        <v>7.1667503112846184E-2</v>
      </c>
      <c r="CB140" s="59">
        <f t="shared" si="160"/>
        <v>7.1795957316034997E-2</v>
      </c>
      <c r="CC140" s="78">
        <f t="shared" si="160"/>
        <v>7.3502898948640247E-2</v>
      </c>
      <c r="CD140" s="59">
        <f t="shared" si="160"/>
        <v>7.7843242936310689E-2</v>
      </c>
      <c r="CE140" s="59">
        <f t="shared" si="160"/>
        <v>7.4844748792665783E-2</v>
      </c>
      <c r="CF140" s="59">
        <f t="shared" si="160"/>
        <v>7.2578404954235398E-2</v>
      </c>
      <c r="CG140" s="59">
        <f t="shared" si="160"/>
        <v>7.2553247082668096E-2</v>
      </c>
      <c r="CH140" s="78">
        <f t="shared" si="160"/>
        <v>7.4438961103504786E-2</v>
      </c>
      <c r="CI140" s="59">
        <f t="shared" si="160"/>
        <v>7.8293602533173953E-2</v>
      </c>
      <c r="CJ140" s="59">
        <f t="shared" si="160"/>
        <v>7.5273886724996728E-2</v>
      </c>
      <c r="CK140" s="59">
        <f t="shared" si="160"/>
        <v>7.293285002132377E-2</v>
      </c>
      <c r="CL140" s="59">
        <f t="shared" si="160"/>
        <v>7.2786479633955806E-2</v>
      </c>
      <c r="CM140" s="78">
        <f t="shared" si="160"/>
        <v>7.4806935771505975E-2</v>
      </c>
    </row>
    <row r="141" spans="1:91" hidden="1" outlineLevel="1" x14ac:dyDescent="0.2">
      <c r="A141" s="47" t="s">
        <v>183</v>
      </c>
      <c r="B141" s="59">
        <f t="shared" ref="B141:AG141" si="161">B62/B7</f>
        <v>0.21110257395313101</v>
      </c>
      <c r="C141" s="59">
        <f t="shared" si="161"/>
        <v>0.22694136291600633</v>
      </c>
      <c r="D141" s="59">
        <f t="shared" si="161"/>
        <v>0.21765777704157693</v>
      </c>
      <c r="E141" s="59">
        <f t="shared" si="161"/>
        <v>0.19203747072599531</v>
      </c>
      <c r="F141" s="78">
        <f t="shared" si="161"/>
        <v>0.21256059556786702</v>
      </c>
      <c r="G141" s="59">
        <f t="shared" si="161"/>
        <v>0.17451205510907003</v>
      </c>
      <c r="H141" s="59">
        <f t="shared" si="161"/>
        <v>0.20491043854231006</v>
      </c>
      <c r="I141" s="59">
        <f t="shared" si="161"/>
        <v>0.20018593120545397</v>
      </c>
      <c r="J141" s="59">
        <f t="shared" si="161"/>
        <v>0.17633175994605529</v>
      </c>
      <c r="K141" s="78">
        <f t="shared" si="161"/>
        <v>0.19001162404516772</v>
      </c>
      <c r="L141" s="59">
        <f t="shared" si="161"/>
        <v>0.15861051941668033</v>
      </c>
      <c r="M141" s="59">
        <f t="shared" si="161"/>
        <v>0.16979180137074873</v>
      </c>
      <c r="N141" s="59">
        <f t="shared" si="161"/>
        <v>0.14746423927178154</v>
      </c>
      <c r="O141" s="59">
        <f t="shared" si="161"/>
        <v>0.13422452598554085</v>
      </c>
      <c r="P141" s="78">
        <f t="shared" si="161"/>
        <v>0.15410472329070937</v>
      </c>
      <c r="Q141" s="59">
        <f t="shared" si="161"/>
        <v>0.15218864344762162</v>
      </c>
      <c r="R141" s="59">
        <f t="shared" si="161"/>
        <v>0.15962856511165155</v>
      </c>
      <c r="S141" s="59">
        <f t="shared" si="161"/>
        <v>0.14881448826402954</v>
      </c>
      <c r="T141" s="59">
        <f t="shared" si="161"/>
        <v>0.13598091495930395</v>
      </c>
      <c r="U141" s="78">
        <f t="shared" si="161"/>
        <v>0.14979338842975207</v>
      </c>
      <c r="V141" s="59">
        <f t="shared" si="161"/>
        <v>0.13669967917422235</v>
      </c>
      <c r="W141" s="59">
        <f t="shared" si="161"/>
        <v>0.14648602878916173</v>
      </c>
      <c r="X141" s="59">
        <f t="shared" si="161"/>
        <v>0.14134758826454499</v>
      </c>
      <c r="Y141" s="59">
        <f t="shared" si="161"/>
        <v>0.13049267643142476</v>
      </c>
      <c r="Z141" s="27">
        <f t="shared" si="161"/>
        <v>0.13901258470474345</v>
      </c>
      <c r="AA141" s="59">
        <f t="shared" si="161"/>
        <v>0.13740863787375415</v>
      </c>
      <c r="AB141" s="59">
        <f t="shared" si="161"/>
        <v>0.145146414572285</v>
      </c>
      <c r="AC141" s="59">
        <f t="shared" si="161"/>
        <v>0.13137906479943035</v>
      </c>
      <c r="AD141" s="59">
        <f t="shared" si="161"/>
        <v>9.7579569277682479E-2</v>
      </c>
      <c r="AE141" s="78">
        <f t="shared" si="161"/>
        <v>0.12597169623280846</v>
      </c>
      <c r="AF141" s="59">
        <f t="shared" si="161"/>
        <v>0.10165955429113324</v>
      </c>
      <c r="AG141" s="59">
        <f t="shared" si="161"/>
        <v>0.11352751825390595</v>
      </c>
      <c r="AH141" s="59">
        <f t="shared" ref="AH141:BM141" si="162">AH62/AH7</f>
        <v>9.8586947643551415E-2</v>
      </c>
      <c r="AI141" s="59">
        <f t="shared" si="162"/>
        <v>9.5289855072463764E-2</v>
      </c>
      <c r="AJ141" s="78">
        <f t="shared" si="162"/>
        <v>0.10258778052185118</v>
      </c>
      <c r="AK141" s="59">
        <f t="shared" si="162"/>
        <v>9.4639489988327191E-2</v>
      </c>
      <c r="AL141" s="59">
        <f t="shared" si="162"/>
        <v>0.10042800366860287</v>
      </c>
      <c r="AM141" s="59">
        <f t="shared" si="162"/>
        <v>9.1056383668178878E-2</v>
      </c>
      <c r="AN141" s="59">
        <f t="shared" si="162"/>
        <v>8.6337843736359665E-2</v>
      </c>
      <c r="AO141" s="78">
        <f t="shared" si="162"/>
        <v>9.331528529779258E-2</v>
      </c>
      <c r="AP141" s="59">
        <f t="shared" si="162"/>
        <v>9.2433167195287727E-2</v>
      </c>
      <c r="AQ141" s="59">
        <f t="shared" ca="1" si="162"/>
        <v>0.10141971919366224</v>
      </c>
      <c r="AR141" s="59">
        <f t="shared" ca="1" si="162"/>
        <v>0.10241064006650041</v>
      </c>
      <c r="AS141" s="59">
        <f t="shared" si="162"/>
        <v>9.9637681159420288E-2</v>
      </c>
      <c r="AT141" s="78">
        <f t="shared" ca="1" si="162"/>
        <v>9.9137747044009045E-2</v>
      </c>
      <c r="AU141" s="59">
        <f t="shared" si="162"/>
        <v>0.10722390317700455</v>
      </c>
      <c r="AV141" s="59">
        <f t="shared" si="162"/>
        <v>0.11014792428821378</v>
      </c>
      <c r="AW141" s="59">
        <f t="shared" si="162"/>
        <v>0.10370741482965933</v>
      </c>
      <c r="AX141" s="59">
        <f t="shared" si="162"/>
        <v>9.9613686534216331E-2</v>
      </c>
      <c r="AY141" s="78">
        <f t="shared" si="162"/>
        <v>0.10530892647506414</v>
      </c>
      <c r="AZ141" s="59">
        <f t="shared" si="162"/>
        <v>9.9710577910559234E-2</v>
      </c>
      <c r="BA141" s="59">
        <f t="shared" si="162"/>
        <v>0.10562685093780849</v>
      </c>
      <c r="BB141" s="59">
        <f t="shared" si="162"/>
        <v>0.10291415069572066</v>
      </c>
      <c r="BC141" s="59">
        <f t="shared" si="162"/>
        <v>0.10150000000000001</v>
      </c>
      <c r="BD141" s="78">
        <f t="shared" si="162"/>
        <v>0.10256468144669707</v>
      </c>
      <c r="BE141" s="59">
        <f t="shared" si="162"/>
        <v>0.10349501403814503</v>
      </c>
      <c r="BF141" s="59">
        <f t="shared" si="162"/>
        <v>0.11263450190905935</v>
      </c>
      <c r="BG141" s="59">
        <f t="shared" si="162"/>
        <v>0.12511891888452442</v>
      </c>
      <c r="BH141" s="59">
        <f t="shared" si="162"/>
        <v>0.12399549557018419</v>
      </c>
      <c r="BI141" s="78">
        <f t="shared" si="162"/>
        <v>0.11609335793561984</v>
      </c>
      <c r="BJ141" s="59">
        <f t="shared" si="162"/>
        <v>0.12829392339701123</v>
      </c>
      <c r="BK141" s="59">
        <f t="shared" si="162"/>
        <v>0.14112953439729325</v>
      </c>
      <c r="BL141" s="59">
        <f t="shared" si="162"/>
        <v>0.1471139751318363</v>
      </c>
      <c r="BM141" s="59">
        <f t="shared" si="162"/>
        <v>0.16013666455699627</v>
      </c>
      <c r="BN141" s="78">
        <f t="shared" ref="BN141:CM141" si="163">BN62/BN7</f>
        <v>0.14337096490454818</v>
      </c>
      <c r="BO141" s="59">
        <f t="shared" si="163"/>
        <v>0.15968696800641491</v>
      </c>
      <c r="BP141" s="59">
        <f t="shared" si="163"/>
        <v>0.16267085447829813</v>
      </c>
      <c r="BQ141" s="59">
        <f t="shared" si="163"/>
        <v>0.16349640449990052</v>
      </c>
      <c r="BR141" s="59">
        <f t="shared" si="163"/>
        <v>0.16652745190701035</v>
      </c>
      <c r="BS141" s="78">
        <f t="shared" si="163"/>
        <v>0.16305693642104743</v>
      </c>
      <c r="BT141" s="59">
        <f t="shared" si="163"/>
        <v>0.15719051047883556</v>
      </c>
      <c r="BU141" s="59">
        <f t="shared" si="163"/>
        <v>0.1602634690096586</v>
      </c>
      <c r="BV141" s="59">
        <f t="shared" si="163"/>
        <v>0.16091802186730114</v>
      </c>
      <c r="BW141" s="59">
        <f t="shared" si="163"/>
        <v>0.16356026798573181</v>
      </c>
      <c r="BX141" s="78">
        <f t="shared" si="163"/>
        <v>0.16046058027556745</v>
      </c>
      <c r="BY141" s="59">
        <f t="shared" si="163"/>
        <v>0.15484210320242178</v>
      </c>
      <c r="BZ141" s="59">
        <f t="shared" si="163"/>
        <v>0.15792420461087986</v>
      </c>
      <c r="CA141" s="59">
        <f t="shared" si="163"/>
        <v>0.1584187195987051</v>
      </c>
      <c r="CB141" s="59">
        <f t="shared" si="163"/>
        <v>0.1606992979054177</v>
      </c>
      <c r="CC141" s="78">
        <f t="shared" si="163"/>
        <v>0.15795947949527805</v>
      </c>
      <c r="CD141" s="59">
        <f t="shared" si="163"/>
        <v>0.15322560519554024</v>
      </c>
      <c r="CE141" s="59">
        <f t="shared" si="163"/>
        <v>0.15628743713381463</v>
      </c>
      <c r="CF141" s="59">
        <f t="shared" si="163"/>
        <v>0.15661242372350537</v>
      </c>
      <c r="CG141" s="59">
        <f t="shared" si="163"/>
        <v>0.15852779128882449</v>
      </c>
      <c r="CH141" s="78">
        <f t="shared" si="163"/>
        <v>0.15616226364923719</v>
      </c>
      <c r="CI141" s="59">
        <f t="shared" si="163"/>
        <v>0.15188931655648066</v>
      </c>
      <c r="CJ141" s="59">
        <f t="shared" si="163"/>
        <v>0.15491647331581468</v>
      </c>
      <c r="CK141" s="59">
        <f t="shared" si="163"/>
        <v>0.15510739436991455</v>
      </c>
      <c r="CL141" s="59">
        <f t="shared" si="163"/>
        <v>0.15674359235783489</v>
      </c>
      <c r="CM141" s="78">
        <f t="shared" si="163"/>
        <v>0.15467074737247419</v>
      </c>
    </row>
    <row r="142" spans="1:91" hidden="1" outlineLevel="1" x14ac:dyDescent="0.2">
      <c r="A142" s="47" t="s">
        <v>14</v>
      </c>
      <c r="B142" s="59">
        <f t="shared" ref="B142:AG142" si="164">B74/B7</f>
        <v>9.5082597003457545E-2</v>
      </c>
      <c r="C142" s="59">
        <f t="shared" si="164"/>
        <v>8.3201267828843101E-2</v>
      </c>
      <c r="D142" s="59">
        <f t="shared" si="164"/>
        <v>9.0607917839986743E-2</v>
      </c>
      <c r="E142" s="59">
        <f t="shared" si="164"/>
        <v>0.10646730318861466</v>
      </c>
      <c r="F142" s="78">
        <f t="shared" si="164"/>
        <v>9.3403739612188369E-2</v>
      </c>
      <c r="G142" s="59">
        <f t="shared" si="164"/>
        <v>0.11538461538461539</v>
      </c>
      <c r="H142" s="59">
        <f t="shared" si="164"/>
        <v>9.604694255713403E-2</v>
      </c>
      <c r="I142" s="59">
        <f t="shared" si="164"/>
        <v>0.1013325069724202</v>
      </c>
      <c r="J142" s="59">
        <f t="shared" si="164"/>
        <v>0.12424140256237357</v>
      </c>
      <c r="K142" s="78">
        <f t="shared" si="164"/>
        <v>0.1086017934241116</v>
      </c>
      <c r="L142" s="59">
        <f t="shared" si="164"/>
        <v>0.11158446665574308</v>
      </c>
      <c r="M142" s="59">
        <f t="shared" si="164"/>
        <v>9.7892150523729474E-2</v>
      </c>
      <c r="N142" s="59">
        <f t="shared" si="164"/>
        <v>0.10286085825747725</v>
      </c>
      <c r="O142" s="59">
        <f t="shared" si="164"/>
        <v>0.11458191242668121</v>
      </c>
      <c r="P142" s="78">
        <f t="shared" si="164"/>
        <v>0.106352011643622</v>
      </c>
      <c r="Q142" s="59">
        <f t="shared" si="164"/>
        <v>0.11437864209242445</v>
      </c>
      <c r="R142" s="59">
        <f t="shared" si="164"/>
        <v>9.9159849657307092E-2</v>
      </c>
      <c r="S142" s="59">
        <f t="shared" si="164"/>
        <v>0.11783629214821875</v>
      </c>
      <c r="T142" s="59">
        <f t="shared" si="164"/>
        <v>0.12531574515857424</v>
      </c>
      <c r="U142" s="78">
        <f t="shared" si="164"/>
        <v>0.11341723015276735</v>
      </c>
      <c r="V142" s="59">
        <f t="shared" si="164"/>
        <v>0.11549727995536337</v>
      </c>
      <c r="W142" s="59">
        <f t="shared" si="164"/>
        <v>0.10414902624894158</v>
      </c>
      <c r="X142" s="59">
        <f t="shared" si="164"/>
        <v>0.11934361014420686</v>
      </c>
      <c r="Y142" s="59">
        <f t="shared" si="164"/>
        <v>0.13994673768308921</v>
      </c>
      <c r="Z142" s="27">
        <f t="shared" si="164"/>
        <v>0.11939335269441756</v>
      </c>
      <c r="AA142" s="59">
        <f t="shared" si="164"/>
        <v>0.12372093023255815</v>
      </c>
      <c r="AB142" s="59">
        <f t="shared" si="164"/>
        <v>0.10906156329259857</v>
      </c>
      <c r="AC142" s="59">
        <f t="shared" si="164"/>
        <v>0.11725611203417992</v>
      </c>
      <c r="AD142" s="59">
        <f t="shared" si="164"/>
        <v>9.6721936344577861E-2</v>
      </c>
      <c r="AE142" s="78">
        <f t="shared" si="164"/>
        <v>0.11048150573763491</v>
      </c>
      <c r="AF142" s="59">
        <f t="shared" si="164"/>
        <v>0.10260787102892366</v>
      </c>
      <c r="AG142" s="59">
        <f t="shared" si="164"/>
        <v>8.353615451048127E-2</v>
      </c>
      <c r="AH142" s="59">
        <f t="shared" ref="AH142:BM142" si="165">AH74/AH7</f>
        <v>9.4911377930245858E-2</v>
      </c>
      <c r="AI142" s="59">
        <f t="shared" si="165"/>
        <v>9.9184782608695649E-2</v>
      </c>
      <c r="AJ142" s="78">
        <f t="shared" si="165"/>
        <v>9.455599699345002E-2</v>
      </c>
      <c r="AK142" s="59">
        <f t="shared" si="165"/>
        <v>0.10119421747328725</v>
      </c>
      <c r="AL142" s="59">
        <f t="shared" si="165"/>
        <v>8.2772852338734326E-2</v>
      </c>
      <c r="AM142" s="59">
        <f t="shared" si="165"/>
        <v>9.4863901490602726E-2</v>
      </c>
      <c r="AN142" s="59">
        <f t="shared" si="165"/>
        <v>0.10292448712352685</v>
      </c>
      <c r="AO142" s="78">
        <f t="shared" si="165"/>
        <v>9.4960433152852977E-2</v>
      </c>
      <c r="AP142" s="59">
        <f t="shared" si="165"/>
        <v>0.104848210240145</v>
      </c>
      <c r="AQ142" s="59">
        <f t="shared" ca="1" si="165"/>
        <v>8.9340340418856384E-2</v>
      </c>
      <c r="AR142" s="59">
        <f t="shared" ca="1" si="165"/>
        <v>0.10041562759767249</v>
      </c>
      <c r="AS142" s="59">
        <f t="shared" si="165"/>
        <v>0.11268115942028986</v>
      </c>
      <c r="AT142" s="78">
        <f t="shared" ca="1" si="165"/>
        <v>0.10133606522388697</v>
      </c>
      <c r="AU142" s="59">
        <f t="shared" si="165"/>
        <v>0.10344175491679274</v>
      </c>
      <c r="AV142" s="59">
        <f t="shared" si="165"/>
        <v>8.7879751868935901E-2</v>
      </c>
      <c r="AW142" s="59">
        <f t="shared" si="165"/>
        <v>9.6943887775551102E-2</v>
      </c>
      <c r="AX142" s="59">
        <f t="shared" si="165"/>
        <v>0.1137785136129507</v>
      </c>
      <c r="AY142" s="78">
        <f t="shared" si="165"/>
        <v>9.9939127788164703E-2</v>
      </c>
      <c r="AZ142" s="59">
        <f t="shared" si="165"/>
        <v>9.7749976659508922E-2</v>
      </c>
      <c r="BA142" s="59">
        <f t="shared" si="165"/>
        <v>7.8562026982560054E-2</v>
      </c>
      <c r="BB142" s="59">
        <f t="shared" si="165"/>
        <v>8.6899448674192706E-2</v>
      </c>
      <c r="BC142" s="59">
        <f t="shared" si="165"/>
        <v>0.1004</v>
      </c>
      <c r="BD142" s="78">
        <f t="shared" si="165"/>
        <v>9.0283108321668845E-2</v>
      </c>
      <c r="BE142" s="59">
        <f t="shared" si="165"/>
        <v>8.8779165456481748E-2</v>
      </c>
      <c r="BF142" s="59">
        <f t="shared" si="165"/>
        <v>7.9920166608816387E-2</v>
      </c>
      <c r="BG142" s="59">
        <f t="shared" si="165"/>
        <v>8.9309241483154528E-2</v>
      </c>
      <c r="BH142" s="59">
        <f t="shared" si="165"/>
        <v>0.10229333333333333</v>
      </c>
      <c r="BI142" s="78">
        <f t="shared" si="165"/>
        <v>8.9501600802790654E-2</v>
      </c>
      <c r="BJ142" s="59">
        <f t="shared" si="165"/>
        <v>0.10013160780872998</v>
      </c>
      <c r="BK142" s="59">
        <f t="shared" si="165"/>
        <v>9.6371882086167801E-2</v>
      </c>
      <c r="BL142" s="59">
        <f t="shared" si="165"/>
        <v>0.11114782991848425</v>
      </c>
      <c r="BM142" s="59">
        <f t="shared" si="165"/>
        <v>0.14712182061579651</v>
      </c>
      <c r="BN142" s="78">
        <f t="shared" ref="BN142:CM142" si="166">BN74/BN7</f>
        <v>0.11185252205383397</v>
      </c>
      <c r="BO142" s="59">
        <f t="shared" si="166"/>
        <v>0.1284102833158447</v>
      </c>
      <c r="BP142" s="59">
        <f t="shared" si="166"/>
        <v>0.1178149410937345</v>
      </c>
      <c r="BQ142" s="59">
        <f t="shared" si="166"/>
        <v>0.13208866777276074</v>
      </c>
      <c r="BR142" s="59">
        <f t="shared" si="166"/>
        <v>0.16536235941488428</v>
      </c>
      <c r="BS142" s="78">
        <f t="shared" si="166"/>
        <v>0.13493257048950902</v>
      </c>
      <c r="BT142" s="59">
        <f t="shared" si="166"/>
        <v>0.13418385217316109</v>
      </c>
      <c r="BU142" s="59">
        <f t="shared" si="166"/>
        <v>0.12399820986379695</v>
      </c>
      <c r="BV142" s="59">
        <f t="shared" si="166"/>
        <v>0.13888402445172937</v>
      </c>
      <c r="BW142" s="59">
        <f t="shared" si="166"/>
        <v>0.1735077550539047</v>
      </c>
      <c r="BX142" s="78">
        <f t="shared" si="166"/>
        <v>0.14165380476431713</v>
      </c>
      <c r="BY142" s="59">
        <f t="shared" si="166"/>
        <v>0.14056125477278467</v>
      </c>
      <c r="BZ142" s="59">
        <f t="shared" si="166"/>
        <v>0.12993681197924173</v>
      </c>
      <c r="CA142" s="59">
        <f t="shared" si="166"/>
        <v>0.14539743288003842</v>
      </c>
      <c r="CB142" s="59">
        <f t="shared" si="166"/>
        <v>0.18128325441903401</v>
      </c>
      <c r="CC142" s="78">
        <f t="shared" si="166"/>
        <v>0.14828875266394134</v>
      </c>
      <c r="CD142" s="59">
        <f t="shared" si="166"/>
        <v>0.14723592255104073</v>
      </c>
      <c r="CE142" s="59">
        <f t="shared" si="166"/>
        <v>0.13611733924229114</v>
      </c>
      <c r="CF142" s="59">
        <f t="shared" si="166"/>
        <v>0.1521536319066796</v>
      </c>
      <c r="CG142" s="59">
        <f t="shared" si="166"/>
        <v>0.18930190802130373</v>
      </c>
      <c r="CH142" s="78">
        <f t="shared" si="166"/>
        <v>0.15518312263207218</v>
      </c>
      <c r="CI142" s="59">
        <f t="shared" si="166"/>
        <v>0.15235951333662137</v>
      </c>
      <c r="CJ142" s="59">
        <f t="shared" si="166"/>
        <v>0.14084677120824099</v>
      </c>
      <c r="CK142" s="59">
        <f t="shared" si="166"/>
        <v>0.15730717332862437</v>
      </c>
      <c r="CL142" s="59">
        <f t="shared" si="166"/>
        <v>0.19538863138421594</v>
      </c>
      <c r="CM142" s="78">
        <f t="shared" si="166"/>
        <v>0.1604488051422116</v>
      </c>
    </row>
    <row r="143" spans="1:91" hidden="1" outlineLevel="1" x14ac:dyDescent="0.2">
      <c r="A143" s="47" t="s">
        <v>13</v>
      </c>
      <c r="B143" s="59">
        <f t="shared" ref="B143:AG143" si="167">B85/B7</f>
        <v>0.29350749135612753</v>
      </c>
      <c r="C143" s="59">
        <f t="shared" si="167"/>
        <v>0.28129952456418383</v>
      </c>
      <c r="D143" s="59">
        <f t="shared" si="167"/>
        <v>0.28905085307271822</v>
      </c>
      <c r="E143" s="59">
        <f t="shared" si="167"/>
        <v>0.29328049000180145</v>
      </c>
      <c r="F143" s="78">
        <f t="shared" si="167"/>
        <v>0.28895429362880887</v>
      </c>
      <c r="G143" s="59">
        <f t="shared" si="167"/>
        <v>0.31477229238423271</v>
      </c>
      <c r="H143" s="59">
        <f t="shared" si="167"/>
        <v>0.29478072884496603</v>
      </c>
      <c r="I143" s="59">
        <f t="shared" si="167"/>
        <v>0.28029129222187793</v>
      </c>
      <c r="J143" s="59">
        <f t="shared" si="167"/>
        <v>0.28084962913014161</v>
      </c>
      <c r="K143" s="78">
        <f t="shared" si="167"/>
        <v>0.29180504815675856</v>
      </c>
      <c r="L143" s="59">
        <f t="shared" si="167"/>
        <v>0.27281664755038504</v>
      </c>
      <c r="M143" s="59">
        <f t="shared" si="167"/>
        <v>0.26664942454416141</v>
      </c>
      <c r="N143" s="59">
        <f t="shared" si="167"/>
        <v>0.28088426527958388</v>
      </c>
      <c r="O143" s="59">
        <f t="shared" si="167"/>
        <v>0.25562679034238167</v>
      </c>
      <c r="P143" s="78">
        <f t="shared" si="167"/>
        <v>0.26894687597463351</v>
      </c>
      <c r="Q143" s="59">
        <f t="shared" si="167"/>
        <v>0.25531914893617019</v>
      </c>
      <c r="R143" s="59">
        <f t="shared" si="167"/>
        <v>0.24762325889896086</v>
      </c>
      <c r="S143" s="59">
        <f t="shared" si="167"/>
        <v>0.2543786488740617</v>
      </c>
      <c r="T143" s="59">
        <f t="shared" si="167"/>
        <v>0.2730844793713163</v>
      </c>
      <c r="U143" s="78">
        <f t="shared" si="167"/>
        <v>0.25685574755822688</v>
      </c>
      <c r="V143" s="59">
        <f t="shared" si="167"/>
        <v>0.28511647370623516</v>
      </c>
      <c r="W143" s="59">
        <f t="shared" si="167"/>
        <v>0.26285230434256684</v>
      </c>
      <c r="X143" s="59">
        <f t="shared" si="167"/>
        <v>0.2625559423172551</v>
      </c>
      <c r="Y143" s="59">
        <f t="shared" si="167"/>
        <v>0.24793608521970706</v>
      </c>
      <c r="Z143" s="27">
        <f t="shared" si="167"/>
        <v>0.26431106808647953</v>
      </c>
      <c r="AA143" s="59">
        <f t="shared" si="167"/>
        <v>0.25475083056478404</v>
      </c>
      <c r="AB143" s="59">
        <f t="shared" si="167"/>
        <v>0.26054876642840674</v>
      </c>
      <c r="AC143" s="59">
        <f t="shared" si="167"/>
        <v>0.25623071445525752</v>
      </c>
      <c r="AD143" s="59">
        <f t="shared" si="167"/>
        <v>0.45778540118162758</v>
      </c>
      <c r="AE143" s="78">
        <f t="shared" si="167"/>
        <v>0.31720720977248784</v>
      </c>
      <c r="AF143" s="59">
        <f t="shared" si="167"/>
        <v>0.44419155998103366</v>
      </c>
      <c r="AG143" s="59">
        <f t="shared" si="167"/>
        <v>0.4314987830729371</v>
      </c>
      <c r="AH143" s="59">
        <f t="shared" ref="AH143:BM143" si="168">AH85/AH7</f>
        <v>0.440006534346157</v>
      </c>
      <c r="AI143" s="59">
        <f t="shared" si="168"/>
        <v>0.45217391304347826</v>
      </c>
      <c r="AJ143" s="78">
        <f t="shared" si="168"/>
        <v>0.44151186513475787</v>
      </c>
      <c r="AK143" s="59">
        <f t="shared" si="168"/>
        <v>0.44150130196641824</v>
      </c>
      <c r="AL143" s="59">
        <f t="shared" si="168"/>
        <v>0.44244879241822072</v>
      </c>
      <c r="AM143" s="59">
        <f t="shared" si="168"/>
        <v>0.45925145819831498</v>
      </c>
      <c r="AN143" s="59">
        <f t="shared" si="168"/>
        <v>0.46180707114797032</v>
      </c>
      <c r="AO143" s="78">
        <f t="shared" si="168"/>
        <v>0.45116618075801751</v>
      </c>
      <c r="AP143" s="59">
        <f t="shared" si="168"/>
        <v>0.44250113275940189</v>
      </c>
      <c r="AQ143" s="59">
        <f t="shared" ca="1" si="168"/>
        <v>0.44772138991293436</v>
      </c>
      <c r="AR143" s="59">
        <f t="shared" ca="1" si="168"/>
        <v>0.47506234413965087</v>
      </c>
      <c r="AS143" s="59">
        <f t="shared" si="168"/>
        <v>0.47717391304347828</v>
      </c>
      <c r="AT143" s="78">
        <f t="shared" ca="1" si="168"/>
        <v>0.46045161565714776</v>
      </c>
      <c r="AU143" s="59">
        <f t="shared" si="168"/>
        <v>0.45291225416036307</v>
      </c>
      <c r="AV143" s="59">
        <f t="shared" si="168"/>
        <v>0.45411165897884526</v>
      </c>
      <c r="AW143" s="59">
        <f t="shared" si="168"/>
        <v>0.46726786907147627</v>
      </c>
      <c r="AX143" s="59">
        <f t="shared" si="168"/>
        <v>0.49356144223693893</v>
      </c>
      <c r="AY143" s="78">
        <f t="shared" si="168"/>
        <v>0.46658550371755292</v>
      </c>
      <c r="AZ143" s="59">
        <f t="shared" si="168"/>
        <v>0.47586593221921392</v>
      </c>
      <c r="BA143" s="59">
        <f t="shared" si="168"/>
        <v>0.48626192826587694</v>
      </c>
      <c r="BB143" s="59">
        <f t="shared" si="168"/>
        <v>0.49313030541699482</v>
      </c>
      <c r="BC143" s="59">
        <f t="shared" si="168"/>
        <v>0.5141</v>
      </c>
      <c r="BD143" s="78">
        <f t="shared" si="168"/>
        <v>0.49180475910958593</v>
      </c>
      <c r="BE143" s="59">
        <f t="shared" si="168"/>
        <v>0.48539748075814915</v>
      </c>
      <c r="BF143" s="59">
        <f t="shared" si="168"/>
        <v>0.49260035354049053</v>
      </c>
      <c r="BG143" s="59">
        <f t="shared" si="168"/>
        <v>0.48448435089441338</v>
      </c>
      <c r="BH143" s="59">
        <f t="shared" si="168"/>
        <v>0.49338370500740564</v>
      </c>
      <c r="BI143" s="78">
        <f t="shared" si="168"/>
        <v>0.4889377359392173</v>
      </c>
      <c r="BJ143" s="59">
        <f t="shared" si="168"/>
        <v>0.40766301400144522</v>
      </c>
      <c r="BK143" s="59">
        <f t="shared" si="168"/>
        <v>0.43671780769240481</v>
      </c>
      <c r="BL143" s="59">
        <f t="shared" si="168"/>
        <v>0.42327594645567673</v>
      </c>
      <c r="BM143" s="59">
        <f t="shared" si="168"/>
        <v>0.46216779466914054</v>
      </c>
      <c r="BN143" s="78">
        <f t="shared" ref="BN143:CM143" si="169">BN85/BN7</f>
        <v>0.43115245419588333</v>
      </c>
      <c r="BO143" s="59">
        <f t="shared" si="169"/>
        <v>0.3478928132135512</v>
      </c>
      <c r="BP143" s="59">
        <f t="shared" si="169"/>
        <v>0.34607770603022331</v>
      </c>
      <c r="BQ143" s="59">
        <f t="shared" si="169"/>
        <v>0.33036964627100862</v>
      </c>
      <c r="BR143" s="59">
        <f t="shared" si="169"/>
        <v>0.33635421082637801</v>
      </c>
      <c r="BS143" s="78">
        <f t="shared" si="169"/>
        <v>0.34020770214547041</v>
      </c>
      <c r="BT143" s="59">
        <f t="shared" si="169"/>
        <v>0.34218108229969235</v>
      </c>
      <c r="BU143" s="59">
        <f t="shared" si="169"/>
        <v>0.33929286029186201</v>
      </c>
      <c r="BV143" s="59">
        <f t="shared" si="169"/>
        <v>0.32357348284264237</v>
      </c>
      <c r="BW143" s="59">
        <f t="shared" si="169"/>
        <v>0.32874953862917339</v>
      </c>
      <c r="BX143" s="78">
        <f t="shared" si="169"/>
        <v>0.33347540021770306</v>
      </c>
      <c r="BY143" s="59">
        <f t="shared" si="169"/>
        <v>0.33542469945901981</v>
      </c>
      <c r="BZ143" s="59">
        <f t="shared" si="169"/>
        <v>0.33270948834265213</v>
      </c>
      <c r="CA143" s="59">
        <f t="shared" si="169"/>
        <v>0.31699400106454534</v>
      </c>
      <c r="CB143" s="59">
        <f t="shared" si="169"/>
        <v>0.32142349882786408</v>
      </c>
      <c r="CC143" s="78">
        <f t="shared" si="169"/>
        <v>0.3266761618546386</v>
      </c>
      <c r="CD143" s="59">
        <f t="shared" si="169"/>
        <v>0.33030384510424732</v>
      </c>
      <c r="CE143" s="59">
        <f t="shared" si="169"/>
        <v>0.32765504858593253</v>
      </c>
      <c r="CF143" s="59">
        <f t="shared" si="169"/>
        <v>0.31185094309655798</v>
      </c>
      <c r="CG143" s="59">
        <f t="shared" si="169"/>
        <v>0.3155334166492173</v>
      </c>
      <c r="CH143" s="78">
        <f t="shared" si="169"/>
        <v>0.32138392651224978</v>
      </c>
      <c r="CI143" s="59">
        <f t="shared" si="169"/>
        <v>0.32582606115793655</v>
      </c>
      <c r="CJ143" s="59">
        <f t="shared" si="169"/>
        <v>0.32319653989126579</v>
      </c>
      <c r="CK143" s="59">
        <f t="shared" si="169"/>
        <v>0.30734748216475599</v>
      </c>
      <c r="CL143" s="59">
        <f t="shared" si="169"/>
        <v>0.31046028631504452</v>
      </c>
      <c r="CM143" s="78">
        <f t="shared" si="169"/>
        <v>0.31676161401800157</v>
      </c>
    </row>
    <row r="144" spans="1:91" hidden="1" outlineLevel="1" x14ac:dyDescent="0.2">
      <c r="A144" s="47" t="s">
        <v>184</v>
      </c>
      <c r="B144" s="59">
        <f t="shared" ref="B144:AG144" si="170">B107/B7</f>
        <v>0.18574721475220898</v>
      </c>
      <c r="C144" s="59">
        <f t="shared" si="170"/>
        <v>0.18526148969889064</v>
      </c>
      <c r="D144" s="59">
        <f t="shared" si="170"/>
        <v>0.18568825575617029</v>
      </c>
      <c r="E144" s="59">
        <f t="shared" si="170"/>
        <v>0.18303008466942894</v>
      </c>
      <c r="F144" s="78">
        <f t="shared" si="170"/>
        <v>0.18494632963988919</v>
      </c>
      <c r="G144" s="59">
        <f t="shared" si="170"/>
        <v>0.16953693073096057</v>
      </c>
      <c r="H144" s="59">
        <f t="shared" si="170"/>
        <v>0.16661519456454602</v>
      </c>
      <c r="I144" s="59">
        <f t="shared" si="170"/>
        <v>0.175704989154013</v>
      </c>
      <c r="J144" s="59">
        <f t="shared" si="170"/>
        <v>0.17178017532029669</v>
      </c>
      <c r="K144" s="78">
        <f t="shared" si="170"/>
        <v>0.17095649285951511</v>
      </c>
      <c r="L144" s="59">
        <f t="shared" si="170"/>
        <v>0.14845158118957891</v>
      </c>
      <c r="M144" s="59">
        <f t="shared" si="170"/>
        <v>0.13539376697271435</v>
      </c>
      <c r="N144" s="59">
        <f t="shared" si="170"/>
        <v>0.14473342002600781</v>
      </c>
      <c r="O144" s="59">
        <f t="shared" si="170"/>
        <v>0.13354249079252489</v>
      </c>
      <c r="P144" s="78">
        <f t="shared" si="170"/>
        <v>0.13851058668607269</v>
      </c>
      <c r="Q144" s="59">
        <f t="shared" si="170"/>
        <v>0.12372950264263451</v>
      </c>
      <c r="R144" s="59">
        <f t="shared" si="170"/>
        <v>0.13564006190581473</v>
      </c>
      <c r="S144" s="59">
        <f t="shared" si="170"/>
        <v>0.14202311450017871</v>
      </c>
      <c r="T144" s="59">
        <f t="shared" si="170"/>
        <v>0.14397979230985125</v>
      </c>
      <c r="U144" s="78">
        <f t="shared" si="170"/>
        <v>0.13642624593037816</v>
      </c>
      <c r="V144" s="59">
        <f t="shared" si="170"/>
        <v>0.14590598409820058</v>
      </c>
      <c r="W144" s="59">
        <f t="shared" si="170"/>
        <v>0.14938913753477681</v>
      </c>
      <c r="X144" s="59">
        <f t="shared" si="170"/>
        <v>0.14694181999005471</v>
      </c>
      <c r="Y144" s="59">
        <f t="shared" si="170"/>
        <v>0.14247669773635152</v>
      </c>
      <c r="Z144" s="27">
        <f t="shared" si="170"/>
        <v>0.14627299128751209</v>
      </c>
      <c r="AA144" s="59">
        <f t="shared" si="170"/>
        <v>0.14910299003322258</v>
      </c>
      <c r="AB144" s="59">
        <f t="shared" si="170"/>
        <v>0.14699100760894629</v>
      </c>
      <c r="AC144" s="59">
        <f t="shared" si="170"/>
        <v>0.17089959648706385</v>
      </c>
      <c r="AD144" s="59">
        <f t="shared" si="170"/>
        <v>0.11435105774728416</v>
      </c>
      <c r="AE144" s="78">
        <f t="shared" si="170"/>
        <v>0.14342663515475954</v>
      </c>
      <c r="AF144" s="59">
        <f t="shared" si="170"/>
        <v>0.11085822664770033</v>
      </c>
      <c r="AG144" s="59">
        <f t="shared" si="170"/>
        <v>0.12145717201852869</v>
      </c>
      <c r="AH144" s="59">
        <f t="shared" ref="AH144:BM144" si="171">AH107/AH7</f>
        <v>0.1265212774646737</v>
      </c>
      <c r="AI144" s="59">
        <f t="shared" si="171"/>
        <v>0.11666666666666667</v>
      </c>
      <c r="AJ144" s="78">
        <f t="shared" si="171"/>
        <v>0.11925265757543219</v>
      </c>
      <c r="AK144" s="59">
        <f t="shared" si="171"/>
        <v>0.11762593157941995</v>
      </c>
      <c r="AL144" s="59">
        <f t="shared" si="171"/>
        <v>0.1255732191990217</v>
      </c>
      <c r="AM144" s="59">
        <f t="shared" si="171"/>
        <v>0.11908619572261828</v>
      </c>
      <c r="AN144" s="59">
        <f t="shared" si="171"/>
        <v>0.10973374072457442</v>
      </c>
      <c r="AO144" s="78">
        <f t="shared" si="171"/>
        <v>0.11828404831320283</v>
      </c>
      <c r="AP144" s="59">
        <f t="shared" si="171"/>
        <v>0.11273221567739013</v>
      </c>
      <c r="AQ144" s="59">
        <f t="shared" ca="1" si="171"/>
        <v>0.12338222605694564</v>
      </c>
      <c r="AR144" s="59">
        <f t="shared" ca="1" si="171"/>
        <v>0.11371571072319202</v>
      </c>
      <c r="AS144" s="59">
        <f t="shared" si="171"/>
        <v>0.10751811594202898</v>
      </c>
      <c r="AT144" s="78">
        <f t="shared" ca="1" si="171"/>
        <v>0.11465403167285611</v>
      </c>
      <c r="AU144" s="59">
        <f t="shared" si="171"/>
        <v>0.11440998487140695</v>
      </c>
      <c r="AV144" s="59">
        <f t="shared" si="171"/>
        <v>0.12327024017814538</v>
      </c>
      <c r="AW144" s="59">
        <f t="shared" si="171"/>
        <v>0.11865397461589847</v>
      </c>
      <c r="AX144" s="59">
        <f t="shared" si="171"/>
        <v>9.8969830757910229E-2</v>
      </c>
      <c r="AY144" s="78">
        <f t="shared" si="171"/>
        <v>0.11428757772077047</v>
      </c>
      <c r="AZ144" s="59">
        <f t="shared" si="171"/>
        <v>0.10792643077210344</v>
      </c>
      <c r="BA144" s="59">
        <f t="shared" si="171"/>
        <v>0.11623889437314906</v>
      </c>
      <c r="BB144" s="59">
        <f t="shared" si="171"/>
        <v>0.10912750503194189</v>
      </c>
      <c r="BC144" s="59">
        <f t="shared" si="171"/>
        <v>8.9099999999999999E-2</v>
      </c>
      <c r="BD144" s="78">
        <f t="shared" si="171"/>
        <v>0.1062672145211541</v>
      </c>
      <c r="BE144" s="59">
        <f t="shared" si="171"/>
        <v>0.10668990221705876</v>
      </c>
      <c r="BF144" s="59">
        <f t="shared" si="171"/>
        <v>0.12157237070461645</v>
      </c>
      <c r="BG144" s="59">
        <f t="shared" si="171"/>
        <v>0.12375305853566723</v>
      </c>
      <c r="BH144" s="59">
        <f t="shared" si="171"/>
        <v>0.10346666666666667</v>
      </c>
      <c r="BI144" s="78">
        <f t="shared" si="171"/>
        <v>0.11439766808429302</v>
      </c>
      <c r="BJ144" s="59">
        <f t="shared" si="171"/>
        <v>0.11822768150910287</v>
      </c>
      <c r="BK144" s="59">
        <f t="shared" si="171"/>
        <v>0.14265099979385693</v>
      </c>
      <c r="BL144" s="59">
        <f t="shared" si="171"/>
        <v>0.14816038775060586</v>
      </c>
      <c r="BM144" s="59">
        <f t="shared" si="171"/>
        <v>0.12851405622489959</v>
      </c>
      <c r="BN144" s="78">
        <f t="shared" ref="BN144:CM144" si="172">BN107/BN7</f>
        <v>0.13478285455779235</v>
      </c>
      <c r="BO144" s="59">
        <f t="shared" si="172"/>
        <v>0.1458551941238195</v>
      </c>
      <c r="BP144" s="59">
        <f t="shared" si="172"/>
        <v>0.15979850799717013</v>
      </c>
      <c r="BQ144" s="59">
        <f t="shared" si="172"/>
        <v>0.15580517415301431</v>
      </c>
      <c r="BR144" s="59">
        <f t="shared" si="172"/>
        <v>0.129690749416042</v>
      </c>
      <c r="BS144" s="78">
        <f t="shared" si="172"/>
        <v>0.14854404027253809</v>
      </c>
      <c r="BT144" s="59">
        <f t="shared" si="172"/>
        <v>0.14534888830778503</v>
      </c>
      <c r="BU144" s="59">
        <f t="shared" si="172"/>
        <v>0.15896956858906849</v>
      </c>
      <c r="BV144" s="59">
        <f t="shared" si="172"/>
        <v>0.15484416317983982</v>
      </c>
      <c r="BW144" s="59">
        <f t="shared" si="172"/>
        <v>0.12862265230956926</v>
      </c>
      <c r="BX144" s="78">
        <f t="shared" si="172"/>
        <v>0.14769319017131571</v>
      </c>
      <c r="BY144" s="59">
        <f t="shared" si="172"/>
        <v>0.14457424605795452</v>
      </c>
      <c r="BZ144" s="59">
        <f t="shared" si="172"/>
        <v>0.15817747522033418</v>
      </c>
      <c r="CA144" s="59">
        <f t="shared" si="172"/>
        <v>0.15392640887886894</v>
      </c>
      <c r="CB144" s="59">
        <f t="shared" si="172"/>
        <v>0.12760571084043867</v>
      </c>
      <c r="CC144" s="78">
        <f t="shared" si="172"/>
        <v>0.14680954454280906</v>
      </c>
      <c r="CD144" s="59">
        <f t="shared" si="172"/>
        <v>0.14446069644988316</v>
      </c>
      <c r="CE144" s="59">
        <f t="shared" si="172"/>
        <v>0.15806528358850447</v>
      </c>
      <c r="CF144" s="59">
        <f t="shared" si="172"/>
        <v>0.15365593287554169</v>
      </c>
      <c r="CG144" s="59">
        <f t="shared" si="172"/>
        <v>0.12710950428266551</v>
      </c>
      <c r="CH144" s="78">
        <f t="shared" si="172"/>
        <v>0.14655518142220805</v>
      </c>
      <c r="CI144" s="59">
        <f t="shared" si="172"/>
        <v>0.14459792847999298</v>
      </c>
      <c r="CJ144" s="59">
        <f t="shared" si="172"/>
        <v>0.15820729730368605</v>
      </c>
      <c r="CK144" s="59">
        <f t="shared" si="172"/>
        <v>0.15366399134107225</v>
      </c>
      <c r="CL144" s="59">
        <f t="shared" si="172"/>
        <v>0.12690504768317246</v>
      </c>
      <c r="CM144" s="78">
        <f t="shared" si="172"/>
        <v>0.14657157350216787</v>
      </c>
    </row>
    <row r="145" spans="1:91" hidden="1" outlineLevel="1" x14ac:dyDescent="0.2">
      <c r="A145" s="47" t="s">
        <v>185</v>
      </c>
      <c r="B145" s="59">
        <f t="shared" ref="B145:AG145" si="173">B118/B7</f>
        <v>0.18440261237034192</v>
      </c>
      <c r="C145" s="59">
        <f t="shared" si="173"/>
        <v>0.19461172741679872</v>
      </c>
      <c r="D145" s="59">
        <f t="shared" si="173"/>
        <v>0.1827066423720391</v>
      </c>
      <c r="E145" s="59">
        <f t="shared" si="173"/>
        <v>0.17492343721851919</v>
      </c>
      <c r="F145" s="78">
        <f t="shared" si="173"/>
        <v>0.18447022160664819</v>
      </c>
      <c r="G145" s="59">
        <f t="shared" si="173"/>
        <v>0.18809797168006123</v>
      </c>
      <c r="H145" s="59">
        <f t="shared" si="173"/>
        <v>0.20521927115503397</v>
      </c>
      <c r="I145" s="59">
        <f t="shared" si="173"/>
        <v>0.22048342113418035</v>
      </c>
      <c r="J145" s="59">
        <f t="shared" si="173"/>
        <v>0.22049898853674982</v>
      </c>
      <c r="K145" s="78">
        <f t="shared" si="173"/>
        <v>0.20935735636001329</v>
      </c>
      <c r="L145" s="59">
        <f t="shared" si="173"/>
        <v>0.23545797148943143</v>
      </c>
      <c r="M145" s="59">
        <f t="shared" si="173"/>
        <v>0.26264063106168367</v>
      </c>
      <c r="N145" s="59">
        <f t="shared" si="173"/>
        <v>0.26215864759427826</v>
      </c>
      <c r="O145" s="59">
        <f t="shared" si="173"/>
        <v>0.28454508252625837</v>
      </c>
      <c r="P145" s="78">
        <f t="shared" si="173"/>
        <v>0.26232803132688776</v>
      </c>
      <c r="Q145" s="59">
        <f t="shared" si="173"/>
        <v>0.28011925735194471</v>
      </c>
      <c r="R145" s="59">
        <f t="shared" si="173"/>
        <v>0.28830422286093299</v>
      </c>
      <c r="S145" s="59">
        <f t="shared" si="173"/>
        <v>0.26855713094245204</v>
      </c>
      <c r="T145" s="59">
        <f t="shared" si="173"/>
        <v>0.25287678922256523</v>
      </c>
      <c r="U145" s="78">
        <f t="shared" si="173"/>
        <v>0.27332206361131983</v>
      </c>
      <c r="V145" s="59">
        <f t="shared" si="173"/>
        <v>0.25052308550704422</v>
      </c>
      <c r="W145" s="59">
        <f t="shared" si="173"/>
        <v>0.2668440788677876</v>
      </c>
      <c r="X145" s="59">
        <f t="shared" si="173"/>
        <v>0.27051218299353558</v>
      </c>
      <c r="Y145" s="59">
        <f t="shared" si="173"/>
        <v>0.26830892143808255</v>
      </c>
      <c r="Z145" s="27">
        <f t="shared" si="173"/>
        <v>0.26437560503388191</v>
      </c>
      <c r="AA145" s="59">
        <f t="shared" si="173"/>
        <v>0.25940199335548175</v>
      </c>
      <c r="AB145" s="59">
        <f t="shared" si="173"/>
        <v>0.26423795250172932</v>
      </c>
      <c r="AC145" s="59">
        <f t="shared" si="173"/>
        <v>0.25302634702112509</v>
      </c>
      <c r="AD145" s="59">
        <f t="shared" si="173"/>
        <v>0.17533828854583572</v>
      </c>
      <c r="AE145" s="78">
        <f t="shared" si="173"/>
        <v>0.23394743586092998</v>
      </c>
      <c r="AF145" s="59">
        <f t="shared" si="173"/>
        <v>0.17904220009483168</v>
      </c>
      <c r="AG145" s="59">
        <f t="shared" si="173"/>
        <v>0.18999764465729763</v>
      </c>
      <c r="AH145" s="59">
        <f t="shared" ref="AH145:BM145" si="174">AH118/AH7</f>
        <v>0.18296169239565466</v>
      </c>
      <c r="AI145" s="59">
        <f t="shared" si="174"/>
        <v>0.17690217391304347</v>
      </c>
      <c r="AJ145" s="78">
        <f t="shared" si="174"/>
        <v>0.1825620100934178</v>
      </c>
      <c r="AK145" s="59">
        <f t="shared" si="174"/>
        <v>0.18712400107748944</v>
      </c>
      <c r="AL145" s="59">
        <f t="shared" si="174"/>
        <v>0.18923876490369917</v>
      </c>
      <c r="AM145" s="59">
        <f t="shared" si="174"/>
        <v>0.17676604018146469</v>
      </c>
      <c r="AN145" s="59">
        <f t="shared" si="174"/>
        <v>0.1802706241815801</v>
      </c>
      <c r="AO145" s="78">
        <f t="shared" si="174"/>
        <v>0.18340274885464389</v>
      </c>
      <c r="AP145" s="59">
        <f t="shared" si="174"/>
        <v>0.18287267784322611</v>
      </c>
      <c r="AQ145" s="59">
        <f t="shared" ca="1" si="174"/>
        <v>0.17397442936700919</v>
      </c>
      <c r="AR145" s="59">
        <f t="shared" ca="1" si="174"/>
        <v>0.15054031587697422</v>
      </c>
      <c r="AS145" s="59">
        <f t="shared" si="174"/>
        <v>0.14048913043478262</v>
      </c>
      <c r="AT145" s="78">
        <f t="shared" ca="1" si="174"/>
        <v>0.16216331583215948</v>
      </c>
      <c r="AU145" s="59">
        <f t="shared" si="174"/>
        <v>0.15667549167927383</v>
      </c>
      <c r="AV145" s="59">
        <f t="shared" si="174"/>
        <v>0.16239860028630507</v>
      </c>
      <c r="AW145" s="59">
        <f t="shared" si="174"/>
        <v>0.15063460253841016</v>
      </c>
      <c r="AX145" s="59">
        <f t="shared" si="174"/>
        <v>0.13511773362766741</v>
      </c>
      <c r="AY145" s="78">
        <f t="shared" si="174"/>
        <v>0.15157180746988999</v>
      </c>
      <c r="AZ145" s="59">
        <f t="shared" si="174"/>
        <v>0.15544767061898981</v>
      </c>
      <c r="BA145" s="59">
        <f t="shared" si="174"/>
        <v>0.15769990128331687</v>
      </c>
      <c r="BB145" s="59">
        <f t="shared" si="174"/>
        <v>0.15165835302354075</v>
      </c>
      <c r="BC145" s="59">
        <f t="shared" si="174"/>
        <v>0.13669999999999999</v>
      </c>
      <c r="BD145" s="78">
        <f t="shared" si="174"/>
        <v>0.15085564636293855</v>
      </c>
      <c r="BE145" s="59">
        <f t="shared" si="174"/>
        <v>0.15749417167442745</v>
      </c>
      <c r="BF145" s="59">
        <f t="shared" si="174"/>
        <v>0.17200200075322269</v>
      </c>
      <c r="BG145" s="59">
        <f t="shared" si="174"/>
        <v>9.5585343928352134E-2</v>
      </c>
      <c r="BH145" s="59">
        <f t="shared" si="174"/>
        <v>9.4229523147949926E-2</v>
      </c>
      <c r="BI145" s="78">
        <f t="shared" si="174"/>
        <v>0.13160032493907392</v>
      </c>
      <c r="BJ145" s="59">
        <f t="shared" si="174"/>
        <v>9.7425709455758236E-2</v>
      </c>
      <c r="BK145" s="59">
        <f t="shared" si="174"/>
        <v>0.11173459173055567</v>
      </c>
      <c r="BL145" s="59">
        <f t="shared" si="174"/>
        <v>6.1190374152669778E-2</v>
      </c>
      <c r="BM145" s="59">
        <f t="shared" si="174"/>
        <v>6.4676995402223408E-2</v>
      </c>
      <c r="BN145" s="78">
        <f t="shared" ref="BN145:CM145" si="175">BN118/BN7</f>
        <v>8.5133453969690104E-2</v>
      </c>
      <c r="BO145" s="59">
        <f t="shared" si="175"/>
        <v>6.8145766011586395E-2</v>
      </c>
      <c r="BP145" s="59">
        <f t="shared" si="175"/>
        <v>7.2574077350584548E-2</v>
      </c>
      <c r="BQ145" s="59">
        <f t="shared" si="175"/>
        <v>3.914540693881461E-2</v>
      </c>
      <c r="BR145" s="59">
        <f t="shared" si="175"/>
        <v>3.8580529227184343E-2</v>
      </c>
      <c r="BS145" s="78">
        <f t="shared" si="175"/>
        <v>5.5059807322688462E-2</v>
      </c>
      <c r="BT145" s="59">
        <f t="shared" si="175"/>
        <v>6.702694359389523E-2</v>
      </c>
      <c r="BU145" s="59">
        <f t="shared" si="175"/>
        <v>7.115126417641085E-2</v>
      </c>
      <c r="BV145" s="59">
        <f t="shared" si="175"/>
        <v>3.8340131435968164E-2</v>
      </c>
      <c r="BW145" s="59">
        <f t="shared" si="175"/>
        <v>3.7708257471624693E-2</v>
      </c>
      <c r="BX145" s="78">
        <f t="shared" si="175"/>
        <v>5.3970239847750658E-2</v>
      </c>
      <c r="BY145" s="59">
        <f t="shared" si="175"/>
        <v>6.5703493190041831E-2</v>
      </c>
      <c r="BZ145" s="59">
        <f t="shared" si="175"/>
        <v>6.9770700977035333E-2</v>
      </c>
      <c r="CA145" s="59">
        <f t="shared" si="175"/>
        <v>3.7560530481227775E-2</v>
      </c>
      <c r="CB145" s="59">
        <f t="shared" si="175"/>
        <v>3.6867945432778763E-2</v>
      </c>
      <c r="CC145" s="78">
        <f t="shared" si="175"/>
        <v>5.2869839263488497E-2</v>
      </c>
      <c r="CD145" s="59">
        <f t="shared" si="175"/>
        <v>6.4700412558923628E-2</v>
      </c>
      <c r="CE145" s="59">
        <f t="shared" si="175"/>
        <v>6.8710761849271912E-2</v>
      </c>
      <c r="CF145" s="59">
        <f t="shared" si="175"/>
        <v>3.6951130981790634E-2</v>
      </c>
      <c r="CG145" s="59">
        <f t="shared" si="175"/>
        <v>3.6192340726997035E-2</v>
      </c>
      <c r="CH145" s="78">
        <f t="shared" si="175"/>
        <v>5.2013334674025517E-2</v>
      </c>
      <c r="CI145" s="59">
        <f t="shared" si="175"/>
        <v>6.3823297523872793E-2</v>
      </c>
      <c r="CJ145" s="59">
        <f t="shared" si="175"/>
        <v>6.7775792190039541E-2</v>
      </c>
      <c r="CK145" s="59">
        <f t="shared" si="175"/>
        <v>3.6417517156191688E-2</v>
      </c>
      <c r="CL145" s="59">
        <f t="shared" si="175"/>
        <v>3.5610442100992026E-2</v>
      </c>
      <c r="CM145" s="78">
        <f t="shared" si="175"/>
        <v>5.126525156563741E-2</v>
      </c>
    </row>
    <row r="146" spans="1:91" hidden="1" outlineLevel="1" x14ac:dyDescent="0.2">
      <c r="A146" s="47" t="s">
        <v>186</v>
      </c>
      <c r="B146" s="59">
        <f t="shared" ref="B146:AG146" si="176">B136/B7</f>
        <v>4.0338071456012294E-3</v>
      </c>
      <c r="C146" s="59">
        <f t="shared" si="176"/>
        <v>3.9619651347068147E-3</v>
      </c>
      <c r="D146" s="59">
        <f t="shared" si="176"/>
        <v>3.1472585721384794E-3</v>
      </c>
      <c r="E146" s="59">
        <f t="shared" si="176"/>
        <v>3.2426589803638984E-3</v>
      </c>
      <c r="F146" s="78">
        <f t="shared" si="176"/>
        <v>3.5924515235457063E-3</v>
      </c>
      <c r="G146" s="59">
        <f t="shared" si="176"/>
        <v>3.8270187523918868E-3</v>
      </c>
      <c r="H146" s="59">
        <f t="shared" si="176"/>
        <v>3.3971587399629403E-3</v>
      </c>
      <c r="I146" s="59">
        <f t="shared" si="176"/>
        <v>3.7186241090796405E-3</v>
      </c>
      <c r="J146" s="59">
        <f t="shared" si="176"/>
        <v>4.5515846257585977E-3</v>
      </c>
      <c r="K146" s="78">
        <f t="shared" si="176"/>
        <v>3.8608435735636003E-3</v>
      </c>
      <c r="L146" s="59">
        <f t="shared" si="176"/>
        <v>2.2939537932164509E-3</v>
      </c>
      <c r="M146" s="59">
        <f t="shared" si="176"/>
        <v>2.3276865382128539E-3</v>
      </c>
      <c r="N146" s="59">
        <f t="shared" si="176"/>
        <v>2.210663198959688E-3</v>
      </c>
      <c r="O146" s="59">
        <f t="shared" si="176"/>
        <v>3.1373618878734141E-3</v>
      </c>
      <c r="P146" s="78">
        <f t="shared" si="176"/>
        <v>2.4950618567418652E-3</v>
      </c>
      <c r="Q146" s="59">
        <f t="shared" si="176"/>
        <v>3.7945521073316168E-3</v>
      </c>
      <c r="R146" s="59">
        <f t="shared" si="176"/>
        <v>3.2058368339597612E-3</v>
      </c>
      <c r="S146" s="59">
        <f t="shared" si="176"/>
        <v>4.0509948766829498E-3</v>
      </c>
      <c r="T146" s="59">
        <f t="shared" si="176"/>
        <v>2.2452989054167838E-3</v>
      </c>
      <c r="U146" s="78">
        <f t="shared" si="176"/>
        <v>3.349611820686201E-3</v>
      </c>
      <c r="V146" s="59">
        <f t="shared" si="176"/>
        <v>2.3713209652671224E-3</v>
      </c>
      <c r="W146" s="59">
        <f t="shared" si="176"/>
        <v>4.2337002540220152E-3</v>
      </c>
      <c r="X146" s="59">
        <f t="shared" si="176"/>
        <v>1.4917951268025858E-3</v>
      </c>
      <c r="Y146" s="59">
        <f t="shared" si="176"/>
        <v>3.1957390146471372E-3</v>
      </c>
      <c r="Z146" s="27">
        <f t="shared" si="176"/>
        <v>2.8396256857050662E-3</v>
      </c>
      <c r="AA146" s="59">
        <f t="shared" si="176"/>
        <v>2.3920265780730896E-3</v>
      </c>
      <c r="AB146" s="59">
        <f t="shared" si="176"/>
        <v>3.8044731381139036E-3</v>
      </c>
      <c r="AC146" s="59">
        <f t="shared" si="176"/>
        <v>1.4241633040588653E-3</v>
      </c>
      <c r="AD146" s="59">
        <f t="shared" si="176"/>
        <v>2.7634838955593673E-3</v>
      </c>
      <c r="AE146" s="78">
        <f t="shared" si="176"/>
        <v>2.6196645690367039E-3</v>
      </c>
      <c r="AF146" s="59">
        <f t="shared" si="176"/>
        <v>5.3105737316263635E-3</v>
      </c>
      <c r="AG146" s="59">
        <f t="shared" si="176"/>
        <v>4.9462196749627072E-3</v>
      </c>
      <c r="AH146" s="59">
        <f t="shared" ref="AH146:BM146" si="177">AH136/AH7</f>
        <v>2.3687004819080292E-3</v>
      </c>
      <c r="AI146" s="59">
        <f t="shared" si="177"/>
        <v>3.0797101449275364E-3</v>
      </c>
      <c r="AJ146" s="78">
        <f t="shared" si="177"/>
        <v>3.9085149790615272E-3</v>
      </c>
      <c r="AK146" s="59">
        <f t="shared" si="177"/>
        <v>2.6937236239561822E-3</v>
      </c>
      <c r="AL146" s="59">
        <f t="shared" si="177"/>
        <v>3.8978905533476002E-3</v>
      </c>
      <c r="AM146" s="59">
        <f t="shared" si="177"/>
        <v>2.4303305249513932E-3</v>
      </c>
      <c r="AN146" s="59">
        <f t="shared" si="177"/>
        <v>1.6586643387167177E-3</v>
      </c>
      <c r="AO146" s="78">
        <f t="shared" si="177"/>
        <v>2.7072053311120365E-3</v>
      </c>
      <c r="AP146" s="59">
        <f t="shared" si="177"/>
        <v>3.9873130946986857E-3</v>
      </c>
      <c r="AQ146" s="59">
        <f t="shared" ca="1" si="177"/>
        <v>4.1571887991214999E-3</v>
      </c>
      <c r="AR146" s="59">
        <f t="shared" ca="1" si="177"/>
        <v>2.2443890274314216E-3</v>
      </c>
      <c r="AS146" s="59">
        <f t="shared" si="177"/>
        <v>2.717391304347826E-3</v>
      </c>
      <c r="AT146" s="78">
        <f t="shared" ca="1" si="177"/>
        <v>3.2868058223417423E-3</v>
      </c>
      <c r="AU146" s="59">
        <f t="shared" si="177"/>
        <v>3.1202723146747354E-3</v>
      </c>
      <c r="AV146" s="59">
        <f t="shared" si="177"/>
        <v>3.9764593605853349E-3</v>
      </c>
      <c r="AW146" s="59">
        <f t="shared" si="177"/>
        <v>3.5905143620574482E-3</v>
      </c>
      <c r="AX146" s="59">
        <f t="shared" si="177"/>
        <v>9.1979396615158204E-4</v>
      </c>
      <c r="AY146" s="78">
        <f t="shared" si="177"/>
        <v>2.9566502891430063E-3</v>
      </c>
      <c r="AZ146" s="59">
        <f t="shared" si="177"/>
        <v>3.7344785734291851E-3</v>
      </c>
      <c r="BA146" s="59">
        <f t="shared" si="177"/>
        <v>2.0565975649884829E-3</v>
      </c>
      <c r="BB146" s="59">
        <f t="shared" si="177"/>
        <v>4.8131618097488407E-3</v>
      </c>
      <c r="BC146" s="59">
        <f t="shared" si="177"/>
        <v>4.5999999999999999E-3</v>
      </c>
      <c r="BD146" s="78">
        <f t="shared" si="177"/>
        <v>3.7476859168284644E-3</v>
      </c>
      <c r="BE146" s="59">
        <f t="shared" si="177"/>
        <v>3.2917029722141543E-3</v>
      </c>
      <c r="BF146" s="59">
        <f t="shared" si="177"/>
        <v>4.6858729607775077E-3</v>
      </c>
      <c r="BG146" s="59">
        <f t="shared" si="177"/>
        <v>4.046677959721438E-3</v>
      </c>
      <c r="BH146" s="59">
        <f t="shared" si="177"/>
        <v>1.0666666666666667E-3</v>
      </c>
      <c r="BI146" s="78">
        <f t="shared" si="177"/>
        <v>3.3688536340612607E-3</v>
      </c>
      <c r="BJ146" s="59">
        <f t="shared" si="177"/>
        <v>3.1805220443079621E-3</v>
      </c>
      <c r="BK146" s="59">
        <f t="shared" si="177"/>
        <v>4.6382189239332098E-3</v>
      </c>
      <c r="BL146" s="59">
        <f t="shared" si="177"/>
        <v>5.2875082617316587E-3</v>
      </c>
      <c r="BM146" s="59">
        <f t="shared" si="177"/>
        <v>2.1419009370816601E-3</v>
      </c>
      <c r="BN146" s="78">
        <f t="shared" ref="BN146:CM146" si="178">BN136/BN7</f>
        <v>3.9018321646686269E-3</v>
      </c>
      <c r="BO146" s="59">
        <f t="shared" si="178"/>
        <v>2.3609653725078701E-3</v>
      </c>
      <c r="BP146" s="59">
        <f t="shared" si="178"/>
        <v>5.4086118944508179E-3</v>
      </c>
      <c r="BQ146" s="59">
        <f t="shared" si="178"/>
        <v>6.0728067482897436E-3</v>
      </c>
      <c r="BR146" s="59">
        <f t="shared" si="178"/>
        <v>2.2938151872678248E-3</v>
      </c>
      <c r="BS146" s="78">
        <f t="shared" si="178"/>
        <v>4.14121038040323E-3</v>
      </c>
      <c r="BT146" s="59">
        <f t="shared" si="178"/>
        <v>2.3905029459489221E-3</v>
      </c>
      <c r="BU146" s="59">
        <f t="shared" si="178"/>
        <v>5.4585343013108479E-3</v>
      </c>
      <c r="BV146" s="59">
        <f t="shared" si="178"/>
        <v>6.1228183279289743E-3</v>
      </c>
      <c r="BW146" s="59">
        <f t="shared" si="178"/>
        <v>2.3078938729131572E-3</v>
      </c>
      <c r="BX146" s="78">
        <f t="shared" si="178"/>
        <v>4.1786508229650614E-3</v>
      </c>
      <c r="BY146" s="59">
        <f t="shared" si="178"/>
        <v>2.4122230011027431E-3</v>
      </c>
      <c r="BZ146" s="59">
        <f t="shared" si="178"/>
        <v>5.510051227657832E-3</v>
      </c>
      <c r="CA146" s="59">
        <f t="shared" si="178"/>
        <v>6.1747392229630563E-3</v>
      </c>
      <c r="CB146" s="59">
        <f t="shared" si="178"/>
        <v>2.3228300390744183E-3</v>
      </c>
      <c r="CC146" s="78">
        <f t="shared" si="178"/>
        <v>4.2138478588369353E-3</v>
      </c>
      <c r="CD146" s="59">
        <f t="shared" si="178"/>
        <v>2.4452607205604692E-3</v>
      </c>
      <c r="CE146" s="59">
        <f t="shared" si="178"/>
        <v>5.5859422505226816E-3</v>
      </c>
      <c r="CF146" s="59">
        <f t="shared" si="178"/>
        <v>6.2532208371395533E-3</v>
      </c>
      <c r="CG146" s="59">
        <f t="shared" si="178"/>
        <v>2.3473307976683319E-3</v>
      </c>
      <c r="CH146" s="78">
        <f t="shared" si="178"/>
        <v>4.2675113682145785E-3</v>
      </c>
      <c r="CI146" s="59">
        <f t="shared" si="178"/>
        <v>2.4830558493404466E-3</v>
      </c>
      <c r="CJ146" s="59">
        <f t="shared" si="178"/>
        <v>5.6719893583697069E-3</v>
      </c>
      <c r="CK146" s="59">
        <f t="shared" si="178"/>
        <v>6.3441799283310606E-3</v>
      </c>
      <c r="CL146" s="59">
        <f t="shared" si="178"/>
        <v>2.3775196649600066E-3</v>
      </c>
      <c r="CM146" s="78">
        <f t="shared" si="178"/>
        <v>4.3298435944438734E-3</v>
      </c>
    </row>
    <row r="147" spans="1:91" hidden="1" outlineLevel="1" x14ac:dyDescent="0.2">
      <c r="A147" s="47"/>
      <c r="B147" s="50"/>
      <c r="C147" s="50"/>
      <c r="D147" s="50"/>
      <c r="E147" s="46"/>
      <c r="F147" s="64">
        <f>F163</f>
        <v>1565</v>
      </c>
      <c r="G147" s="36"/>
      <c r="H147" s="36"/>
      <c r="I147" s="36"/>
      <c r="J147" s="36"/>
      <c r="K147" s="64">
        <f>K163</f>
        <v>1683</v>
      </c>
      <c r="L147" s="50"/>
      <c r="M147" s="50"/>
      <c r="N147" s="55"/>
      <c r="O147" s="55"/>
      <c r="P147" s="64">
        <f>P163</f>
        <v>1706</v>
      </c>
      <c r="Q147" s="55"/>
      <c r="R147" s="55"/>
      <c r="S147" s="50"/>
      <c r="T147" s="50"/>
      <c r="U147" s="64">
        <f>U163</f>
        <v>1596</v>
      </c>
      <c r="V147" s="50"/>
      <c r="W147" s="50"/>
      <c r="X147" s="50"/>
      <c r="Y147" s="50"/>
      <c r="Z147" s="64">
        <f>Z163</f>
        <v>1730</v>
      </c>
      <c r="AA147" s="50"/>
      <c r="AB147" s="50"/>
      <c r="AC147" s="50"/>
      <c r="AD147" s="50"/>
      <c r="AE147" s="64">
        <f>AE163</f>
        <v>1954</v>
      </c>
      <c r="AF147" s="50"/>
      <c r="AG147" s="50"/>
      <c r="AH147" s="50"/>
      <c r="AI147" s="50"/>
      <c r="AJ147" s="192"/>
      <c r="AK147" s="50"/>
      <c r="AL147" s="50"/>
      <c r="AM147" s="50"/>
      <c r="AN147" s="50"/>
      <c r="AO147" s="67"/>
      <c r="AP147" s="50"/>
      <c r="AQ147" s="50"/>
      <c r="AR147" s="50"/>
      <c r="AS147" s="50"/>
      <c r="AT147" s="67"/>
      <c r="AU147" s="50"/>
      <c r="AV147" s="50"/>
      <c r="AW147" s="50"/>
      <c r="AX147" s="50"/>
      <c r="AY147" s="67"/>
      <c r="AZ147" s="50"/>
      <c r="BA147" s="50"/>
      <c r="BB147" s="50"/>
      <c r="BC147" s="50"/>
      <c r="BD147" s="67"/>
      <c r="BE147" s="50"/>
      <c r="BF147" s="50"/>
      <c r="BG147" s="50"/>
      <c r="BH147" s="50"/>
      <c r="BI147" s="67"/>
      <c r="BJ147" s="50"/>
      <c r="BK147" s="50"/>
      <c r="BL147" s="50"/>
      <c r="BM147" s="50"/>
      <c r="BN147" s="67"/>
      <c r="BO147" s="50"/>
      <c r="BP147" s="50"/>
      <c r="BQ147" s="50"/>
      <c r="BR147" s="50"/>
      <c r="BS147" s="67"/>
      <c r="BT147" s="50"/>
      <c r="BU147" s="50"/>
      <c r="BV147" s="50"/>
      <c r="BW147" s="50"/>
      <c r="BX147" s="67"/>
      <c r="BY147" s="50"/>
      <c r="BZ147" s="50"/>
      <c r="CA147" s="50"/>
      <c r="CB147" s="50"/>
      <c r="CC147" s="67"/>
      <c r="CD147" s="50"/>
      <c r="CE147" s="50"/>
      <c r="CF147" s="50"/>
      <c r="CG147" s="50"/>
      <c r="CH147" s="67"/>
      <c r="CI147" s="50"/>
      <c r="CJ147" s="50"/>
      <c r="CK147" s="50"/>
      <c r="CL147" s="50"/>
      <c r="CM147" s="67"/>
    </row>
    <row r="148" spans="1:91" collapsed="1" x14ac:dyDescent="0.2">
      <c r="A148" s="52" t="s">
        <v>147</v>
      </c>
      <c r="B148" s="53"/>
      <c r="C148" s="53"/>
      <c r="D148" s="53"/>
      <c r="E148" s="53"/>
      <c r="F148" s="65"/>
      <c r="G148" s="53"/>
      <c r="H148" s="53"/>
      <c r="I148" s="53"/>
      <c r="J148" s="53"/>
      <c r="K148" s="65"/>
      <c r="L148" s="53"/>
      <c r="M148" s="53"/>
      <c r="N148" s="53"/>
      <c r="O148" s="53"/>
      <c r="P148" s="65"/>
      <c r="Q148" s="53"/>
      <c r="R148" s="53"/>
      <c r="S148" s="53"/>
      <c r="T148" s="53"/>
      <c r="U148" s="65"/>
      <c r="V148" s="53"/>
      <c r="W148" s="53"/>
      <c r="X148" s="53"/>
      <c r="Y148" s="53"/>
      <c r="Z148" s="65"/>
      <c r="AA148" s="53"/>
      <c r="AB148" s="53"/>
      <c r="AC148" s="53"/>
      <c r="AD148" s="53"/>
      <c r="AE148" s="65"/>
      <c r="AF148" s="128"/>
      <c r="AG148" s="128"/>
      <c r="AH148" s="128"/>
      <c r="AI148" s="53"/>
      <c r="AJ148" s="65"/>
      <c r="AK148" s="53"/>
      <c r="AL148" s="53"/>
      <c r="AM148" s="53"/>
      <c r="AN148" s="53"/>
      <c r="AO148" s="65"/>
      <c r="AP148" s="53"/>
      <c r="AQ148" s="53"/>
      <c r="AR148" s="53"/>
      <c r="AS148" s="53"/>
      <c r="AT148" s="65"/>
      <c r="AU148" s="53"/>
      <c r="AV148" s="53"/>
      <c r="AW148" s="53"/>
      <c r="AX148" s="53"/>
      <c r="AY148" s="65"/>
      <c r="AZ148" s="53"/>
      <c r="BA148" s="53"/>
      <c r="BB148" s="53"/>
      <c r="BC148" s="53"/>
      <c r="BD148" s="65"/>
      <c r="BE148" s="53"/>
      <c r="BF148" s="53"/>
      <c r="BG148" s="53"/>
      <c r="BH148" s="53"/>
      <c r="BI148" s="65"/>
      <c r="BJ148" s="53"/>
      <c r="BK148" s="53"/>
      <c r="BL148" s="53"/>
      <c r="BM148" s="53"/>
      <c r="BN148" s="65"/>
      <c r="BO148" s="53"/>
      <c r="BP148" s="53"/>
      <c r="BQ148" s="53"/>
      <c r="BR148" s="53"/>
      <c r="BS148" s="65"/>
      <c r="BT148" s="53"/>
      <c r="BU148" s="53"/>
      <c r="BV148" s="53"/>
      <c r="BW148" s="53"/>
      <c r="BX148" s="65"/>
      <c r="BY148" s="53"/>
      <c r="BZ148" s="53"/>
      <c r="CA148" s="53"/>
      <c r="CB148" s="53"/>
      <c r="CC148" s="65"/>
      <c r="CD148" s="53"/>
      <c r="CE148" s="53"/>
      <c r="CF148" s="53"/>
      <c r="CG148" s="53"/>
      <c r="CH148" s="65"/>
      <c r="CI148" s="53"/>
      <c r="CJ148" s="53"/>
      <c r="CK148" s="53"/>
      <c r="CL148" s="53"/>
      <c r="CM148" s="65"/>
    </row>
    <row r="149" spans="1:91" x14ac:dyDescent="0.2">
      <c r="A149" s="727" t="str">
        <f>+A159</f>
        <v>Europe, Middle East, Africa</v>
      </c>
      <c r="B149" s="53"/>
      <c r="C149" s="53"/>
      <c r="D149" s="53"/>
      <c r="E149" s="53"/>
      <c r="F149" s="65"/>
      <c r="G149" s="53"/>
      <c r="H149" s="53"/>
      <c r="I149" s="53"/>
      <c r="J149" s="53"/>
      <c r="K149" s="65"/>
      <c r="L149" s="53"/>
      <c r="M149" s="53"/>
      <c r="N149" s="53"/>
      <c r="O149" s="53"/>
      <c r="P149" s="65"/>
      <c r="Q149" s="53"/>
      <c r="R149" s="53"/>
      <c r="S149" s="53"/>
      <c r="T149" s="53"/>
      <c r="U149" s="65"/>
      <c r="V149" s="53"/>
      <c r="W149" s="53"/>
      <c r="X149" s="53"/>
      <c r="Y149" s="53"/>
      <c r="Z149" s="65"/>
      <c r="AA149" s="53"/>
      <c r="AB149" s="53"/>
      <c r="AC149" s="53"/>
      <c r="AD149" s="53"/>
      <c r="AE149" s="65"/>
      <c r="AF149" s="128"/>
      <c r="AG149" s="128"/>
      <c r="AH149" s="128"/>
      <c r="AI149" s="53"/>
      <c r="AJ149" s="65"/>
      <c r="AK149" s="53"/>
      <c r="AL149" s="53"/>
      <c r="AM149" s="53"/>
      <c r="AN149" s="53"/>
      <c r="AO149" s="65"/>
      <c r="AP149" s="53"/>
      <c r="AQ149" s="53"/>
      <c r="AR149" s="53"/>
      <c r="AS149" s="53"/>
      <c r="AT149" s="794">
        <f ca="1">+AT20/AT7</f>
        <v>0.15810816579160797</v>
      </c>
      <c r="AU149" s="795">
        <f t="shared" ref="AU149:CM149" si="179">+AU20/AU7</f>
        <v>0.16944024205748864</v>
      </c>
      <c r="AV149" s="795">
        <f t="shared" si="179"/>
        <v>0.16836328932718309</v>
      </c>
      <c r="AW149" s="795">
        <f t="shared" si="179"/>
        <v>0.16290915163660655</v>
      </c>
      <c r="AX149" s="795">
        <f t="shared" si="179"/>
        <v>0.15765268579838115</v>
      </c>
      <c r="AY149" s="794">
        <f t="shared" si="179"/>
        <v>0.16465933301447888</v>
      </c>
      <c r="AZ149" s="795">
        <f t="shared" si="179"/>
        <v>0.15927551115675473</v>
      </c>
      <c r="BA149" s="795">
        <f t="shared" si="179"/>
        <v>0.15918065153010857</v>
      </c>
      <c r="BB149" s="795">
        <f t="shared" si="179"/>
        <v>0.154371226043581</v>
      </c>
      <c r="BC149" s="795">
        <f t="shared" si="179"/>
        <v>0.15609999999999999</v>
      </c>
      <c r="BD149" s="794">
        <f t="shared" si="179"/>
        <v>0.15726734997968123</v>
      </c>
      <c r="BE149" s="795">
        <f t="shared" si="179"/>
        <v>0.15577500242036985</v>
      </c>
      <c r="BF149" s="795">
        <f t="shared" si="179"/>
        <v>0.16556751128080527</v>
      </c>
      <c r="BG149" s="795">
        <f t="shared" si="179"/>
        <v>0.17428947863730473</v>
      </c>
      <c r="BH149" s="795">
        <f t="shared" si="179"/>
        <v>0.17546666666666666</v>
      </c>
      <c r="BI149" s="794">
        <f t="shared" si="179"/>
        <v>0.16758254886032398</v>
      </c>
      <c r="BJ149" s="795">
        <f t="shared" si="179"/>
        <v>0.17898661987277911</v>
      </c>
      <c r="BK149" s="795">
        <f t="shared" si="179"/>
        <v>0.20995670995670995</v>
      </c>
      <c r="BL149" s="795">
        <f t="shared" si="179"/>
        <v>0.21579643093192333</v>
      </c>
      <c r="BM149" s="795">
        <f t="shared" si="179"/>
        <v>0.22811244979919679</v>
      </c>
      <c r="BN149" s="794">
        <f t="shared" si="179"/>
        <v>0.20730603935761141</v>
      </c>
      <c r="BO149" s="795">
        <f t="shared" si="179"/>
        <v>0.24121196222455404</v>
      </c>
      <c r="BP149" s="795">
        <f t="shared" si="179"/>
        <v>0.23766882839606004</v>
      </c>
      <c r="BQ149" s="795">
        <f t="shared" si="179"/>
        <v>0.23966438478169522</v>
      </c>
      <c r="BR149" s="795">
        <f t="shared" si="179"/>
        <v>0.24395580426595487</v>
      </c>
      <c r="BS149" s="794">
        <f t="shared" si="179"/>
        <v>0.24047092664836175</v>
      </c>
      <c r="BT149" s="795">
        <f t="shared" si="179"/>
        <v>0.24007669701279125</v>
      </c>
      <c r="BU149" s="795">
        <f t="shared" si="179"/>
        <v>0.2375781468109314</v>
      </c>
      <c r="BV149" s="795">
        <f t="shared" si="179"/>
        <v>0.23933678531143404</v>
      </c>
      <c r="BW149" s="795">
        <f t="shared" si="179"/>
        <v>0.24311547620759758</v>
      </c>
      <c r="BX149" s="794">
        <f t="shared" si="179"/>
        <v>0.23990008378281791</v>
      </c>
      <c r="BY149" s="795">
        <f t="shared" si="179"/>
        <v>0.2399508090790258</v>
      </c>
      <c r="BZ149" s="795">
        <f t="shared" si="179"/>
        <v>0.23753637440615341</v>
      </c>
      <c r="CA149" s="795">
        <f t="shared" si="179"/>
        <v>0.23906761060080192</v>
      </c>
      <c r="CB149" s="795">
        <f t="shared" si="179"/>
        <v>0.24235849434012957</v>
      </c>
      <c r="CC149" s="794">
        <f t="shared" si="179"/>
        <v>0.23961676971368823</v>
      </c>
      <c r="CD149" s="795">
        <f t="shared" si="179"/>
        <v>0.23860407783928553</v>
      </c>
      <c r="CE149" s="795">
        <f t="shared" si="179"/>
        <v>0.2362211905306385</v>
      </c>
      <c r="CF149" s="795">
        <f t="shared" si="179"/>
        <v>0.23749463980301572</v>
      </c>
      <c r="CG149" s="795">
        <f t="shared" si="179"/>
        <v>0.24024979985184053</v>
      </c>
      <c r="CH149" s="794">
        <f t="shared" si="179"/>
        <v>0.23804604489870507</v>
      </c>
      <c r="CI149" s="795">
        <f t="shared" si="179"/>
        <v>0.23767697070924773</v>
      </c>
      <c r="CJ149" s="795">
        <f t="shared" si="179"/>
        <v>0.23529123294998502</v>
      </c>
      <c r="CK149" s="795">
        <f t="shared" si="179"/>
        <v>0.23635971790729537</v>
      </c>
      <c r="CL149" s="795">
        <f t="shared" si="179"/>
        <v>0.23870459605574898</v>
      </c>
      <c r="CM149" s="794">
        <f t="shared" si="179"/>
        <v>0.2369225606409785</v>
      </c>
    </row>
    <row r="150" spans="1:91" hidden="1" x14ac:dyDescent="0.2">
      <c r="A150" s="47" t="s">
        <v>182</v>
      </c>
      <c r="B150" s="59"/>
      <c r="C150" s="59"/>
      <c r="D150" s="59"/>
      <c r="E150" s="59"/>
      <c r="F150" s="78"/>
      <c r="G150" s="59"/>
      <c r="H150" s="59"/>
      <c r="I150" s="59"/>
      <c r="J150" s="59"/>
      <c r="K150" s="78"/>
      <c r="L150" s="59"/>
      <c r="M150" s="59"/>
      <c r="N150" s="59"/>
      <c r="O150" s="59"/>
      <c r="P150" s="78"/>
      <c r="Q150" s="59"/>
      <c r="R150" s="59"/>
      <c r="S150" s="59"/>
      <c r="T150" s="59"/>
      <c r="U150" s="78"/>
      <c r="V150" s="59"/>
      <c r="W150" s="59"/>
      <c r="X150" s="59"/>
      <c r="Y150" s="59"/>
      <c r="Z150" s="27"/>
      <c r="AA150" s="59"/>
      <c r="AB150" s="59"/>
      <c r="AC150" s="59"/>
      <c r="AD150" s="59"/>
      <c r="AE150" s="78"/>
      <c r="AF150" s="59"/>
      <c r="AG150" s="59"/>
      <c r="AH150" s="59"/>
      <c r="AI150" s="59"/>
      <c r="AJ150" s="78"/>
      <c r="AK150" s="59"/>
      <c r="AL150" s="59"/>
      <c r="AM150" s="59"/>
      <c r="AN150" s="59"/>
      <c r="AO150" s="78"/>
      <c r="AP150" s="59"/>
      <c r="AQ150" s="59"/>
      <c r="AR150" s="59"/>
      <c r="AS150" s="59"/>
      <c r="AT150" s="78">
        <f ca="1">AT31/AT7</f>
        <v>5.8970418747598924E-2</v>
      </c>
      <c r="AU150" s="59">
        <f t="shared" ref="AU150:CM150" si="180">AU31/AU7</f>
        <v>6.2216338880484112E-2</v>
      </c>
      <c r="AV150" s="59">
        <f t="shared" si="180"/>
        <v>5.8215365038969305E-2</v>
      </c>
      <c r="AW150" s="59">
        <f t="shared" si="180"/>
        <v>5.9201736806947229E-2</v>
      </c>
      <c r="AX150" s="59">
        <f t="shared" si="180"/>
        <v>5.803899926416483E-2</v>
      </c>
      <c r="AY150" s="78">
        <f t="shared" si="180"/>
        <v>5.9350406539414757E-2</v>
      </c>
      <c r="AZ150" s="59">
        <f t="shared" si="180"/>
        <v>5.9564933246195502E-2</v>
      </c>
      <c r="BA150" s="59">
        <f t="shared" si="180"/>
        <v>5.3553800592300096E-2</v>
      </c>
      <c r="BB150" s="59">
        <f t="shared" si="180"/>
        <v>5.1457075347860329E-2</v>
      </c>
      <c r="BC150" s="59">
        <f t="shared" si="180"/>
        <v>5.4600000000000003E-2</v>
      </c>
      <c r="BD150" s="78">
        <f t="shared" si="180"/>
        <v>5.4702668532984153E-2</v>
      </c>
      <c r="BE150" s="59">
        <f t="shared" si="180"/>
        <v>5.2279988382224807E-2</v>
      </c>
      <c r="BF150" s="59">
        <f t="shared" si="180"/>
        <v>5.2933009371745922E-2</v>
      </c>
      <c r="BG150" s="59">
        <f t="shared" si="180"/>
        <v>5.4483380398964956E-2</v>
      </c>
      <c r="BH150" s="59">
        <f t="shared" si="180"/>
        <v>5.1559714061139676E-2</v>
      </c>
      <c r="BI150" s="78">
        <f t="shared" si="180"/>
        <v>5.2857856344497203E-2</v>
      </c>
      <c r="BJ150" s="59">
        <f t="shared" si="180"/>
        <v>5.8678881258244601E-2</v>
      </c>
      <c r="BK150" s="59">
        <f t="shared" si="180"/>
        <v>6.1292411636634923E-2</v>
      </c>
      <c r="BL150" s="59">
        <f t="shared" si="180"/>
        <v>6.1360460024322938E-2</v>
      </c>
      <c r="BM150" s="59">
        <f t="shared" si="180"/>
        <v>6.6155627370738615E-2</v>
      </c>
      <c r="BN150" s="78">
        <f t="shared" si="180"/>
        <v>6.1663249535498975E-2</v>
      </c>
      <c r="BO150" s="59">
        <f t="shared" si="180"/>
        <v>7.6327538079941512E-2</v>
      </c>
      <c r="BP150" s="59">
        <f t="shared" si="180"/>
        <v>7.2468740348921007E-2</v>
      </c>
      <c r="BQ150" s="59">
        <f t="shared" si="180"/>
        <v>7.0484417369114288E-2</v>
      </c>
      <c r="BR150" s="59">
        <f t="shared" si="180"/>
        <v>7.0899142212564339E-2</v>
      </c>
      <c r="BS150" s="78">
        <f t="shared" si="180"/>
        <v>7.2514238740863629E-2</v>
      </c>
      <c r="BT150" s="59">
        <f t="shared" si="180"/>
        <v>7.6100065729930264E-2</v>
      </c>
      <c r="BU150" s="59">
        <f t="shared" si="180"/>
        <v>7.3137639136804933E-2</v>
      </c>
      <c r="BV150" s="59">
        <f t="shared" si="180"/>
        <v>7.1064879945759427E-2</v>
      </c>
      <c r="BW150" s="59">
        <f t="shared" si="180"/>
        <v>7.1334297904825372E-2</v>
      </c>
      <c r="BX150" s="78">
        <f t="shared" si="180"/>
        <v>7.2888950781157993E-2</v>
      </c>
      <c r="BY150" s="59">
        <f t="shared" si="180"/>
        <v>7.6791509188581755E-2</v>
      </c>
      <c r="BZ150" s="59">
        <f t="shared" si="180"/>
        <v>7.3827902522655281E-2</v>
      </c>
      <c r="CA150" s="59">
        <f t="shared" si="180"/>
        <v>7.1667503112846184E-2</v>
      </c>
      <c r="CB150" s="59">
        <f t="shared" si="180"/>
        <v>7.1795957316034997E-2</v>
      </c>
      <c r="CC150" s="78">
        <f t="shared" si="180"/>
        <v>7.3502898948640247E-2</v>
      </c>
      <c r="CD150" s="59">
        <f t="shared" si="180"/>
        <v>7.7843242936310689E-2</v>
      </c>
      <c r="CE150" s="59">
        <f t="shared" si="180"/>
        <v>7.4844748792665783E-2</v>
      </c>
      <c r="CF150" s="59">
        <f t="shared" si="180"/>
        <v>7.2578404954235398E-2</v>
      </c>
      <c r="CG150" s="59">
        <f t="shared" si="180"/>
        <v>7.2553247082668096E-2</v>
      </c>
      <c r="CH150" s="78">
        <f t="shared" si="180"/>
        <v>7.4438961103504786E-2</v>
      </c>
      <c r="CI150" s="59">
        <f t="shared" si="180"/>
        <v>7.8293602533173953E-2</v>
      </c>
      <c r="CJ150" s="59">
        <f t="shared" si="180"/>
        <v>7.5273886724996728E-2</v>
      </c>
      <c r="CK150" s="59">
        <f t="shared" si="180"/>
        <v>7.293285002132377E-2</v>
      </c>
      <c r="CL150" s="59">
        <f t="shared" si="180"/>
        <v>7.2786479633955806E-2</v>
      </c>
      <c r="CM150" s="78">
        <f t="shared" si="180"/>
        <v>7.4806935771505975E-2</v>
      </c>
    </row>
    <row r="151" spans="1:91" hidden="1" x14ac:dyDescent="0.2">
      <c r="A151" s="47" t="s">
        <v>183</v>
      </c>
      <c r="B151" s="59"/>
      <c r="C151" s="59"/>
      <c r="D151" s="59"/>
      <c r="E151" s="59"/>
      <c r="F151" s="78"/>
      <c r="G151" s="59"/>
      <c r="H151" s="59"/>
      <c r="I151" s="59"/>
      <c r="J151" s="59"/>
      <c r="K151" s="78"/>
      <c r="L151" s="59"/>
      <c r="M151" s="59"/>
      <c r="N151" s="59"/>
      <c r="O151" s="59"/>
      <c r="P151" s="78"/>
      <c r="Q151" s="59"/>
      <c r="R151" s="59"/>
      <c r="S151" s="59"/>
      <c r="T151" s="59"/>
      <c r="U151" s="78"/>
      <c r="V151" s="59"/>
      <c r="W151" s="59"/>
      <c r="X151" s="59"/>
      <c r="Y151" s="59"/>
      <c r="Z151" s="27"/>
      <c r="AA151" s="59"/>
      <c r="AB151" s="59"/>
      <c r="AC151" s="59"/>
      <c r="AD151" s="59"/>
      <c r="AE151" s="78"/>
      <c r="AF151" s="59"/>
      <c r="AG151" s="59"/>
      <c r="AH151" s="59"/>
      <c r="AI151" s="59"/>
      <c r="AJ151" s="78"/>
      <c r="AK151" s="59"/>
      <c r="AL151" s="59"/>
      <c r="AM151" s="59"/>
      <c r="AN151" s="59"/>
      <c r="AO151" s="78"/>
      <c r="AP151" s="59"/>
      <c r="AQ151" s="59"/>
      <c r="AR151" s="59"/>
      <c r="AS151" s="59"/>
      <c r="AT151" s="78">
        <f ca="1">AT62/AT7</f>
        <v>9.9137747044009045E-2</v>
      </c>
      <c r="AU151" s="59">
        <f t="shared" ref="AU151:CM151" si="181">AU62/AU7</f>
        <v>0.10722390317700455</v>
      </c>
      <c r="AV151" s="59">
        <f t="shared" si="181"/>
        <v>0.11014792428821378</v>
      </c>
      <c r="AW151" s="59">
        <f t="shared" si="181"/>
        <v>0.10370741482965933</v>
      </c>
      <c r="AX151" s="59">
        <f t="shared" si="181"/>
        <v>9.9613686534216331E-2</v>
      </c>
      <c r="AY151" s="78">
        <f t="shared" si="181"/>
        <v>0.10530892647506414</v>
      </c>
      <c r="AZ151" s="59">
        <f t="shared" si="181"/>
        <v>9.9710577910559234E-2</v>
      </c>
      <c r="BA151" s="59">
        <f t="shared" si="181"/>
        <v>0.10562685093780849</v>
      </c>
      <c r="BB151" s="59">
        <f t="shared" si="181"/>
        <v>0.10291415069572066</v>
      </c>
      <c r="BC151" s="59">
        <f t="shared" si="181"/>
        <v>0.10150000000000001</v>
      </c>
      <c r="BD151" s="78">
        <f t="shared" si="181"/>
        <v>0.10256468144669707</v>
      </c>
      <c r="BE151" s="59">
        <f t="shared" si="181"/>
        <v>0.10349501403814503</v>
      </c>
      <c r="BF151" s="59">
        <f t="shared" si="181"/>
        <v>0.11263450190905935</v>
      </c>
      <c r="BG151" s="59">
        <f t="shared" si="181"/>
        <v>0.12511891888452442</v>
      </c>
      <c r="BH151" s="59">
        <f t="shared" si="181"/>
        <v>0.12399549557018419</v>
      </c>
      <c r="BI151" s="78">
        <f t="shared" si="181"/>
        <v>0.11609335793561984</v>
      </c>
      <c r="BJ151" s="59">
        <f t="shared" si="181"/>
        <v>0.12829392339701123</v>
      </c>
      <c r="BK151" s="59">
        <f t="shared" si="181"/>
        <v>0.14112953439729325</v>
      </c>
      <c r="BL151" s="59">
        <f t="shared" si="181"/>
        <v>0.1471139751318363</v>
      </c>
      <c r="BM151" s="59">
        <f t="shared" si="181"/>
        <v>0.16013666455699627</v>
      </c>
      <c r="BN151" s="78">
        <f t="shared" si="181"/>
        <v>0.14337096490454818</v>
      </c>
      <c r="BO151" s="59">
        <f t="shared" si="181"/>
        <v>0.15968696800641491</v>
      </c>
      <c r="BP151" s="59">
        <f t="shared" si="181"/>
        <v>0.16267085447829813</v>
      </c>
      <c r="BQ151" s="59">
        <f t="shared" si="181"/>
        <v>0.16349640449990052</v>
      </c>
      <c r="BR151" s="59">
        <f t="shared" si="181"/>
        <v>0.16652745190701035</v>
      </c>
      <c r="BS151" s="78">
        <f t="shared" si="181"/>
        <v>0.16305693642104743</v>
      </c>
      <c r="BT151" s="59">
        <f t="shared" si="181"/>
        <v>0.15719051047883556</v>
      </c>
      <c r="BU151" s="59">
        <f t="shared" si="181"/>
        <v>0.1602634690096586</v>
      </c>
      <c r="BV151" s="59">
        <f t="shared" si="181"/>
        <v>0.16091802186730114</v>
      </c>
      <c r="BW151" s="59">
        <f t="shared" si="181"/>
        <v>0.16356026798573181</v>
      </c>
      <c r="BX151" s="78">
        <f t="shared" si="181"/>
        <v>0.16046058027556745</v>
      </c>
      <c r="BY151" s="59">
        <f t="shared" si="181"/>
        <v>0.15484210320242178</v>
      </c>
      <c r="BZ151" s="59">
        <f t="shared" si="181"/>
        <v>0.15792420461087986</v>
      </c>
      <c r="CA151" s="59">
        <f t="shared" si="181"/>
        <v>0.1584187195987051</v>
      </c>
      <c r="CB151" s="59">
        <f t="shared" si="181"/>
        <v>0.1606992979054177</v>
      </c>
      <c r="CC151" s="78">
        <f t="shared" si="181"/>
        <v>0.15795947949527805</v>
      </c>
      <c r="CD151" s="59">
        <f t="shared" si="181"/>
        <v>0.15322560519554024</v>
      </c>
      <c r="CE151" s="59">
        <f t="shared" si="181"/>
        <v>0.15628743713381463</v>
      </c>
      <c r="CF151" s="59">
        <f t="shared" si="181"/>
        <v>0.15661242372350537</v>
      </c>
      <c r="CG151" s="59">
        <f t="shared" si="181"/>
        <v>0.15852779128882449</v>
      </c>
      <c r="CH151" s="78">
        <f t="shared" si="181"/>
        <v>0.15616226364923719</v>
      </c>
      <c r="CI151" s="59">
        <f t="shared" si="181"/>
        <v>0.15188931655648066</v>
      </c>
      <c r="CJ151" s="59">
        <f t="shared" si="181"/>
        <v>0.15491647331581468</v>
      </c>
      <c r="CK151" s="59">
        <f t="shared" si="181"/>
        <v>0.15510739436991455</v>
      </c>
      <c r="CL151" s="59">
        <f t="shared" si="181"/>
        <v>0.15674359235783489</v>
      </c>
      <c r="CM151" s="78">
        <f t="shared" si="181"/>
        <v>0.15467074737247419</v>
      </c>
    </row>
    <row r="152" spans="1:91" x14ac:dyDescent="0.2">
      <c r="A152" s="47" t="s">
        <v>14</v>
      </c>
      <c r="B152" s="59"/>
      <c r="C152" s="59"/>
      <c r="D152" s="59"/>
      <c r="E152" s="59"/>
      <c r="F152" s="78"/>
      <c r="G152" s="59"/>
      <c r="H152" s="59"/>
      <c r="I152" s="59"/>
      <c r="J152" s="59"/>
      <c r="K152" s="78"/>
      <c r="L152" s="59"/>
      <c r="M152" s="59"/>
      <c r="N152" s="59"/>
      <c r="O152" s="59"/>
      <c r="P152" s="78"/>
      <c r="Q152" s="59"/>
      <c r="R152" s="59"/>
      <c r="S152" s="59"/>
      <c r="T152" s="59"/>
      <c r="U152" s="78"/>
      <c r="V152" s="59"/>
      <c r="W152" s="59"/>
      <c r="X152" s="59"/>
      <c r="Y152" s="59"/>
      <c r="Z152" s="27"/>
      <c r="AA152" s="59"/>
      <c r="AB152" s="59"/>
      <c r="AC152" s="59"/>
      <c r="AD152" s="59"/>
      <c r="AE152" s="78"/>
      <c r="AF152" s="59"/>
      <c r="AG152" s="59"/>
      <c r="AH152" s="59"/>
      <c r="AI152" s="59"/>
      <c r="AJ152" s="78"/>
      <c r="AK152" s="59"/>
      <c r="AL152" s="59"/>
      <c r="AM152" s="59"/>
      <c r="AN152" s="59"/>
      <c r="AO152" s="78"/>
      <c r="AP152" s="59"/>
      <c r="AQ152" s="59"/>
      <c r="AR152" s="59"/>
      <c r="AS152" s="59"/>
      <c r="AT152" s="78">
        <f t="shared" ref="AT152:CM152" ca="1" si="182">AT74/AT7</f>
        <v>0.10133606522388697</v>
      </c>
      <c r="AU152" s="59">
        <f t="shared" si="182"/>
        <v>0.10344175491679274</v>
      </c>
      <c r="AV152" s="59">
        <f t="shared" si="182"/>
        <v>8.7879751868935901E-2</v>
      </c>
      <c r="AW152" s="59">
        <f t="shared" si="182"/>
        <v>9.6943887775551102E-2</v>
      </c>
      <c r="AX152" s="59">
        <f t="shared" si="182"/>
        <v>0.1137785136129507</v>
      </c>
      <c r="AY152" s="78">
        <f t="shared" si="182"/>
        <v>9.9939127788164703E-2</v>
      </c>
      <c r="AZ152" s="59">
        <f t="shared" si="182"/>
        <v>9.7749976659508922E-2</v>
      </c>
      <c r="BA152" s="59">
        <f t="shared" si="182"/>
        <v>7.8562026982560054E-2</v>
      </c>
      <c r="BB152" s="59">
        <f t="shared" si="182"/>
        <v>8.6899448674192706E-2</v>
      </c>
      <c r="BC152" s="59">
        <f t="shared" si="182"/>
        <v>0.1004</v>
      </c>
      <c r="BD152" s="78">
        <f t="shared" si="182"/>
        <v>9.0283108321668845E-2</v>
      </c>
      <c r="BE152" s="59">
        <f t="shared" si="182"/>
        <v>8.8779165456481748E-2</v>
      </c>
      <c r="BF152" s="59">
        <f t="shared" si="182"/>
        <v>7.9920166608816387E-2</v>
      </c>
      <c r="BG152" s="59">
        <f t="shared" si="182"/>
        <v>8.9309241483154528E-2</v>
      </c>
      <c r="BH152" s="59">
        <f t="shared" si="182"/>
        <v>0.10229333333333333</v>
      </c>
      <c r="BI152" s="78">
        <f t="shared" si="182"/>
        <v>8.9501600802790654E-2</v>
      </c>
      <c r="BJ152" s="59">
        <f t="shared" si="182"/>
        <v>0.10013160780872998</v>
      </c>
      <c r="BK152" s="59">
        <f t="shared" si="182"/>
        <v>9.6371882086167801E-2</v>
      </c>
      <c r="BL152" s="59">
        <f t="shared" si="182"/>
        <v>0.11114782991848425</v>
      </c>
      <c r="BM152" s="59">
        <f t="shared" si="182"/>
        <v>0.14712182061579651</v>
      </c>
      <c r="BN152" s="78">
        <f t="shared" si="182"/>
        <v>0.11185252205383397</v>
      </c>
      <c r="BO152" s="59">
        <f t="shared" si="182"/>
        <v>0.1284102833158447</v>
      </c>
      <c r="BP152" s="59">
        <f t="shared" si="182"/>
        <v>0.1178149410937345</v>
      </c>
      <c r="BQ152" s="59">
        <f t="shared" si="182"/>
        <v>0.13208866777276074</v>
      </c>
      <c r="BR152" s="59">
        <f t="shared" si="182"/>
        <v>0.16536235941488428</v>
      </c>
      <c r="BS152" s="78">
        <f t="shared" si="182"/>
        <v>0.13493257048950902</v>
      </c>
      <c r="BT152" s="59">
        <f t="shared" si="182"/>
        <v>0.13418385217316109</v>
      </c>
      <c r="BU152" s="59">
        <f t="shared" si="182"/>
        <v>0.12399820986379695</v>
      </c>
      <c r="BV152" s="59">
        <f t="shared" si="182"/>
        <v>0.13888402445172937</v>
      </c>
      <c r="BW152" s="59">
        <f t="shared" si="182"/>
        <v>0.1735077550539047</v>
      </c>
      <c r="BX152" s="78">
        <f t="shared" si="182"/>
        <v>0.14165380476431713</v>
      </c>
      <c r="BY152" s="59">
        <f t="shared" si="182"/>
        <v>0.14056125477278467</v>
      </c>
      <c r="BZ152" s="59">
        <f t="shared" si="182"/>
        <v>0.12993681197924173</v>
      </c>
      <c r="CA152" s="59">
        <f t="shared" si="182"/>
        <v>0.14539743288003842</v>
      </c>
      <c r="CB152" s="59">
        <f t="shared" si="182"/>
        <v>0.18128325441903401</v>
      </c>
      <c r="CC152" s="78">
        <f t="shared" si="182"/>
        <v>0.14828875266394134</v>
      </c>
      <c r="CD152" s="59">
        <f t="shared" si="182"/>
        <v>0.14723592255104073</v>
      </c>
      <c r="CE152" s="59">
        <f t="shared" si="182"/>
        <v>0.13611733924229114</v>
      </c>
      <c r="CF152" s="59">
        <f t="shared" si="182"/>
        <v>0.1521536319066796</v>
      </c>
      <c r="CG152" s="59">
        <f t="shared" si="182"/>
        <v>0.18930190802130373</v>
      </c>
      <c r="CH152" s="78">
        <f t="shared" si="182"/>
        <v>0.15518312263207218</v>
      </c>
      <c r="CI152" s="59">
        <f t="shared" si="182"/>
        <v>0.15235951333662137</v>
      </c>
      <c r="CJ152" s="59">
        <f t="shared" si="182"/>
        <v>0.14084677120824099</v>
      </c>
      <c r="CK152" s="59">
        <f t="shared" si="182"/>
        <v>0.15730717332862437</v>
      </c>
      <c r="CL152" s="59">
        <f t="shared" si="182"/>
        <v>0.19538863138421594</v>
      </c>
      <c r="CM152" s="78">
        <f t="shared" si="182"/>
        <v>0.1604488051422116</v>
      </c>
    </row>
    <row r="153" spans="1:91" x14ac:dyDescent="0.2">
      <c r="A153" s="47" t="s">
        <v>13</v>
      </c>
      <c r="B153" s="59"/>
      <c r="C153" s="59"/>
      <c r="D153" s="59"/>
      <c r="E153" s="59"/>
      <c r="F153" s="78"/>
      <c r="G153" s="59"/>
      <c r="H153" s="59"/>
      <c r="I153" s="59"/>
      <c r="J153" s="59"/>
      <c r="K153" s="78"/>
      <c r="L153" s="59"/>
      <c r="M153" s="59"/>
      <c r="N153" s="59"/>
      <c r="O153" s="59"/>
      <c r="P153" s="78"/>
      <c r="Q153" s="59"/>
      <c r="R153" s="59"/>
      <c r="S153" s="59"/>
      <c r="T153" s="59"/>
      <c r="U153" s="78"/>
      <c r="V153" s="59"/>
      <c r="W153" s="59"/>
      <c r="X153" s="59"/>
      <c r="Y153" s="59"/>
      <c r="Z153" s="27"/>
      <c r="AA153" s="59"/>
      <c r="AB153" s="59"/>
      <c r="AC153" s="59"/>
      <c r="AD153" s="59"/>
      <c r="AE153" s="78"/>
      <c r="AF153" s="59"/>
      <c r="AG153" s="59"/>
      <c r="AH153" s="59"/>
      <c r="AI153" s="59"/>
      <c r="AJ153" s="78"/>
      <c r="AK153" s="59"/>
      <c r="AL153" s="59"/>
      <c r="AM153" s="59"/>
      <c r="AN153" s="59"/>
      <c r="AO153" s="78"/>
      <c r="AP153" s="59"/>
      <c r="AQ153" s="59"/>
      <c r="AR153" s="59"/>
      <c r="AS153" s="59"/>
      <c r="AT153" s="78">
        <f t="shared" ref="AT153:CM153" ca="1" si="183">AT96/AT7</f>
        <v>0.10771759081401801</v>
      </c>
      <c r="AU153" s="59">
        <f t="shared" si="183"/>
        <v>0.10561649016641453</v>
      </c>
      <c r="AV153" s="59">
        <f t="shared" si="183"/>
        <v>0.10561476061714649</v>
      </c>
      <c r="AW153" s="59">
        <f t="shared" si="183"/>
        <v>0.10688042752171009</v>
      </c>
      <c r="AX153" s="59">
        <f t="shared" si="183"/>
        <v>0.11497424576894776</v>
      </c>
      <c r="AY153" s="78">
        <f t="shared" si="183"/>
        <v>0.10815687638592983</v>
      </c>
      <c r="AZ153" s="59">
        <f t="shared" si="183"/>
        <v>0.119129866492391</v>
      </c>
      <c r="BA153" s="59">
        <f t="shared" si="183"/>
        <v>0.12282000658111221</v>
      </c>
      <c r="BB153" s="59">
        <f t="shared" si="183"/>
        <v>0.12846766430384177</v>
      </c>
      <c r="BC153" s="59">
        <f t="shared" si="183"/>
        <v>0.13439999999999999</v>
      </c>
      <c r="BD153" s="78">
        <f t="shared" si="183"/>
        <v>0.12599900663746783</v>
      </c>
      <c r="BE153" s="59">
        <f t="shared" si="183"/>
        <v>0.13738019169329074</v>
      </c>
      <c r="BF153" s="59">
        <f t="shared" si="183"/>
        <v>0.14500173550850398</v>
      </c>
      <c r="BG153" s="59">
        <f t="shared" si="183"/>
        <v>0.15603237342367776</v>
      </c>
      <c r="BH153" s="59">
        <f t="shared" si="183"/>
        <v>0.17824000000000001</v>
      </c>
      <c r="BI153" s="78">
        <f t="shared" si="183"/>
        <v>0.15336646437616477</v>
      </c>
      <c r="BJ153" s="59">
        <f t="shared" si="183"/>
        <v>0.18128975652555385</v>
      </c>
      <c r="BK153" s="59">
        <f t="shared" si="183"/>
        <v>0.23974438260152545</v>
      </c>
      <c r="BL153" s="59">
        <f t="shared" si="183"/>
        <v>0.25864727913637364</v>
      </c>
      <c r="BM153" s="59">
        <f t="shared" si="183"/>
        <v>0.33052208835341368</v>
      </c>
      <c r="BN153" s="78">
        <f t="shared" si="183"/>
        <v>0.24869938927844379</v>
      </c>
      <c r="BO153" s="59">
        <f t="shared" si="183"/>
        <v>0.34430745015739767</v>
      </c>
      <c r="BP153" s="59">
        <f t="shared" si="183"/>
        <v>0.37033611871295974</v>
      </c>
      <c r="BQ153" s="59">
        <f t="shared" si="183"/>
        <v>0.37449741150645655</v>
      </c>
      <c r="BR153" s="59">
        <f t="shared" si="183"/>
        <v>0.40116047999048654</v>
      </c>
      <c r="BS153" s="78">
        <f t="shared" si="183"/>
        <v>0.37227000144289829</v>
      </c>
      <c r="BT153" s="59">
        <f t="shared" si="183"/>
        <v>0.34185478184185736</v>
      </c>
      <c r="BU153" s="59">
        <f t="shared" si="183"/>
        <v>0.36663525289495819</v>
      </c>
      <c r="BV153" s="59">
        <f t="shared" si="183"/>
        <v>0.37038949302609359</v>
      </c>
      <c r="BW153" s="59">
        <f t="shared" si="183"/>
        <v>0.39593462061968815</v>
      </c>
      <c r="BX153" s="78">
        <f t="shared" si="183"/>
        <v>0.3684522139319934</v>
      </c>
      <c r="BY153" s="59">
        <f t="shared" si="183"/>
        <v>0.33839018340676269</v>
      </c>
      <c r="BZ153" s="59">
        <f t="shared" si="183"/>
        <v>0.36304606977708032</v>
      </c>
      <c r="CA153" s="59">
        <f t="shared" si="183"/>
        <v>0.36641549537768847</v>
      </c>
      <c r="CB153" s="59">
        <f t="shared" si="183"/>
        <v>0.39090660033884267</v>
      </c>
      <c r="CC153" s="78">
        <f t="shared" si="183"/>
        <v>0.36447845823826713</v>
      </c>
      <c r="CD153" s="59">
        <f t="shared" si="183"/>
        <v>0.33583757767273026</v>
      </c>
      <c r="CE153" s="59">
        <f t="shared" si="183"/>
        <v>0.3603349270807093</v>
      </c>
      <c r="CF153" s="59">
        <f t="shared" si="183"/>
        <v>0.3632978205148405</v>
      </c>
      <c r="CG153" s="59">
        <f t="shared" si="183"/>
        <v>0.38675299197841256</v>
      </c>
      <c r="CH153" s="78">
        <f t="shared" si="183"/>
        <v>0.36138615991804607</v>
      </c>
      <c r="CI153" s="59">
        <f t="shared" si="183"/>
        <v>0.33388308731147431</v>
      </c>
      <c r="CJ153" s="59">
        <f t="shared" si="183"/>
        <v>0.35821943252634492</v>
      </c>
      <c r="CK153" s="59">
        <f t="shared" si="183"/>
        <v>0.36085965805166897</v>
      </c>
      <c r="CL153" s="59">
        <f t="shared" si="183"/>
        <v>0.38351938355207932</v>
      </c>
      <c r="CM153" s="78">
        <f t="shared" si="183"/>
        <v>0.35898214969093745</v>
      </c>
    </row>
    <row r="154" spans="1:91" x14ac:dyDescent="0.2">
      <c r="A154" s="47" t="s">
        <v>184</v>
      </c>
      <c r="B154" s="59"/>
      <c r="C154" s="59"/>
      <c r="D154" s="59"/>
      <c r="E154" s="59"/>
      <c r="F154" s="78"/>
      <c r="G154" s="59"/>
      <c r="H154" s="59"/>
      <c r="I154" s="59"/>
      <c r="J154" s="59"/>
      <c r="K154" s="78"/>
      <c r="L154" s="59"/>
      <c r="M154" s="59"/>
      <c r="N154" s="59"/>
      <c r="O154" s="59"/>
      <c r="P154" s="78"/>
      <c r="Q154" s="59"/>
      <c r="R154" s="59"/>
      <c r="S154" s="59"/>
      <c r="T154" s="59"/>
      <c r="U154" s="78"/>
      <c r="V154" s="59"/>
      <c r="W154" s="59"/>
      <c r="X154" s="59"/>
      <c r="Y154" s="59"/>
      <c r="Z154" s="27"/>
      <c r="AA154" s="59"/>
      <c r="AB154" s="59"/>
      <c r="AC154" s="59"/>
      <c r="AD154" s="59"/>
      <c r="AE154" s="78"/>
      <c r="AF154" s="59"/>
      <c r="AG154" s="59"/>
      <c r="AH154" s="59"/>
      <c r="AI154" s="59"/>
      <c r="AJ154" s="78"/>
      <c r="AK154" s="59"/>
      <c r="AL154" s="59"/>
      <c r="AM154" s="59"/>
      <c r="AN154" s="59"/>
      <c r="AO154" s="78"/>
      <c r="AP154" s="59"/>
      <c r="AQ154" s="59"/>
      <c r="AR154" s="59"/>
      <c r="AS154" s="59"/>
      <c r="AT154" s="78">
        <f t="shared" ref="AT154:CM154" ca="1" si="184">AT107/AT7</f>
        <v>0.11465403167285611</v>
      </c>
      <c r="AU154" s="59">
        <f t="shared" si="184"/>
        <v>0.11440998487140695</v>
      </c>
      <c r="AV154" s="59">
        <f t="shared" si="184"/>
        <v>0.12327024017814538</v>
      </c>
      <c r="AW154" s="59">
        <f t="shared" si="184"/>
        <v>0.11865397461589847</v>
      </c>
      <c r="AX154" s="59">
        <f t="shared" si="184"/>
        <v>9.8969830757910229E-2</v>
      </c>
      <c r="AY154" s="78">
        <f t="shared" si="184"/>
        <v>0.11428757772077047</v>
      </c>
      <c r="AZ154" s="59">
        <f t="shared" si="184"/>
        <v>0.10792643077210344</v>
      </c>
      <c r="BA154" s="59">
        <f t="shared" si="184"/>
        <v>0.11623889437314906</v>
      </c>
      <c r="BB154" s="59">
        <f t="shared" si="184"/>
        <v>0.10912750503194189</v>
      </c>
      <c r="BC154" s="59">
        <f t="shared" si="184"/>
        <v>8.9099999999999999E-2</v>
      </c>
      <c r="BD154" s="78">
        <f t="shared" si="184"/>
        <v>0.1062672145211541</v>
      </c>
      <c r="BE154" s="59">
        <f t="shared" si="184"/>
        <v>0.10668990221705876</v>
      </c>
      <c r="BF154" s="59">
        <f t="shared" si="184"/>
        <v>0.12157237070461645</v>
      </c>
      <c r="BG154" s="59">
        <f t="shared" si="184"/>
        <v>0.12375305853566723</v>
      </c>
      <c r="BH154" s="59">
        <f t="shared" si="184"/>
        <v>0.10346666666666667</v>
      </c>
      <c r="BI154" s="78">
        <f t="shared" si="184"/>
        <v>0.11439766808429302</v>
      </c>
      <c r="BJ154" s="59">
        <f t="shared" si="184"/>
        <v>0.11822768150910287</v>
      </c>
      <c r="BK154" s="59">
        <f t="shared" si="184"/>
        <v>0.14265099979385693</v>
      </c>
      <c r="BL154" s="59">
        <f t="shared" si="184"/>
        <v>0.14816038775060586</v>
      </c>
      <c r="BM154" s="59">
        <f t="shared" si="184"/>
        <v>0.12851405622489959</v>
      </c>
      <c r="BN154" s="78">
        <f t="shared" si="184"/>
        <v>0.13478285455779235</v>
      </c>
      <c r="BO154" s="59">
        <f t="shared" si="184"/>
        <v>0.1458551941238195</v>
      </c>
      <c r="BP154" s="59">
        <f t="shared" si="184"/>
        <v>0.15979850799717013</v>
      </c>
      <c r="BQ154" s="59">
        <f t="shared" si="184"/>
        <v>0.15580517415301431</v>
      </c>
      <c r="BR154" s="59">
        <f t="shared" si="184"/>
        <v>0.129690749416042</v>
      </c>
      <c r="BS154" s="78">
        <f t="shared" si="184"/>
        <v>0.14854404027253809</v>
      </c>
      <c r="BT154" s="59">
        <f t="shared" si="184"/>
        <v>0.14534888830778503</v>
      </c>
      <c r="BU154" s="59">
        <f t="shared" si="184"/>
        <v>0.15896956858906849</v>
      </c>
      <c r="BV154" s="59">
        <f t="shared" si="184"/>
        <v>0.15484416317983982</v>
      </c>
      <c r="BW154" s="59">
        <f t="shared" si="184"/>
        <v>0.12862265230956926</v>
      </c>
      <c r="BX154" s="78">
        <f t="shared" si="184"/>
        <v>0.14769319017131571</v>
      </c>
      <c r="BY154" s="59">
        <f t="shared" si="184"/>
        <v>0.14457424605795452</v>
      </c>
      <c r="BZ154" s="59">
        <f t="shared" si="184"/>
        <v>0.15817747522033418</v>
      </c>
      <c r="CA154" s="59">
        <f t="shared" si="184"/>
        <v>0.15392640887886894</v>
      </c>
      <c r="CB154" s="59">
        <f t="shared" si="184"/>
        <v>0.12760571084043867</v>
      </c>
      <c r="CC154" s="78">
        <f t="shared" si="184"/>
        <v>0.14680954454280906</v>
      </c>
      <c r="CD154" s="59">
        <f t="shared" si="184"/>
        <v>0.14446069644988316</v>
      </c>
      <c r="CE154" s="59">
        <f t="shared" si="184"/>
        <v>0.15806528358850447</v>
      </c>
      <c r="CF154" s="59">
        <f t="shared" si="184"/>
        <v>0.15365593287554169</v>
      </c>
      <c r="CG154" s="59">
        <f t="shared" si="184"/>
        <v>0.12710950428266551</v>
      </c>
      <c r="CH154" s="78">
        <f t="shared" si="184"/>
        <v>0.14655518142220805</v>
      </c>
      <c r="CI154" s="59">
        <f t="shared" si="184"/>
        <v>0.14459792847999298</v>
      </c>
      <c r="CJ154" s="59">
        <f t="shared" si="184"/>
        <v>0.15820729730368605</v>
      </c>
      <c r="CK154" s="59">
        <f t="shared" si="184"/>
        <v>0.15366399134107225</v>
      </c>
      <c r="CL154" s="59">
        <f t="shared" si="184"/>
        <v>0.12690504768317246</v>
      </c>
      <c r="CM154" s="78">
        <f t="shared" si="184"/>
        <v>0.14657157350216787</v>
      </c>
    </row>
    <row r="155" spans="1:91" x14ac:dyDescent="0.2">
      <c r="A155" s="47" t="s">
        <v>185</v>
      </c>
      <c r="B155" s="59"/>
      <c r="C155" s="59"/>
      <c r="D155" s="59"/>
      <c r="E155" s="59"/>
      <c r="F155" s="78"/>
      <c r="G155" s="59"/>
      <c r="H155" s="59"/>
      <c r="I155" s="59"/>
      <c r="J155" s="59"/>
      <c r="K155" s="78"/>
      <c r="L155" s="59"/>
      <c r="M155" s="59"/>
      <c r="N155" s="59"/>
      <c r="O155" s="59"/>
      <c r="P155" s="78"/>
      <c r="Q155" s="59"/>
      <c r="R155" s="59"/>
      <c r="S155" s="59"/>
      <c r="T155" s="59"/>
      <c r="U155" s="78"/>
      <c r="V155" s="59"/>
      <c r="W155" s="59"/>
      <c r="X155" s="59"/>
      <c r="Y155" s="59"/>
      <c r="Z155" s="27"/>
      <c r="AA155" s="59"/>
      <c r="AB155" s="59"/>
      <c r="AC155" s="59"/>
      <c r="AD155" s="59"/>
      <c r="AE155" s="78"/>
      <c r="AF155" s="59"/>
      <c r="AG155" s="59"/>
      <c r="AH155" s="59"/>
      <c r="AI155" s="59"/>
      <c r="AJ155" s="78"/>
      <c r="AK155" s="59"/>
      <c r="AL155" s="59"/>
      <c r="AM155" s="59"/>
      <c r="AN155" s="59"/>
      <c r="AO155" s="78"/>
      <c r="AP155" s="59"/>
      <c r="AQ155" s="59"/>
      <c r="AR155" s="59"/>
      <c r="AS155" s="59"/>
      <c r="AT155" s="78">
        <f t="shared" ref="AT155:CM155" ca="1" si="185">AT128/AT7</f>
        <v>0.51489734067528925</v>
      </c>
      <c r="AU155" s="59">
        <f t="shared" si="185"/>
        <v>0.50397125567322243</v>
      </c>
      <c r="AV155" s="59">
        <f t="shared" si="185"/>
        <v>0.51089549864800377</v>
      </c>
      <c r="AW155" s="59">
        <f t="shared" si="185"/>
        <v>0.51102204408817631</v>
      </c>
      <c r="AX155" s="59">
        <f t="shared" si="185"/>
        <v>0.51370493009565854</v>
      </c>
      <c r="AY155" s="78">
        <f t="shared" si="185"/>
        <v>0.51000043480151314</v>
      </c>
      <c r="AZ155" s="59">
        <f t="shared" si="185"/>
        <v>0.51218373634581271</v>
      </c>
      <c r="BA155" s="59">
        <f t="shared" si="185"/>
        <v>0.52114182296808165</v>
      </c>
      <c r="BB155" s="59">
        <f t="shared" si="185"/>
        <v>0.51632099413669374</v>
      </c>
      <c r="BC155" s="59">
        <f t="shared" si="185"/>
        <v>0.51639999999999997</v>
      </c>
      <c r="BD155" s="78">
        <f t="shared" si="185"/>
        <v>0.51666139883505668</v>
      </c>
      <c r="BE155" s="59">
        <f t="shared" si="185"/>
        <v>0.50837447962048599</v>
      </c>
      <c r="BF155" s="59">
        <f t="shared" si="185"/>
        <v>0.48342589378687956</v>
      </c>
      <c r="BG155" s="59">
        <f t="shared" si="185"/>
        <v>0.4525691699604743</v>
      </c>
      <c r="BH155" s="59">
        <f t="shared" si="185"/>
        <v>0.43946666666666667</v>
      </c>
      <c r="BI155" s="78">
        <f t="shared" si="185"/>
        <v>0.47190232713719121</v>
      </c>
      <c r="BJ155" s="59">
        <f t="shared" si="185"/>
        <v>0.41818381223952622</v>
      </c>
      <c r="BK155" s="59">
        <f t="shared" si="185"/>
        <v>0.30663780663780665</v>
      </c>
      <c r="BL155" s="59">
        <f t="shared" si="185"/>
        <v>0.26096056400088125</v>
      </c>
      <c r="BM155" s="59">
        <f t="shared" si="185"/>
        <v>0.16358768406961177</v>
      </c>
      <c r="BN155" s="78">
        <f t="shared" si="185"/>
        <v>0.29345736258764987</v>
      </c>
      <c r="BO155" s="59">
        <f t="shared" si="185"/>
        <v>0.13785414480587618</v>
      </c>
      <c r="BP155" s="59">
        <f t="shared" si="185"/>
        <v>0.10897299190562469</v>
      </c>
      <c r="BQ155" s="59">
        <f t="shared" si="185"/>
        <v>9.1871555037783437E-2</v>
      </c>
      <c r="BR155" s="59">
        <f t="shared" si="185"/>
        <v>5.753679172536439E-2</v>
      </c>
      <c r="BS155" s="78">
        <f t="shared" si="185"/>
        <v>9.9641250766289491E-2</v>
      </c>
      <c r="BT155" s="59">
        <f t="shared" si="185"/>
        <v>0.13614527771845639</v>
      </c>
      <c r="BU155" s="59">
        <f t="shared" si="185"/>
        <v>0.10736028753993408</v>
      </c>
      <c r="BV155" s="59">
        <f t="shared" si="185"/>
        <v>9.0422715702974304E-2</v>
      </c>
      <c r="BW155" s="59">
        <f t="shared" si="185"/>
        <v>5.6511601936327184E-2</v>
      </c>
      <c r="BX155" s="78">
        <f t="shared" si="185"/>
        <v>9.8122056526590826E-2</v>
      </c>
      <c r="BY155" s="59">
        <f t="shared" si="185"/>
        <v>0.13411128368236952</v>
      </c>
      <c r="BZ155" s="59">
        <f t="shared" si="185"/>
        <v>0.10579321738953268</v>
      </c>
      <c r="CA155" s="59">
        <f t="shared" si="185"/>
        <v>8.9018313039639169E-2</v>
      </c>
      <c r="CB155" s="59">
        <f t="shared" si="185"/>
        <v>5.5523110022480747E-2</v>
      </c>
      <c r="CC155" s="78">
        <f t="shared" si="185"/>
        <v>9.6592626982457339E-2</v>
      </c>
      <c r="CD155" s="59">
        <f t="shared" si="185"/>
        <v>0.13141646476649979</v>
      </c>
      <c r="CE155" s="59">
        <f t="shared" si="185"/>
        <v>0.10367531730733394</v>
      </c>
      <c r="CF155" s="59">
        <f t="shared" si="185"/>
        <v>8.7144754062782742E-2</v>
      </c>
      <c r="CG155" s="59">
        <f t="shared" si="185"/>
        <v>5.42384650681094E-2</v>
      </c>
      <c r="CH155" s="78">
        <f t="shared" si="185"/>
        <v>9.4561979760754075E-2</v>
      </c>
      <c r="CI155" s="59">
        <f t="shared" si="185"/>
        <v>0.12899944431332314</v>
      </c>
      <c r="CJ155" s="59">
        <f t="shared" si="185"/>
        <v>0.10176327665337348</v>
      </c>
      <c r="CK155" s="59">
        <f t="shared" si="185"/>
        <v>8.5465279443007788E-2</v>
      </c>
      <c r="CL155" s="59">
        <f t="shared" si="185"/>
        <v>5.3104821659823172E-2</v>
      </c>
      <c r="CM155" s="78">
        <f t="shared" si="185"/>
        <v>9.2745067429260766E-2</v>
      </c>
    </row>
    <row r="156" spans="1:91" x14ac:dyDescent="0.2">
      <c r="A156" s="47" t="s">
        <v>186</v>
      </c>
      <c r="B156" s="59"/>
      <c r="C156" s="59"/>
      <c r="D156" s="59"/>
      <c r="E156" s="59"/>
      <c r="F156" s="78"/>
      <c r="G156" s="59"/>
      <c r="H156" s="59"/>
      <c r="I156" s="59"/>
      <c r="J156" s="59"/>
      <c r="K156" s="78"/>
      <c r="L156" s="59"/>
      <c r="M156" s="59"/>
      <c r="N156" s="59"/>
      <c r="O156" s="59"/>
      <c r="P156" s="78"/>
      <c r="Q156" s="59"/>
      <c r="R156" s="59"/>
      <c r="S156" s="59"/>
      <c r="T156" s="59"/>
      <c r="U156" s="78"/>
      <c r="V156" s="59"/>
      <c r="W156" s="59"/>
      <c r="X156" s="59"/>
      <c r="Y156" s="59"/>
      <c r="Z156" s="27"/>
      <c r="AA156" s="59"/>
      <c r="AB156" s="59"/>
      <c r="AC156" s="59"/>
      <c r="AD156" s="59"/>
      <c r="AE156" s="78"/>
      <c r="AF156" s="59"/>
      <c r="AG156" s="59"/>
      <c r="AH156" s="59"/>
      <c r="AI156" s="59"/>
      <c r="AJ156" s="78"/>
      <c r="AK156" s="59"/>
      <c r="AL156" s="59"/>
      <c r="AM156" s="59"/>
      <c r="AN156" s="59"/>
      <c r="AO156" s="78"/>
      <c r="AP156" s="59"/>
      <c r="AQ156" s="59"/>
      <c r="AR156" s="59"/>
      <c r="AS156" s="59"/>
      <c r="AT156" s="78">
        <f t="shared" ref="AT156:CM156" ca="1" si="186">AT136/AT7</f>
        <v>3.2868058223417423E-3</v>
      </c>
      <c r="AU156" s="59">
        <f t="shared" si="186"/>
        <v>3.1202723146747354E-3</v>
      </c>
      <c r="AV156" s="59">
        <f t="shared" si="186"/>
        <v>3.9764593605853349E-3</v>
      </c>
      <c r="AW156" s="59">
        <f t="shared" si="186"/>
        <v>3.5905143620574482E-3</v>
      </c>
      <c r="AX156" s="59">
        <f t="shared" si="186"/>
        <v>9.1979396615158204E-4</v>
      </c>
      <c r="AY156" s="78">
        <f t="shared" si="186"/>
        <v>2.9566502891430063E-3</v>
      </c>
      <c r="AZ156" s="59">
        <f t="shared" si="186"/>
        <v>3.7344785734291851E-3</v>
      </c>
      <c r="BA156" s="59">
        <f t="shared" si="186"/>
        <v>2.0565975649884829E-3</v>
      </c>
      <c r="BB156" s="59">
        <f t="shared" si="186"/>
        <v>4.8131618097488407E-3</v>
      </c>
      <c r="BC156" s="59">
        <f t="shared" si="186"/>
        <v>4.5999999999999999E-3</v>
      </c>
      <c r="BD156" s="78">
        <f t="shared" si="186"/>
        <v>3.7476859168284644E-3</v>
      </c>
      <c r="BE156" s="59">
        <f t="shared" si="186"/>
        <v>3.2917029722141543E-3</v>
      </c>
      <c r="BF156" s="59">
        <f t="shared" si="186"/>
        <v>4.6858729607775077E-3</v>
      </c>
      <c r="BG156" s="59">
        <f t="shared" si="186"/>
        <v>4.046677959721438E-3</v>
      </c>
      <c r="BH156" s="59">
        <f t="shared" si="186"/>
        <v>1.0666666666666667E-3</v>
      </c>
      <c r="BI156" s="78">
        <f t="shared" si="186"/>
        <v>3.3688536340612607E-3</v>
      </c>
      <c r="BJ156" s="59">
        <f t="shared" si="186"/>
        <v>3.1805220443079621E-3</v>
      </c>
      <c r="BK156" s="59">
        <f t="shared" si="186"/>
        <v>4.6382189239332098E-3</v>
      </c>
      <c r="BL156" s="59">
        <f t="shared" si="186"/>
        <v>5.2875082617316587E-3</v>
      </c>
      <c r="BM156" s="59">
        <f t="shared" si="186"/>
        <v>2.1419009370816601E-3</v>
      </c>
      <c r="BN156" s="78">
        <f t="shared" si="186"/>
        <v>3.9018321646686269E-3</v>
      </c>
      <c r="BO156" s="59">
        <f t="shared" si="186"/>
        <v>2.3609653725078701E-3</v>
      </c>
      <c r="BP156" s="59">
        <f t="shared" si="186"/>
        <v>5.4086118944508179E-3</v>
      </c>
      <c r="BQ156" s="59">
        <f t="shared" si="186"/>
        <v>6.0728067482897436E-3</v>
      </c>
      <c r="BR156" s="59">
        <f t="shared" si="186"/>
        <v>2.2938151872678248E-3</v>
      </c>
      <c r="BS156" s="78">
        <f t="shared" si="186"/>
        <v>4.14121038040323E-3</v>
      </c>
      <c r="BT156" s="59">
        <f t="shared" si="186"/>
        <v>2.3905029459489221E-3</v>
      </c>
      <c r="BU156" s="59">
        <f t="shared" si="186"/>
        <v>5.4585343013108479E-3</v>
      </c>
      <c r="BV156" s="59">
        <f t="shared" si="186"/>
        <v>6.1228183279289743E-3</v>
      </c>
      <c r="BW156" s="59">
        <f t="shared" si="186"/>
        <v>2.3078938729131572E-3</v>
      </c>
      <c r="BX156" s="78">
        <f t="shared" si="186"/>
        <v>4.1786508229650614E-3</v>
      </c>
      <c r="BY156" s="59">
        <f t="shared" si="186"/>
        <v>2.4122230011027431E-3</v>
      </c>
      <c r="BZ156" s="59">
        <f t="shared" si="186"/>
        <v>5.510051227657832E-3</v>
      </c>
      <c r="CA156" s="59">
        <f t="shared" si="186"/>
        <v>6.1747392229630563E-3</v>
      </c>
      <c r="CB156" s="59">
        <f t="shared" si="186"/>
        <v>2.3228300390744183E-3</v>
      </c>
      <c r="CC156" s="78">
        <f t="shared" si="186"/>
        <v>4.2138478588369353E-3</v>
      </c>
      <c r="CD156" s="59">
        <f t="shared" si="186"/>
        <v>2.4452607205604692E-3</v>
      </c>
      <c r="CE156" s="59">
        <f t="shared" si="186"/>
        <v>5.5859422505226816E-3</v>
      </c>
      <c r="CF156" s="59">
        <f t="shared" si="186"/>
        <v>6.2532208371395533E-3</v>
      </c>
      <c r="CG156" s="59">
        <f t="shared" si="186"/>
        <v>2.3473307976683319E-3</v>
      </c>
      <c r="CH156" s="78">
        <f t="shared" si="186"/>
        <v>4.2675113682145785E-3</v>
      </c>
      <c r="CI156" s="59">
        <f t="shared" si="186"/>
        <v>2.4830558493404466E-3</v>
      </c>
      <c r="CJ156" s="59">
        <f t="shared" si="186"/>
        <v>5.6719893583697069E-3</v>
      </c>
      <c r="CK156" s="59">
        <f t="shared" si="186"/>
        <v>6.3441799283310606E-3</v>
      </c>
      <c r="CL156" s="59">
        <f t="shared" si="186"/>
        <v>2.3775196649600066E-3</v>
      </c>
      <c r="CM156" s="78">
        <f t="shared" si="186"/>
        <v>4.3298435944438734E-3</v>
      </c>
    </row>
    <row r="157" spans="1:91" x14ac:dyDescent="0.2">
      <c r="A157" s="47"/>
      <c r="B157" s="50"/>
      <c r="C157" s="50"/>
      <c r="D157" s="50"/>
      <c r="E157" s="46"/>
      <c r="F157" s="64" t="str">
        <f>F174</f>
        <v>-</v>
      </c>
      <c r="G157" s="36"/>
      <c r="H157" s="36"/>
      <c r="I157" s="36"/>
      <c r="J157" s="36"/>
      <c r="K157" s="64">
        <f>K174</f>
        <v>0.30226986128625472</v>
      </c>
      <c r="L157" s="50"/>
      <c r="M157" s="50"/>
      <c r="N157" s="55"/>
      <c r="O157" s="55"/>
      <c r="P157" s="64">
        <f>P174</f>
        <v>0.31603826674169949</v>
      </c>
      <c r="Q157" s="55"/>
      <c r="R157" s="55"/>
      <c r="S157" s="50"/>
      <c r="T157" s="50"/>
      <c r="U157" s="64">
        <f>U174</f>
        <v>0.32025418599959654</v>
      </c>
      <c r="V157" s="50"/>
      <c r="W157" s="50"/>
      <c r="X157" s="50"/>
      <c r="Y157" s="50"/>
      <c r="Z157" s="64">
        <f>Z174</f>
        <v>0.30296501487637223</v>
      </c>
      <c r="AA157" s="50"/>
      <c r="AB157" s="50"/>
      <c r="AC157" s="50"/>
      <c r="AD157" s="50"/>
      <c r="AE157" s="64">
        <f>AE174</f>
        <v>0.28041886757483087</v>
      </c>
      <c r="AF157" s="50"/>
      <c r="AG157" s="50"/>
      <c r="AH157" s="50"/>
      <c r="AI157" s="50"/>
      <c r="AJ157" s="192"/>
      <c r="AK157" s="50"/>
      <c r="AL157" s="50"/>
      <c r="AM157" s="50"/>
      <c r="AN157" s="50"/>
      <c r="AO157" s="67"/>
      <c r="AP157" s="50"/>
      <c r="AQ157" s="50"/>
      <c r="AR157" s="50"/>
      <c r="AS157" s="50"/>
      <c r="AT157" s="67"/>
      <c r="AU157" s="50"/>
      <c r="AV157" s="50"/>
      <c r="AW157" s="50"/>
      <c r="AX157" s="50"/>
      <c r="AY157" s="67"/>
      <c r="AZ157" s="50"/>
      <c r="BA157" s="50"/>
      <c r="BB157" s="50"/>
      <c r="BC157" s="50"/>
      <c r="BD157" s="67"/>
      <c r="BE157" s="50"/>
      <c r="BF157" s="50"/>
      <c r="BG157" s="50"/>
      <c r="BH157" s="50"/>
      <c r="BI157" s="67"/>
      <c r="BJ157" s="50"/>
      <c r="BK157" s="50"/>
      <c r="BL157" s="50"/>
      <c r="BM157" s="50"/>
      <c r="BN157" s="67"/>
      <c r="BO157" s="50"/>
      <c r="BP157" s="50"/>
      <c r="BQ157" s="50"/>
      <c r="BR157" s="50"/>
      <c r="BS157" s="67"/>
      <c r="BT157" s="50"/>
      <c r="BU157" s="50"/>
      <c r="BV157" s="50"/>
      <c r="BW157" s="50"/>
      <c r="BX157" s="67"/>
      <c r="BY157" s="50"/>
      <c r="BZ157" s="50"/>
      <c r="CA157" s="50"/>
      <c r="CB157" s="50"/>
      <c r="CC157" s="67"/>
      <c r="CD157" s="50"/>
      <c r="CE157" s="50"/>
      <c r="CF157" s="50"/>
      <c r="CG157" s="50"/>
      <c r="CH157" s="67"/>
      <c r="CI157" s="50"/>
      <c r="CJ157" s="50"/>
      <c r="CK157" s="50"/>
      <c r="CL157" s="50"/>
      <c r="CM157" s="67"/>
    </row>
    <row r="158" spans="1:91" x14ac:dyDescent="0.2">
      <c r="A158" s="52" t="s">
        <v>226</v>
      </c>
      <c r="B158" s="50"/>
      <c r="C158" s="50"/>
      <c r="D158" s="50"/>
      <c r="E158" s="46"/>
      <c r="F158" s="100"/>
      <c r="G158" s="36"/>
      <c r="H158" s="36"/>
      <c r="I158" s="36"/>
      <c r="J158" s="36"/>
      <c r="K158" s="100"/>
      <c r="L158" s="108"/>
      <c r="M158" s="108"/>
      <c r="N158" s="108"/>
      <c r="O158" s="108"/>
      <c r="P158" s="109"/>
      <c r="Q158" s="55"/>
      <c r="R158" s="55"/>
      <c r="S158" s="50"/>
      <c r="T158" s="50"/>
      <c r="U158" s="67"/>
      <c r="V158" s="50"/>
      <c r="W158" s="50"/>
      <c r="X158" s="50"/>
      <c r="Y158" s="50"/>
      <c r="Z158" s="67"/>
      <c r="AA158" s="50"/>
      <c r="AB158" s="50"/>
      <c r="AC158" s="50"/>
      <c r="AD158" s="50"/>
      <c r="AE158" s="67"/>
      <c r="AF158" s="50"/>
      <c r="AG158" s="50"/>
      <c r="AH158" s="50"/>
      <c r="AI158" s="55"/>
      <c r="AJ158" s="67"/>
      <c r="AK158" s="50"/>
      <c r="AL158" s="50"/>
      <c r="AM158" s="50"/>
      <c r="AN158" s="55"/>
      <c r="AO158" s="67"/>
      <c r="AP158" s="130"/>
      <c r="AQ158" s="50"/>
      <c r="AR158" s="50"/>
      <c r="AS158" s="50"/>
      <c r="AT158" s="792"/>
      <c r="AU158" s="793"/>
      <c r="AV158" s="793"/>
      <c r="AW158" s="793"/>
      <c r="AX158" s="793"/>
      <c r="AY158" s="110"/>
      <c r="AZ158" s="793"/>
      <c r="BA158" s="793"/>
      <c r="BB158" s="793"/>
      <c r="BC158" s="793"/>
      <c r="BD158" s="110"/>
      <c r="BE158" s="793"/>
      <c r="BF158" s="793"/>
      <c r="BG158" s="793"/>
      <c r="BH158" s="793"/>
      <c r="BI158" s="110"/>
      <c r="BJ158" s="793"/>
      <c r="BK158" s="793"/>
      <c r="BL158" s="793"/>
      <c r="BM158" s="793"/>
      <c r="BN158" s="110"/>
      <c r="BO158" s="793"/>
      <c r="BP158" s="793"/>
      <c r="BQ158" s="793"/>
      <c r="BR158" s="793"/>
      <c r="BS158" s="110"/>
      <c r="BT158" s="793"/>
      <c r="BU158" s="793"/>
      <c r="BV158" s="793"/>
      <c r="BW158" s="793"/>
      <c r="BX158" s="110"/>
      <c r="BY158" s="793"/>
      <c r="BZ158" s="793"/>
      <c r="CA158" s="793"/>
      <c r="CB158" s="793"/>
      <c r="CC158" s="110"/>
      <c r="CD158" s="793"/>
      <c r="CE158" s="793"/>
      <c r="CF158" s="793"/>
      <c r="CG158" s="793"/>
      <c r="CH158" s="110"/>
      <c r="CI158" s="793"/>
      <c r="CJ158" s="793"/>
      <c r="CK158" s="793"/>
      <c r="CL158" s="793"/>
      <c r="CM158" s="110"/>
    </row>
    <row r="159" spans="1:91" x14ac:dyDescent="0.2">
      <c r="A159" s="727" t="str">
        <f>+A17</f>
        <v>Europe, Middle East, Africa</v>
      </c>
      <c r="B159" s="50"/>
      <c r="C159" s="50"/>
      <c r="D159" s="50"/>
      <c r="E159" s="46"/>
      <c r="F159" s="100"/>
      <c r="G159" s="36"/>
      <c r="H159" s="36"/>
      <c r="I159" s="36"/>
      <c r="J159" s="36"/>
      <c r="K159" s="100"/>
      <c r="L159" s="108"/>
      <c r="M159" s="108"/>
      <c r="N159" s="108"/>
      <c r="O159" s="108"/>
      <c r="P159" s="109"/>
      <c r="Q159" s="55"/>
      <c r="R159" s="55"/>
      <c r="S159" s="50"/>
      <c r="T159" s="50"/>
      <c r="U159" s="67"/>
      <c r="V159" s="50"/>
      <c r="W159" s="50"/>
      <c r="X159" s="50"/>
      <c r="Y159" s="50"/>
      <c r="Z159" s="67"/>
      <c r="AA159" s="50"/>
      <c r="AB159" s="50"/>
      <c r="AC159" s="50"/>
      <c r="AD159" s="50"/>
      <c r="AE159" s="67"/>
      <c r="AF159" s="50"/>
      <c r="AG159" s="50"/>
      <c r="AH159" s="50"/>
      <c r="AI159" s="55"/>
      <c r="AJ159" s="67"/>
      <c r="AK159" s="50"/>
      <c r="AL159" s="50"/>
      <c r="AM159" s="50"/>
      <c r="AN159" s="55"/>
      <c r="AO159" s="67"/>
      <c r="AP159" s="130"/>
      <c r="AQ159" s="50"/>
      <c r="AR159" s="50"/>
      <c r="AS159" s="50"/>
      <c r="AT159" s="64">
        <f>+AT160+AT161</f>
        <v>4005</v>
      </c>
      <c r="AU159" s="51">
        <f>+AU160+AU161</f>
        <v>1022</v>
      </c>
      <c r="AV159" s="51">
        <f>+AV160+AV161</f>
        <v>1182</v>
      </c>
      <c r="AW159" s="51">
        <f>+AW160+AW161</f>
        <v>1020</v>
      </c>
      <c r="AX159" s="51">
        <f>+AX160+AX161</f>
        <v>849</v>
      </c>
      <c r="AY159" s="64">
        <f t="shared" ref="AY159:BE159" si="187">+AY160+AY161</f>
        <v>4073</v>
      </c>
      <c r="AZ159" s="51">
        <f>+AZ160+AZ161</f>
        <v>996</v>
      </c>
      <c r="BA159" s="51">
        <f>+BA160+BA161</f>
        <v>1114</v>
      </c>
      <c r="BB159" s="51">
        <f>+BB160+BB161</f>
        <v>929</v>
      </c>
      <c r="BC159" s="51">
        <f>+BC160+BC161</f>
        <v>827</v>
      </c>
      <c r="BD159" s="64">
        <f t="shared" si="187"/>
        <v>3866</v>
      </c>
      <c r="BE159" s="51">
        <f t="shared" si="187"/>
        <v>930</v>
      </c>
      <c r="BF159" s="51">
        <f>+BF160+BF161</f>
        <v>1057</v>
      </c>
      <c r="BG159" s="51">
        <v>916</v>
      </c>
      <c r="BH159" s="51">
        <v>805</v>
      </c>
      <c r="BI159" s="64">
        <f>SUM(BE159:BH159)</f>
        <v>3708</v>
      </c>
      <c r="BJ159" s="51">
        <v>862</v>
      </c>
      <c r="BK159" s="51">
        <v>1070</v>
      </c>
      <c r="BL159" s="51">
        <v>938</v>
      </c>
      <c r="BM159" s="51">
        <v>781</v>
      </c>
      <c r="BN159" s="64">
        <f>SUM(BJ159:BM159)</f>
        <v>3651</v>
      </c>
      <c r="BO159" s="51">
        <v>916</v>
      </c>
      <c r="BP159" s="51">
        <f>BP17*BP190</f>
        <v>1038.7315856860034</v>
      </c>
      <c r="BQ159" s="51">
        <f>BQ17*BQ190</f>
        <v>988.1887542852146</v>
      </c>
      <c r="BR159" s="51">
        <f>BR17*BR190</f>
        <v>843.89310252571056</v>
      </c>
      <c r="BS159" s="64">
        <f>SUM(BO159:BR159)</f>
        <v>3786.8134424969285</v>
      </c>
      <c r="BT159" s="51">
        <f>BT17*BT190</f>
        <v>960.64644189511284</v>
      </c>
      <c r="BU159" s="51">
        <f>BU17*BU190</f>
        <v>1097.5555901454115</v>
      </c>
      <c r="BV159" s="51">
        <f>BV17*BV190</f>
        <v>1044.2651576158385</v>
      </c>
      <c r="BW159" s="51">
        <f>BW17*BW190</f>
        <v>892.51452578434805</v>
      </c>
      <c r="BX159" s="64">
        <f>SUM(BT159:BW159)</f>
        <v>3994.981715440711</v>
      </c>
      <c r="BY159" s="51">
        <f>BY17*BY190</f>
        <v>1014.8817915256889</v>
      </c>
      <c r="BZ159" s="51">
        <f>BZ17*BZ190</f>
        <v>1159.4235444244746</v>
      </c>
      <c r="CA159" s="51">
        <f>CA17*CA190</f>
        <v>1103.2465712060559</v>
      </c>
      <c r="CB159" s="51">
        <f>CB17*CB190</f>
        <v>943.67543393963547</v>
      </c>
      <c r="CC159" s="64">
        <f>SUM(BY159:CB159)</f>
        <v>4221.2273410958551</v>
      </c>
      <c r="CD159" s="51">
        <f>CD17*CD190</f>
        <v>1061.612021984874</v>
      </c>
      <c r="CE159" s="51">
        <f>CE17*CE190</f>
        <v>1212.710953350653</v>
      </c>
      <c r="CF159" s="51">
        <f>CF17*CF190</f>
        <v>1154.0710998463892</v>
      </c>
      <c r="CG159" s="51">
        <f>CG17*CG190</f>
        <v>987.90983389545534</v>
      </c>
      <c r="CH159" s="64">
        <f>SUM(CD159:CG159)</f>
        <v>4416.3039090773718</v>
      </c>
      <c r="CI159" s="51">
        <f>CI17*CI190</f>
        <v>1109.1844045333112</v>
      </c>
      <c r="CJ159" s="51">
        <f>CJ17*CJ190</f>
        <v>1266.9608853929669</v>
      </c>
      <c r="CK159" s="51">
        <f>CK17*CK190</f>
        <v>1205.8109942004771</v>
      </c>
      <c r="CL159" s="51">
        <f>CL17*CL190</f>
        <v>1032.9238736427187</v>
      </c>
      <c r="CM159" s="64">
        <f>SUM(CI159:CL159)</f>
        <v>4614.880157769474</v>
      </c>
    </row>
    <row r="160" spans="1:91" hidden="1" x14ac:dyDescent="0.2">
      <c r="A160" s="47" t="s">
        <v>182</v>
      </c>
      <c r="B160" s="51" t="s">
        <v>169</v>
      </c>
      <c r="C160" s="51" t="s">
        <v>169</v>
      </c>
      <c r="D160" s="51" t="s">
        <v>169</v>
      </c>
      <c r="E160" s="51" t="s">
        <v>169</v>
      </c>
      <c r="F160" s="64" t="s">
        <v>169</v>
      </c>
      <c r="G160" s="51">
        <v>148</v>
      </c>
      <c r="H160" s="51">
        <v>178</v>
      </c>
      <c r="I160" s="51">
        <f>114+1</f>
        <v>115</v>
      </c>
      <c r="J160" s="51">
        <f>152+2</f>
        <v>154</v>
      </c>
      <c r="K160" s="64">
        <f t="shared" ref="K160:K168" si="188">SUM(G160:J160)</f>
        <v>595</v>
      </c>
      <c r="L160" s="51">
        <f>160+2</f>
        <v>162</v>
      </c>
      <c r="M160" s="51">
        <v>203</v>
      </c>
      <c r="N160" s="51">
        <f>134+15</f>
        <v>149</v>
      </c>
      <c r="O160" s="51">
        <f>188+2</f>
        <v>190</v>
      </c>
      <c r="P160" s="64">
        <f t="shared" ref="P160:P168" si="189">SUM(L160:O160)</f>
        <v>704</v>
      </c>
      <c r="Q160" s="51">
        <v>227</v>
      </c>
      <c r="R160" s="51">
        <v>269</v>
      </c>
      <c r="S160" s="51">
        <v>180</v>
      </c>
      <c r="T160" s="51">
        <f>158+1</f>
        <v>159</v>
      </c>
      <c r="U160" s="64">
        <f t="shared" ref="U160:U168" si="190">SUM(Q160:T160)</f>
        <v>835</v>
      </c>
      <c r="V160" s="51">
        <v>207</v>
      </c>
      <c r="W160" s="51">
        <f>243+3</f>
        <v>246</v>
      </c>
      <c r="X160" s="51">
        <f>184-1+1</f>
        <v>184</v>
      </c>
      <c r="Y160" s="51">
        <f>176+1</f>
        <v>177</v>
      </c>
      <c r="Z160" s="64">
        <f t="shared" ref="Z160:Z168" si="191">SUM(V160:Y160)</f>
        <v>814</v>
      </c>
      <c r="AA160" s="51">
        <f>233+1</f>
        <v>234</v>
      </c>
      <c r="AB160" s="51">
        <f>269+2</f>
        <v>271</v>
      </c>
      <c r="AC160" s="51">
        <f>217+1</f>
        <v>218</v>
      </c>
      <c r="AD160" s="51">
        <f>195+1+2</f>
        <v>198</v>
      </c>
      <c r="AE160" s="64">
        <f t="shared" ref="AE160:AE168" si="192">SUM(AA160:AD160)</f>
        <v>921</v>
      </c>
      <c r="AF160" s="51">
        <f>242+1</f>
        <v>243</v>
      </c>
      <c r="AG160" s="51">
        <f>289+4+4</f>
        <v>297</v>
      </c>
      <c r="AH160" s="51">
        <f>244+1-1</f>
        <v>244</v>
      </c>
      <c r="AI160" s="51">
        <f>228+1+2</f>
        <v>231</v>
      </c>
      <c r="AJ160" s="64">
        <f t="shared" ref="AJ160:AJ168" si="193">SUM(AF160:AI160)</f>
        <v>1015</v>
      </c>
      <c r="AK160" s="51">
        <v>266</v>
      </c>
      <c r="AL160" s="51">
        <v>296</v>
      </c>
      <c r="AM160" s="51">
        <v>244</v>
      </c>
      <c r="AN160" s="51">
        <v>272</v>
      </c>
      <c r="AO160" s="64">
        <f t="shared" ref="AO160:AO168" si="194">SUM(AK160:AN160)</f>
        <v>1078</v>
      </c>
      <c r="AP160" s="51">
        <v>284</v>
      </c>
      <c r="AQ160" s="51">
        <v>332</v>
      </c>
      <c r="AR160" s="51">
        <v>231</v>
      </c>
      <c r="AS160" s="51">
        <v>242</v>
      </c>
      <c r="AT160" s="64">
        <f t="shared" ref="AT160:AT168" si="195">SUM(AP160:AS160)</f>
        <v>1089</v>
      </c>
      <c r="AU160" s="51">
        <v>303</v>
      </c>
      <c r="AV160" s="51">
        <v>290</v>
      </c>
      <c r="AW160" s="51">
        <v>266</v>
      </c>
      <c r="AX160" s="51">
        <v>251</v>
      </c>
      <c r="AY160" s="64">
        <f t="shared" ref="AY160:AY168" si="196">SUM(AU160:AX160)</f>
        <v>1110</v>
      </c>
      <c r="AZ160" s="51">
        <v>291</v>
      </c>
      <c r="BA160" s="51">
        <v>278</v>
      </c>
      <c r="BB160" s="51">
        <v>209</v>
      </c>
      <c r="BC160" s="51">
        <v>225</v>
      </c>
      <c r="BD160" s="64">
        <f t="shared" ref="BD160:BD168" si="197">SUM(AZ160:BC160)</f>
        <v>1003</v>
      </c>
      <c r="BE160" s="51">
        <v>235</v>
      </c>
      <c r="BF160" s="51">
        <v>249</v>
      </c>
      <c r="BG160" s="51">
        <f ca="1">BG28*BG191</f>
        <v>238.05734731322039</v>
      </c>
      <c r="BH160" s="51">
        <f ca="1">BH28*BH191</f>
        <v>198.7855939741078</v>
      </c>
      <c r="BI160" s="64">
        <f ca="1">SUM(BE160:BH160)</f>
        <v>920.84294128732813</v>
      </c>
      <c r="BJ160" s="831">
        <f t="shared" ref="BJ160:CL160" ca="1" si="198">BJ28*BJ191</f>
        <v>216.91422967947551</v>
      </c>
      <c r="BK160" s="831">
        <f t="shared" ca="1" si="198"/>
        <v>242.73784499501539</v>
      </c>
      <c r="BL160" s="51">
        <f t="shared" ca="1" si="198"/>
        <v>229.0480075552033</v>
      </c>
      <c r="BM160" s="51">
        <f t="shared" ca="1" si="198"/>
        <v>203.23126731639613</v>
      </c>
      <c r="BN160" s="64">
        <f t="shared" ref="BN160:BN168" ca="1" si="199">SUM(BJ160:BM160)</f>
        <v>891.93134954609036</v>
      </c>
      <c r="BO160" s="51">
        <f t="shared" ca="1" si="198"/>
        <v>235.92326615019292</v>
      </c>
      <c r="BP160" s="51">
        <f t="shared" ca="1" si="198"/>
        <v>258.74826186365755</v>
      </c>
      <c r="BQ160" s="51">
        <f t="shared" ca="1" si="198"/>
        <v>240.83696475095729</v>
      </c>
      <c r="BR160" s="51">
        <f t="shared" ca="1" si="198"/>
        <v>213.81402668491253</v>
      </c>
      <c r="BS160" s="64">
        <f t="shared" ref="BS160:BS168" ca="1" si="200">SUM(BO160:BR160)</f>
        <v>949.32251944972018</v>
      </c>
      <c r="BT160" s="51">
        <f t="shared" ca="1" si="198"/>
        <v>249.10042951120343</v>
      </c>
      <c r="BU160" s="51">
        <f t="shared" ca="1" si="198"/>
        <v>277.43791096478913</v>
      </c>
      <c r="BV160" s="51">
        <f t="shared" ca="1" si="198"/>
        <v>258.23286271509039</v>
      </c>
      <c r="BW160" s="51">
        <f t="shared" ca="1" si="198"/>
        <v>229.25803045467183</v>
      </c>
      <c r="BX160" s="64">
        <f t="shared" ref="BX160:BX168" ca="1" si="201">SUM(BT160:BW160)</f>
        <v>1014.0292336457547</v>
      </c>
      <c r="BY160" s="51">
        <f t="shared" ca="1" si="198"/>
        <v>266.98501128397169</v>
      </c>
      <c r="BZ160" s="51">
        <f t="shared" ca="1" si="198"/>
        <v>297.34965432137471</v>
      </c>
      <c r="CA160" s="51">
        <f t="shared" ca="1" si="198"/>
        <v>276.76625806375938</v>
      </c>
      <c r="CB160" s="51">
        <f t="shared" ca="1" si="198"/>
        <v>245.71189953469477</v>
      </c>
      <c r="CC160" s="64">
        <f t="shared" ref="CC160:CC168" ca="1" si="202">SUM(BY160:CB160)</f>
        <v>1086.8128232038005</v>
      </c>
      <c r="CD160" s="51">
        <f t="shared" ca="1" si="198"/>
        <v>285.69994496541125</v>
      </c>
      <c r="CE160" s="51">
        <f t="shared" ca="1" si="198"/>
        <v>318.18592781275015</v>
      </c>
      <c r="CF160" s="51">
        <f t="shared" ca="1" si="198"/>
        <v>296.16018491853345</v>
      </c>
      <c r="CG160" s="51">
        <f t="shared" ca="1" si="198"/>
        <v>262.92974480333896</v>
      </c>
      <c r="CH160" s="64">
        <f t="shared" ref="CH160:CH168" ca="1" si="203">SUM(CD160:CG160)</f>
        <v>1162.9758025000338</v>
      </c>
      <c r="CI160" s="51">
        <f t="shared" ca="1" si="198"/>
        <v>302.35948380333764</v>
      </c>
      <c r="CJ160" s="51">
        <f t="shared" ca="1" si="198"/>
        <v>336.73293593118422</v>
      </c>
      <c r="CK160" s="51">
        <f t="shared" ca="1" si="198"/>
        <v>313.42331591807124</v>
      </c>
      <c r="CL160" s="51">
        <f t="shared" ca="1" si="198"/>
        <v>278.25587863008428</v>
      </c>
      <c r="CM160" s="64">
        <f t="shared" ref="CM160:CM168" ca="1" si="204">SUM(CI160:CL160)</f>
        <v>1230.7716142826773</v>
      </c>
    </row>
    <row r="161" spans="1:91" hidden="1" x14ac:dyDescent="0.2">
      <c r="A161" s="47" t="s">
        <v>183</v>
      </c>
      <c r="B161" s="51" t="s">
        <v>169</v>
      </c>
      <c r="C161" s="51" t="s">
        <v>169</v>
      </c>
      <c r="D161" s="51" t="s">
        <v>169</v>
      </c>
      <c r="E161" s="51" t="s">
        <v>169</v>
      </c>
      <c r="F161" s="64" t="s">
        <v>169</v>
      </c>
      <c r="G161" s="51">
        <v>474</v>
      </c>
      <c r="H161" s="51">
        <f>722+27</f>
        <v>749</v>
      </c>
      <c r="I161" s="51">
        <f>664+7</f>
        <v>671</v>
      </c>
      <c r="J161" s="51">
        <f>501+2</f>
        <v>503</v>
      </c>
      <c r="K161" s="64">
        <f t="shared" si="188"/>
        <v>2397</v>
      </c>
      <c r="L161" s="51">
        <v>643</v>
      </c>
      <c r="M161" s="51">
        <v>890</v>
      </c>
      <c r="N161" s="51">
        <f>698+7</f>
        <v>705</v>
      </c>
      <c r="O161" s="51">
        <f>549+21</f>
        <v>570</v>
      </c>
      <c r="P161" s="64">
        <f t="shared" si="189"/>
        <v>2808</v>
      </c>
      <c r="Q161" s="51">
        <v>735</v>
      </c>
      <c r="R161" s="51">
        <v>1016</v>
      </c>
      <c r="S161" s="51">
        <v>796</v>
      </c>
      <c r="T161" s="51">
        <v>628</v>
      </c>
      <c r="U161" s="64">
        <f t="shared" si="190"/>
        <v>3175</v>
      </c>
      <c r="V161" s="51">
        <v>692</v>
      </c>
      <c r="W161" s="51">
        <f>861+1</f>
        <v>862</v>
      </c>
      <c r="X161" s="51">
        <f>774+1+1</f>
        <v>776</v>
      </c>
      <c r="Y161" s="51">
        <f>619+4</f>
        <v>623</v>
      </c>
      <c r="Z161" s="64">
        <f t="shared" si="191"/>
        <v>2953</v>
      </c>
      <c r="AA161" s="51">
        <f>712+28</f>
        <v>740</v>
      </c>
      <c r="AB161" s="51">
        <f>937+2</f>
        <v>939</v>
      </c>
      <c r="AC161" s="51">
        <v>755</v>
      </c>
      <c r="AD161" s="51">
        <v>592</v>
      </c>
      <c r="AE161" s="64">
        <f t="shared" si="192"/>
        <v>3026</v>
      </c>
      <c r="AF161" s="51">
        <v>715</v>
      </c>
      <c r="AG161" s="51">
        <v>975</v>
      </c>
      <c r="AH161" s="51">
        <v>812</v>
      </c>
      <c r="AI161" s="51">
        <v>613</v>
      </c>
      <c r="AJ161" s="64">
        <f t="shared" si="193"/>
        <v>3115</v>
      </c>
      <c r="AK161" s="51">
        <v>694</v>
      </c>
      <c r="AL161" s="51">
        <v>895</v>
      </c>
      <c r="AM161" s="51">
        <v>698</v>
      </c>
      <c r="AN161" s="51">
        <v>670</v>
      </c>
      <c r="AO161" s="64">
        <f t="shared" si="194"/>
        <v>2957</v>
      </c>
      <c r="AP161" s="51">
        <v>683</v>
      </c>
      <c r="AQ161" s="51">
        <v>842</v>
      </c>
      <c r="AR161" s="51">
        <v>743</v>
      </c>
      <c r="AS161" s="51">
        <v>648</v>
      </c>
      <c r="AT161" s="64">
        <f t="shared" si="195"/>
        <v>2916</v>
      </c>
      <c r="AU161" s="51">
        <v>719</v>
      </c>
      <c r="AV161" s="51">
        <v>892</v>
      </c>
      <c r="AW161" s="51">
        <v>754</v>
      </c>
      <c r="AX161" s="51">
        <v>598</v>
      </c>
      <c r="AY161" s="64">
        <f t="shared" si="196"/>
        <v>2963</v>
      </c>
      <c r="AZ161" s="51">
        <v>705</v>
      </c>
      <c r="BA161" s="51">
        <v>836</v>
      </c>
      <c r="BB161" s="51">
        <v>720</v>
      </c>
      <c r="BC161" s="51">
        <v>602</v>
      </c>
      <c r="BD161" s="64">
        <f t="shared" si="197"/>
        <v>2863</v>
      </c>
      <c r="BE161" s="51">
        <v>695</v>
      </c>
      <c r="BF161" s="51">
        <v>808</v>
      </c>
      <c r="BG161" s="51">
        <f ca="1">BG59*BG192</f>
        <v>781.41263117665096</v>
      </c>
      <c r="BH161" s="51">
        <f ca="1">BH59*BH192</f>
        <v>683.2266804467323</v>
      </c>
      <c r="BI161" s="64">
        <f t="shared" ref="BI161:BI168" ca="1" si="205">SUM(BE161:BH161)</f>
        <v>2967.639311623383</v>
      </c>
      <c r="BJ161" s="831">
        <f t="shared" ref="BJ161:CL161" ca="1" si="206">BJ59*BJ192</f>
        <v>687.53261813088227</v>
      </c>
      <c r="BK161" s="831">
        <f t="shared" ca="1" si="206"/>
        <v>804.76079586820276</v>
      </c>
      <c r="BL161" s="51">
        <f t="shared" ca="1" si="206"/>
        <v>784.93146995993629</v>
      </c>
      <c r="BM161" s="51">
        <f t="shared" ca="1" si="206"/>
        <v>703.07072156140089</v>
      </c>
      <c r="BN161" s="64">
        <f t="shared" ca="1" si="199"/>
        <v>2980.2956055204222</v>
      </c>
      <c r="BO161" s="51">
        <f t="shared" ca="1" si="206"/>
        <v>715.55001477895848</v>
      </c>
      <c r="BP161" s="51">
        <f t="shared" ca="1" si="206"/>
        <v>835.97278981838656</v>
      </c>
      <c r="BQ161" s="51">
        <f t="shared" ca="1" si="206"/>
        <v>798.20727501735303</v>
      </c>
      <c r="BR161" s="51">
        <f t="shared" ca="1" si="206"/>
        <v>717.46892319852316</v>
      </c>
      <c r="BS161" s="64">
        <f t="shared" ca="1" si="200"/>
        <v>3067.1990028132209</v>
      </c>
      <c r="BT161" s="51">
        <f t="shared" ca="1" si="206"/>
        <v>741.27785269258379</v>
      </c>
      <c r="BU161" s="51">
        <f t="shared" ca="1" si="206"/>
        <v>869.57094564513989</v>
      </c>
      <c r="BV161" s="51">
        <f t="shared" ca="1" si="206"/>
        <v>830.28761630921178</v>
      </c>
      <c r="BW161" s="51">
        <f t="shared" ca="1" si="206"/>
        <v>746.30435059050058</v>
      </c>
      <c r="BX161" s="64">
        <f t="shared" ca="1" si="201"/>
        <v>3187.4407652374362</v>
      </c>
      <c r="BY161" s="51">
        <f t="shared" ca="1" si="206"/>
        <v>770.91527098942674</v>
      </c>
      <c r="BZ161" s="51">
        <f t="shared" ca="1" si="206"/>
        <v>904.32652626959441</v>
      </c>
      <c r="CA161" s="51">
        <f t="shared" ca="1" si="206"/>
        <v>863.47309511877779</v>
      </c>
      <c r="CB161" s="51">
        <f t="shared" ca="1" si="206"/>
        <v>776.13313127507774</v>
      </c>
      <c r="CC161" s="64">
        <f t="shared" ca="1" si="202"/>
        <v>3314.8480236528762</v>
      </c>
      <c r="CD161" s="51">
        <f t="shared" ca="1" si="206"/>
        <v>800.90166690911929</v>
      </c>
      <c r="CE161" s="51">
        <f t="shared" ca="1" si="206"/>
        <v>939.49159733966053</v>
      </c>
      <c r="CF161" s="51">
        <f t="shared" ca="1" si="206"/>
        <v>897.04956542557682</v>
      </c>
      <c r="CG161" s="51">
        <f t="shared" ca="1" si="206"/>
        <v>806.31335482077588</v>
      </c>
      <c r="CH161" s="64">
        <f t="shared" ca="1" si="203"/>
        <v>3443.7561844951324</v>
      </c>
      <c r="CI161" s="51">
        <f t="shared" ca="1" si="206"/>
        <v>831.21922608051659</v>
      </c>
      <c r="CJ161" s="51">
        <f t="shared" ca="1" si="206"/>
        <v>975.04529097111401</v>
      </c>
      <c r="CK161" s="51">
        <f t="shared" ca="1" si="206"/>
        <v>930.99710206313841</v>
      </c>
      <c r="CL161" s="51">
        <f t="shared" ca="1" si="206"/>
        <v>836.82711148387364</v>
      </c>
      <c r="CM161" s="64">
        <f t="shared" ca="1" si="204"/>
        <v>3574.0887305986425</v>
      </c>
    </row>
    <row r="162" spans="1:91" x14ac:dyDescent="0.2">
      <c r="A162" s="47" t="s">
        <v>14</v>
      </c>
      <c r="B162" s="51">
        <f>277+4</f>
        <v>281</v>
      </c>
      <c r="C162" s="51">
        <v>299</v>
      </c>
      <c r="D162" s="51">
        <v>297</v>
      </c>
      <c r="E162" s="51">
        <v>303</v>
      </c>
      <c r="F162" s="64">
        <f t="shared" ref="F162:F169" si="207">SUM(B162:E162)</f>
        <v>1180</v>
      </c>
      <c r="G162" s="51">
        <v>349</v>
      </c>
      <c r="H162" s="51">
        <v>346</v>
      </c>
      <c r="I162" s="51">
        <v>353</v>
      </c>
      <c r="J162" s="51">
        <v>390</v>
      </c>
      <c r="K162" s="64">
        <f t="shared" si="188"/>
        <v>1438</v>
      </c>
      <c r="L162" s="51">
        <v>415</v>
      </c>
      <c r="M162" s="51">
        <v>415</v>
      </c>
      <c r="N162" s="51">
        <f>430+13</f>
        <v>443</v>
      </c>
      <c r="O162" s="51">
        <f>491+1</f>
        <v>492</v>
      </c>
      <c r="P162" s="64">
        <f t="shared" si="189"/>
        <v>1765</v>
      </c>
      <c r="Q162" s="51">
        <v>506</v>
      </c>
      <c r="R162" s="51">
        <v>531</v>
      </c>
      <c r="S162" s="51">
        <f>559+1</f>
        <v>560</v>
      </c>
      <c r="T162" s="51">
        <f>503+44</f>
        <v>547</v>
      </c>
      <c r="U162" s="64">
        <f t="shared" si="190"/>
        <v>2144</v>
      </c>
      <c r="V162" s="51">
        <v>454</v>
      </c>
      <c r="W162" s="51">
        <v>472</v>
      </c>
      <c r="X162" s="51">
        <v>557</v>
      </c>
      <c r="Y162" s="51">
        <v>559</v>
      </c>
      <c r="Z162" s="64">
        <f t="shared" si="191"/>
        <v>2042</v>
      </c>
      <c r="AA162" s="51">
        <v>602</v>
      </c>
      <c r="AB162" s="51">
        <v>577</v>
      </c>
      <c r="AC162" s="51">
        <v>616</v>
      </c>
      <c r="AD162" s="51">
        <v>610</v>
      </c>
      <c r="AE162" s="64">
        <f t="shared" si="192"/>
        <v>2405</v>
      </c>
      <c r="AF162" s="51">
        <v>716</v>
      </c>
      <c r="AG162" s="51">
        <v>675</v>
      </c>
      <c r="AH162" s="51">
        <v>775</v>
      </c>
      <c r="AI162" s="51">
        <v>653</v>
      </c>
      <c r="AJ162" s="64">
        <f t="shared" si="193"/>
        <v>2819</v>
      </c>
      <c r="AK162" s="51">
        <v>744</v>
      </c>
      <c r="AL162" s="51">
        <v>686</v>
      </c>
      <c r="AM162" s="51">
        <v>734</v>
      </c>
      <c r="AN162" s="51">
        <v>715</v>
      </c>
      <c r="AO162" s="64">
        <f t="shared" si="194"/>
        <v>2879</v>
      </c>
      <c r="AP162" s="51">
        <v>763</v>
      </c>
      <c r="AQ162" s="51">
        <v>726</v>
      </c>
      <c r="AR162" s="51">
        <v>725</v>
      </c>
      <c r="AS162" s="51">
        <v>699</v>
      </c>
      <c r="AT162" s="64">
        <f t="shared" si="195"/>
        <v>2913</v>
      </c>
      <c r="AU162" s="51">
        <v>668</v>
      </c>
      <c r="AV162" s="51">
        <v>633</v>
      </c>
      <c r="AW162" s="51">
        <v>653</v>
      </c>
      <c r="AX162" s="51">
        <v>657</v>
      </c>
      <c r="AY162" s="64">
        <f t="shared" si="196"/>
        <v>2611</v>
      </c>
      <c r="AZ162" s="51">
        <v>611</v>
      </c>
      <c r="BA162" s="51">
        <v>528</v>
      </c>
      <c r="BB162" s="51">
        <v>542</v>
      </c>
      <c r="BC162" s="51">
        <v>528</v>
      </c>
      <c r="BD162" s="64">
        <f t="shared" si="197"/>
        <v>2209</v>
      </c>
      <c r="BE162" s="51">
        <v>523</v>
      </c>
      <c r="BF162" s="51">
        <v>511</v>
      </c>
      <c r="BG162" s="51">
        <v>510</v>
      </c>
      <c r="BH162" s="51">
        <v>481</v>
      </c>
      <c r="BI162" s="64">
        <f t="shared" si="205"/>
        <v>2025</v>
      </c>
      <c r="BJ162" s="51">
        <v>505</v>
      </c>
      <c r="BK162" s="51">
        <v>560</v>
      </c>
      <c r="BL162" s="51">
        <v>565</v>
      </c>
      <c r="BM162" s="51">
        <v>595</v>
      </c>
      <c r="BN162" s="64">
        <f t="shared" si="199"/>
        <v>2225</v>
      </c>
      <c r="BO162" s="51">
        <v>574</v>
      </c>
      <c r="BP162" s="51">
        <f t="shared" ref="BP162:CL162" si="208">BP71*BP193</f>
        <v>585.07025937524554</v>
      </c>
      <c r="BQ162" s="51">
        <f t="shared" si="208"/>
        <v>612.72785122159314</v>
      </c>
      <c r="BR162" s="51">
        <f t="shared" si="208"/>
        <v>643.38183387818424</v>
      </c>
      <c r="BS162" s="64">
        <f t="shared" si="200"/>
        <v>2415.1799444750231</v>
      </c>
      <c r="BT162" s="51">
        <f t="shared" si="208"/>
        <v>630.6684853953758</v>
      </c>
      <c r="BU162" s="51">
        <f t="shared" si="208"/>
        <v>649.81271425770171</v>
      </c>
      <c r="BV162" s="51">
        <f t="shared" si="208"/>
        <v>680.7875345073171</v>
      </c>
      <c r="BW162" s="51">
        <f t="shared" si="208"/>
        <v>715.29594801099654</v>
      </c>
      <c r="BX162" s="64">
        <f t="shared" si="201"/>
        <v>2676.5646821713913</v>
      </c>
      <c r="BY162" s="51">
        <f t="shared" si="208"/>
        <v>696.85920101067325</v>
      </c>
      <c r="BZ162" s="51">
        <f t="shared" si="208"/>
        <v>718.28110900446529</v>
      </c>
      <c r="CA162" s="51">
        <f t="shared" si="208"/>
        <v>752.79549840041898</v>
      </c>
      <c r="CB162" s="51">
        <f t="shared" si="208"/>
        <v>791.43677883866565</v>
      </c>
      <c r="CC162" s="64">
        <f t="shared" si="202"/>
        <v>2959.3725872542232</v>
      </c>
      <c r="CD162" s="51">
        <f t="shared" si="208"/>
        <v>766.32438194031965</v>
      </c>
      <c r="CE162" s="51">
        <f t="shared" si="208"/>
        <v>790.16900002281875</v>
      </c>
      <c r="CF162" s="51">
        <f t="shared" si="208"/>
        <v>828.43285384383046</v>
      </c>
      <c r="CG162" s="51">
        <f t="shared" si="208"/>
        <v>871.4730571646993</v>
      </c>
      <c r="CH162" s="64">
        <f t="shared" si="203"/>
        <v>3256.3992929716678</v>
      </c>
      <c r="CI162" s="51">
        <f t="shared" si="208"/>
        <v>830.23121298501792</v>
      </c>
      <c r="CJ162" s="51">
        <f t="shared" si="208"/>
        <v>856.34868301724293</v>
      </c>
      <c r="CK162" s="51">
        <f t="shared" si="208"/>
        <v>898.10929712377242</v>
      </c>
      <c r="CL162" s="51">
        <f t="shared" si="208"/>
        <v>945.28021126636509</v>
      </c>
      <c r="CM162" s="64">
        <f t="shared" si="204"/>
        <v>3529.9694043923982</v>
      </c>
    </row>
    <row r="163" spans="1:91" hidden="1" outlineLevel="1" x14ac:dyDescent="0.2">
      <c r="A163" s="47" t="s">
        <v>361</v>
      </c>
      <c r="B163" s="51">
        <f>313+12</f>
        <v>325</v>
      </c>
      <c r="C163" s="51">
        <v>460</v>
      </c>
      <c r="D163" s="51">
        <v>414</v>
      </c>
      <c r="E163" s="51">
        <v>366</v>
      </c>
      <c r="F163" s="64">
        <f t="shared" si="207"/>
        <v>1565</v>
      </c>
      <c r="G163" s="51">
        <v>388</v>
      </c>
      <c r="H163" s="51">
        <v>493</v>
      </c>
      <c r="I163" s="51">
        <v>383</v>
      </c>
      <c r="J163" s="51">
        <v>419</v>
      </c>
      <c r="K163" s="64">
        <f t="shared" si="188"/>
        <v>1683</v>
      </c>
      <c r="L163" s="51">
        <v>347</v>
      </c>
      <c r="M163" s="51">
        <v>500</v>
      </c>
      <c r="N163" s="51">
        <v>447</v>
      </c>
      <c r="O163" s="51">
        <f>402+10</f>
        <v>412</v>
      </c>
      <c r="P163" s="64">
        <f t="shared" si="189"/>
        <v>1706</v>
      </c>
      <c r="Q163" s="51">
        <f>324+2</f>
        <v>326</v>
      </c>
      <c r="R163" s="51">
        <f>457+4</f>
        <v>461</v>
      </c>
      <c r="S163" s="51">
        <f>392+6</f>
        <v>398</v>
      </c>
      <c r="T163" s="51">
        <v>411</v>
      </c>
      <c r="U163" s="64">
        <f t="shared" si="190"/>
        <v>1596</v>
      </c>
      <c r="V163" s="51">
        <v>433</v>
      </c>
      <c r="W163" s="51">
        <v>463</v>
      </c>
      <c r="X163" s="51">
        <f>433+2</f>
        <v>435</v>
      </c>
      <c r="Y163" s="51">
        <f>383+16</f>
        <v>399</v>
      </c>
      <c r="Z163" s="64">
        <f t="shared" si="191"/>
        <v>1730</v>
      </c>
      <c r="AA163" s="51">
        <f>425+4</f>
        <v>429</v>
      </c>
      <c r="AB163" s="51">
        <f>507+6</f>
        <v>513</v>
      </c>
      <c r="AC163" s="51">
        <v>501</v>
      </c>
      <c r="AD163" s="51">
        <v>511</v>
      </c>
      <c r="AE163" s="64">
        <f t="shared" si="192"/>
        <v>1954</v>
      </c>
      <c r="AF163" s="51">
        <v>556</v>
      </c>
      <c r="AG163" s="51">
        <v>835</v>
      </c>
      <c r="AH163" s="51">
        <v>787</v>
      </c>
      <c r="AI163" s="51">
        <v>641</v>
      </c>
      <c r="AJ163" s="64">
        <f t="shared" si="193"/>
        <v>2819</v>
      </c>
      <c r="AK163" s="51">
        <v>507</v>
      </c>
      <c r="AL163" s="51">
        <v>832</v>
      </c>
      <c r="AM163" s="51">
        <v>804</v>
      </c>
      <c r="AN163" s="51">
        <v>713</v>
      </c>
      <c r="AO163" s="64">
        <f t="shared" si="194"/>
        <v>2856</v>
      </c>
      <c r="AP163" s="51">
        <v>491</v>
      </c>
      <c r="AQ163" s="51">
        <v>827</v>
      </c>
      <c r="AR163" s="51">
        <v>830</v>
      </c>
      <c r="AS163" s="51">
        <v>630</v>
      </c>
      <c r="AT163" s="64">
        <f t="shared" si="195"/>
        <v>2778</v>
      </c>
      <c r="AU163" s="656">
        <v>450</v>
      </c>
      <c r="AV163" s="656">
        <v>846</v>
      </c>
      <c r="AW163" s="656">
        <v>821</v>
      </c>
      <c r="AX163" s="656">
        <v>672</v>
      </c>
      <c r="AY163" s="657">
        <f t="shared" si="196"/>
        <v>2789</v>
      </c>
      <c r="AZ163" s="656">
        <v>568</v>
      </c>
      <c r="BA163" s="656">
        <v>909</v>
      </c>
      <c r="BB163" s="656">
        <v>849</v>
      </c>
      <c r="BC163" s="656">
        <v>547</v>
      </c>
      <c r="BD163" s="657">
        <f t="shared" si="197"/>
        <v>2873</v>
      </c>
      <c r="BE163" s="656"/>
      <c r="BF163" s="656"/>
      <c r="BG163" s="656"/>
      <c r="BH163" s="656"/>
      <c r="BI163" s="657"/>
      <c r="BJ163" s="832"/>
      <c r="BK163" s="832"/>
      <c r="BL163" s="656"/>
      <c r="BM163" s="656"/>
      <c r="BN163" s="657"/>
      <c r="BO163" s="656"/>
      <c r="BP163" s="656"/>
      <c r="BQ163" s="656"/>
      <c r="BR163" s="656"/>
      <c r="BS163" s="657"/>
      <c r="BT163" s="656"/>
      <c r="BU163" s="656"/>
      <c r="BV163" s="656"/>
      <c r="BW163" s="656"/>
      <c r="BX163" s="657"/>
      <c r="BY163" s="656"/>
      <c r="BZ163" s="656"/>
      <c r="CA163" s="656"/>
      <c r="CB163" s="656"/>
      <c r="CC163" s="657"/>
      <c r="CD163" s="656"/>
      <c r="CE163" s="656"/>
      <c r="CF163" s="656"/>
      <c r="CG163" s="656"/>
      <c r="CH163" s="657"/>
      <c r="CI163" s="656"/>
      <c r="CJ163" s="656"/>
      <c r="CK163" s="656"/>
      <c r="CL163" s="656"/>
      <c r="CM163" s="657"/>
    </row>
    <row r="164" spans="1:91" collapsed="1" x14ac:dyDescent="0.2">
      <c r="A164" s="47" t="s">
        <v>13</v>
      </c>
      <c r="B164" s="51"/>
      <c r="C164" s="51"/>
      <c r="D164" s="51"/>
      <c r="E164" s="51"/>
      <c r="F164" s="64"/>
      <c r="G164" s="51"/>
      <c r="H164" s="51"/>
      <c r="I164" s="51"/>
      <c r="J164" s="51"/>
      <c r="K164" s="64"/>
      <c r="L164" s="51"/>
      <c r="M164" s="51"/>
      <c r="N164" s="51"/>
      <c r="O164" s="51"/>
      <c r="P164" s="64"/>
      <c r="Q164" s="51"/>
      <c r="R164" s="51"/>
      <c r="S164" s="51"/>
      <c r="T164" s="51"/>
      <c r="U164" s="64"/>
      <c r="V164" s="51"/>
      <c r="W164" s="51"/>
      <c r="X164" s="51"/>
      <c r="Y164" s="51"/>
      <c r="Z164" s="64"/>
      <c r="AA164" s="51"/>
      <c r="AB164" s="51"/>
      <c r="AC164" s="51"/>
      <c r="AD164" s="51"/>
      <c r="AE164" s="64"/>
      <c r="AF164" s="51"/>
      <c r="AG164" s="51"/>
      <c r="AH164" s="51"/>
      <c r="AI164" s="51"/>
      <c r="AJ164" s="64"/>
      <c r="AK164" s="51"/>
      <c r="AL164" s="51"/>
      <c r="AM164" s="51"/>
      <c r="AN164" s="51"/>
      <c r="AO164" s="64"/>
      <c r="AP164" s="51"/>
      <c r="AQ164" s="51"/>
      <c r="AR164" s="51"/>
      <c r="AS164" s="51"/>
      <c r="AT164" s="64">
        <v>2383</v>
      </c>
      <c r="AU164" s="51">
        <v>458</v>
      </c>
      <c r="AV164" s="51">
        <v>654</v>
      </c>
      <c r="AW164" s="51">
        <v>645</v>
      </c>
      <c r="AX164" s="51">
        <v>618</v>
      </c>
      <c r="AY164" s="64">
        <v>2375</v>
      </c>
      <c r="AZ164" s="51">
        <v>567</v>
      </c>
      <c r="BA164" s="51">
        <v>745</v>
      </c>
      <c r="BB164" s="51">
        <v>656</v>
      </c>
      <c r="BC164" s="51">
        <v>551</v>
      </c>
      <c r="BD164" s="64">
        <v>2519</v>
      </c>
      <c r="BE164" s="51">
        <v>596</v>
      </c>
      <c r="BF164" s="51">
        <v>736</v>
      </c>
      <c r="BG164" s="51">
        <v>699</v>
      </c>
      <c r="BH164" s="51">
        <v>638</v>
      </c>
      <c r="BI164" s="64">
        <f t="shared" si="205"/>
        <v>2669</v>
      </c>
      <c r="BJ164" s="51">
        <v>599</v>
      </c>
      <c r="BK164" s="51">
        <v>799</v>
      </c>
      <c r="BL164" s="51">
        <v>701</v>
      </c>
      <c r="BM164" s="51">
        <v>719</v>
      </c>
      <c r="BN164" s="64">
        <f t="shared" si="199"/>
        <v>2818</v>
      </c>
      <c r="BO164" s="51">
        <v>564</v>
      </c>
      <c r="BP164" s="51">
        <f>BP93*BP195</f>
        <v>892.12065999175775</v>
      </c>
      <c r="BQ164" s="51">
        <f>BQ93*BQ195</f>
        <v>837.48867104307169</v>
      </c>
      <c r="BR164" s="51">
        <f>BR93*BR195</f>
        <v>843.72863429127699</v>
      </c>
      <c r="BS164" s="64">
        <f t="shared" si="200"/>
        <v>3137.3379653261068</v>
      </c>
      <c r="BT164" s="51">
        <f>BT93*BT195</f>
        <v>602.79170101368607</v>
      </c>
      <c r="BU164" s="51">
        <f>BU93*BU195</f>
        <v>946.08705424083462</v>
      </c>
      <c r="BV164" s="51">
        <f>BV93*BV195</f>
        <v>888.7464372731356</v>
      </c>
      <c r="BW164" s="51">
        <f>BW93*BW195</f>
        <v>893.74465586335964</v>
      </c>
      <c r="BX164" s="64">
        <f t="shared" si="201"/>
        <v>3331.3698483910161</v>
      </c>
      <c r="BY164" s="51">
        <f>BY93*BY195</f>
        <v>643.61317015667089</v>
      </c>
      <c r="BZ164" s="51">
        <f>BZ93*BZ195</f>
        <v>1002.4885235508635</v>
      </c>
      <c r="CA164" s="51">
        <f>CA93*CA195</f>
        <v>942.32592967306459</v>
      </c>
      <c r="CB164" s="51">
        <f>CB93*CB195</f>
        <v>946.0022829589052</v>
      </c>
      <c r="CC164" s="64">
        <f t="shared" si="202"/>
        <v>3534.4299063395042</v>
      </c>
      <c r="CD164" s="51">
        <f>CD93*CD195</f>
        <v>685.00871314078404</v>
      </c>
      <c r="CE164" s="51">
        <f>CE93*CE195</f>
        <v>1059.3615879082101</v>
      </c>
      <c r="CF164" s="51">
        <f>CF93*CF195</f>
        <v>996.381833765534</v>
      </c>
      <c r="CG164" s="51">
        <f>CG93*CG195</f>
        <v>998.64810234914933</v>
      </c>
      <c r="CH164" s="64">
        <f t="shared" si="203"/>
        <v>3739.4002371636775</v>
      </c>
      <c r="CI164" s="51">
        <f>CI93*CI195</f>
        <v>726.71601026298708</v>
      </c>
      <c r="CJ164" s="51">
        <f>CJ93*CJ195</f>
        <v>1116.7829753360127</v>
      </c>
      <c r="CK164" s="51">
        <f>CK93*CK195</f>
        <v>1050.9482374678587</v>
      </c>
      <c r="CL164" s="51">
        <f>CL93*CL195</f>
        <v>1051.8197860466271</v>
      </c>
      <c r="CM164" s="64">
        <f t="shared" si="204"/>
        <v>3946.2670091134855</v>
      </c>
    </row>
    <row r="165" spans="1:91" x14ac:dyDescent="0.2">
      <c r="A165" s="47" t="s">
        <v>184</v>
      </c>
      <c r="B165" s="51">
        <f>448+3</f>
        <v>451</v>
      </c>
      <c r="C165" s="51">
        <v>556</v>
      </c>
      <c r="D165" s="51">
        <f>349+85</f>
        <v>434</v>
      </c>
      <c r="E165" s="51">
        <v>468</v>
      </c>
      <c r="F165" s="64">
        <f t="shared" si="207"/>
        <v>1909</v>
      </c>
      <c r="G165" s="51">
        <f>363+3</f>
        <v>366</v>
      </c>
      <c r="H165" s="51">
        <f>492+2</f>
        <v>494</v>
      </c>
      <c r="I165" s="51">
        <f>421+15</f>
        <v>436</v>
      </c>
      <c r="J165" s="51">
        <f>374+42</f>
        <v>416</v>
      </c>
      <c r="K165" s="64">
        <f t="shared" si="188"/>
        <v>1712</v>
      </c>
      <c r="L165" s="51">
        <v>372</v>
      </c>
      <c r="M165" s="51">
        <v>507</v>
      </c>
      <c r="N165" s="51">
        <v>428</v>
      </c>
      <c r="O165" s="51">
        <f>393+2</f>
        <v>395</v>
      </c>
      <c r="P165" s="64">
        <f t="shared" si="189"/>
        <v>1702</v>
      </c>
      <c r="Q165" s="51">
        <v>388</v>
      </c>
      <c r="R165" s="51">
        <v>604</v>
      </c>
      <c r="S165" s="51">
        <v>491</v>
      </c>
      <c r="T165" s="51">
        <v>375</v>
      </c>
      <c r="U165" s="64">
        <f t="shared" si="190"/>
        <v>1858</v>
      </c>
      <c r="V165" s="51">
        <v>456</v>
      </c>
      <c r="W165" s="51">
        <v>594</v>
      </c>
      <c r="X165" s="51">
        <f>442+1</f>
        <v>443</v>
      </c>
      <c r="Y165" s="51">
        <v>395</v>
      </c>
      <c r="Z165" s="64">
        <f t="shared" si="191"/>
        <v>1888</v>
      </c>
      <c r="AA165" s="51">
        <v>501</v>
      </c>
      <c r="AB165" s="51">
        <f>629+5</f>
        <v>634</v>
      </c>
      <c r="AC165" s="51">
        <f>590+8</f>
        <v>598</v>
      </c>
      <c r="AD165" s="51">
        <f>394+9</f>
        <v>403</v>
      </c>
      <c r="AE165" s="64">
        <f t="shared" si="192"/>
        <v>2136</v>
      </c>
      <c r="AF165" s="51">
        <f>466+79+1</f>
        <v>546</v>
      </c>
      <c r="AG165" s="51">
        <f>759+4</f>
        <v>763</v>
      </c>
      <c r="AH165" s="51">
        <f>629+2-1</f>
        <v>630</v>
      </c>
      <c r="AI165" s="51">
        <f>385+1</f>
        <v>386</v>
      </c>
      <c r="AJ165" s="64">
        <f t="shared" si="193"/>
        <v>2325</v>
      </c>
      <c r="AK165" s="51">
        <v>602</v>
      </c>
      <c r="AL165" s="51">
        <v>874</v>
      </c>
      <c r="AM165" s="51">
        <v>613</v>
      </c>
      <c r="AN165" s="51">
        <f>427+2-1</f>
        <v>428</v>
      </c>
      <c r="AO165" s="64">
        <f t="shared" si="194"/>
        <v>2517</v>
      </c>
      <c r="AP165" s="51">
        <v>610</v>
      </c>
      <c r="AQ165" s="51">
        <v>852</v>
      </c>
      <c r="AR165" s="51">
        <v>643</v>
      </c>
      <c r="AS165" s="51">
        <v>475</v>
      </c>
      <c r="AT165" s="64">
        <f t="shared" si="195"/>
        <v>2580</v>
      </c>
      <c r="AU165" s="51">
        <v>564</v>
      </c>
      <c r="AV165" s="51">
        <v>847</v>
      </c>
      <c r="AW165" s="51">
        <v>640</v>
      </c>
      <c r="AX165" s="51">
        <v>434</v>
      </c>
      <c r="AY165" s="64">
        <f t="shared" si="196"/>
        <v>2485</v>
      </c>
      <c r="AZ165" s="51">
        <v>541</v>
      </c>
      <c r="BA165" s="51">
        <v>763</v>
      </c>
      <c r="BB165" s="51">
        <v>573</v>
      </c>
      <c r="BC165" s="51">
        <v>316</v>
      </c>
      <c r="BD165" s="64">
        <f t="shared" si="197"/>
        <v>2193</v>
      </c>
      <c r="BE165" s="51">
        <v>552</v>
      </c>
      <c r="BF165" s="51">
        <v>758</v>
      </c>
      <c r="BG165" s="51">
        <v>583</v>
      </c>
      <c r="BH165" s="51">
        <v>332</v>
      </c>
      <c r="BI165" s="64">
        <f t="shared" si="205"/>
        <v>2225</v>
      </c>
      <c r="BJ165" s="51">
        <v>542</v>
      </c>
      <c r="BK165" s="51">
        <v>711</v>
      </c>
      <c r="BL165" s="51">
        <v>574</v>
      </c>
      <c r="BM165" s="51">
        <v>330</v>
      </c>
      <c r="BN165" s="64">
        <f t="shared" si="199"/>
        <v>2157</v>
      </c>
      <c r="BO165" s="51">
        <v>565</v>
      </c>
      <c r="BP165" s="51">
        <f t="shared" ref="BP165:CL165" si="209">BP104*BP196</f>
        <v>724.77057231013623</v>
      </c>
      <c r="BQ165" s="51">
        <f t="shared" si="209"/>
        <v>558.72278477439545</v>
      </c>
      <c r="BR165" s="51">
        <f t="shared" si="209"/>
        <v>331.60522824604413</v>
      </c>
      <c r="BS165" s="64">
        <f t="shared" si="200"/>
        <v>2180.0985853305756</v>
      </c>
      <c r="BT165" s="51">
        <f t="shared" si="209"/>
        <v>593.95548096096638</v>
      </c>
      <c r="BU165" s="51">
        <f t="shared" si="209"/>
        <v>762.72378825867486</v>
      </c>
      <c r="BV165" s="51">
        <f t="shared" si="209"/>
        <v>589.6772730153973</v>
      </c>
      <c r="BW165" s="51">
        <f t="shared" si="209"/>
        <v>351.64154248317101</v>
      </c>
      <c r="BX165" s="64">
        <f t="shared" si="201"/>
        <v>2297.9980847182096</v>
      </c>
      <c r="BY165" s="51">
        <f t="shared" si="209"/>
        <v>625.16606688607499</v>
      </c>
      <c r="BZ165" s="51">
        <f t="shared" si="209"/>
        <v>802.44588537253117</v>
      </c>
      <c r="CA165" s="51">
        <f t="shared" si="209"/>
        <v>622.11414002192078</v>
      </c>
      <c r="CB165" s="51">
        <f t="shared" si="209"/>
        <v>372.67418231229539</v>
      </c>
      <c r="CC165" s="64">
        <f t="shared" si="202"/>
        <v>2422.4002745928224</v>
      </c>
      <c r="CD165" s="51">
        <f t="shared" si="209"/>
        <v>657.83379836176391</v>
      </c>
      <c r="CE165" s="51">
        <f t="shared" si="209"/>
        <v>844.01419264374067</v>
      </c>
      <c r="CF165" s="51">
        <f t="shared" si="209"/>
        <v>656.09923305945688</v>
      </c>
      <c r="CG165" s="51">
        <f t="shared" si="209"/>
        <v>394.74834603991661</v>
      </c>
      <c r="CH165" s="64">
        <f t="shared" si="203"/>
        <v>2552.6955701048782</v>
      </c>
      <c r="CI165" s="51">
        <f t="shared" si="209"/>
        <v>691.32466377729133</v>
      </c>
      <c r="CJ165" s="51">
        <f t="shared" si="209"/>
        <v>886.63712297509824</v>
      </c>
      <c r="CK165" s="51">
        <f t="shared" si="209"/>
        <v>690.91128737737154</v>
      </c>
      <c r="CL165" s="51">
        <f t="shared" si="209"/>
        <v>417.32701052989967</v>
      </c>
      <c r="CM165" s="64">
        <f t="shared" si="204"/>
        <v>2686.2000846596611</v>
      </c>
    </row>
    <row r="166" spans="1:91" hidden="1" outlineLevel="1" x14ac:dyDescent="0.2">
      <c r="A166" s="47" t="s">
        <v>360</v>
      </c>
      <c r="B166" s="51">
        <f>-55</f>
        <v>-55</v>
      </c>
      <c r="C166" s="51">
        <v>53</v>
      </c>
      <c r="D166" s="51">
        <v>9</v>
      </c>
      <c r="E166" s="51">
        <f>-40</f>
        <v>-40</v>
      </c>
      <c r="F166" s="64">
        <f t="shared" si="207"/>
        <v>-33</v>
      </c>
      <c r="G166" s="51">
        <f>-57+42</f>
        <v>-15</v>
      </c>
      <c r="H166" s="51">
        <f>87+2</f>
        <v>89</v>
      </c>
      <c r="I166" s="51">
        <f>47+16</f>
        <v>63</v>
      </c>
      <c r="J166" s="51">
        <f>-59+27</f>
        <v>-32</v>
      </c>
      <c r="K166" s="64">
        <f t="shared" si="188"/>
        <v>105</v>
      </c>
      <c r="L166" s="51">
        <f>-2+6</f>
        <v>4</v>
      </c>
      <c r="M166" s="51">
        <v>98</v>
      </c>
      <c r="N166" s="51">
        <f>58+14</f>
        <v>72</v>
      </c>
      <c r="O166" s="51">
        <f>22+4</f>
        <v>26</v>
      </c>
      <c r="P166" s="64">
        <f t="shared" si="189"/>
        <v>200</v>
      </c>
      <c r="Q166" s="51">
        <v>17</v>
      </c>
      <c r="R166" s="51">
        <v>165</v>
      </c>
      <c r="S166" s="51">
        <f>66+12</f>
        <v>78</v>
      </c>
      <c r="T166" s="51">
        <f>25+21</f>
        <v>46</v>
      </c>
      <c r="U166" s="64">
        <f t="shared" si="190"/>
        <v>306</v>
      </c>
      <c r="V166" s="51">
        <v>-4</v>
      </c>
      <c r="W166" s="51">
        <v>148</v>
      </c>
      <c r="X166" s="51">
        <f>83+18</f>
        <v>101</v>
      </c>
      <c r="Y166" s="51">
        <f>43+32</f>
        <v>75</v>
      </c>
      <c r="Z166" s="64">
        <f t="shared" si="191"/>
        <v>320</v>
      </c>
      <c r="AA166" s="51">
        <f>6+33</f>
        <v>39</v>
      </c>
      <c r="AB166" s="51">
        <f>137+11</f>
        <v>148</v>
      </c>
      <c r="AC166" s="51">
        <v>90</v>
      </c>
      <c r="AD166" s="51">
        <v>72</v>
      </c>
      <c r="AE166" s="64">
        <f t="shared" si="192"/>
        <v>349</v>
      </c>
      <c r="AF166" s="51">
        <v>32</v>
      </c>
      <c r="AG166" s="51">
        <v>127</v>
      </c>
      <c r="AH166" s="51">
        <v>92</v>
      </c>
      <c r="AI166" s="51">
        <v>80</v>
      </c>
      <c r="AJ166" s="64">
        <f t="shared" si="193"/>
        <v>331</v>
      </c>
      <c r="AK166" s="51">
        <v>30</v>
      </c>
      <c r="AL166" s="51">
        <v>129</v>
      </c>
      <c r="AM166" s="51">
        <v>61</v>
      </c>
      <c r="AN166" s="51">
        <v>90</v>
      </c>
      <c r="AO166" s="64">
        <f t="shared" si="194"/>
        <v>310</v>
      </c>
      <c r="AP166" s="51">
        <v>68</v>
      </c>
      <c r="AQ166" s="51">
        <v>144</v>
      </c>
      <c r="AR166" s="51">
        <v>59</v>
      </c>
      <c r="AS166" s="51">
        <v>37</v>
      </c>
      <c r="AT166" s="64">
        <f t="shared" si="195"/>
        <v>308</v>
      </c>
      <c r="AU166" s="656">
        <v>15</v>
      </c>
      <c r="AV166" s="656">
        <v>125</v>
      </c>
      <c r="AW166" s="656">
        <v>58</v>
      </c>
      <c r="AX166" s="656">
        <v>61</v>
      </c>
      <c r="AY166" s="657">
        <f t="shared" si="196"/>
        <v>259</v>
      </c>
      <c r="AZ166" s="656">
        <v>45</v>
      </c>
      <c r="BA166" s="656">
        <v>131</v>
      </c>
      <c r="BB166" s="656">
        <v>90</v>
      </c>
      <c r="BC166" s="656">
        <v>93</v>
      </c>
      <c r="BD166" s="657">
        <f t="shared" si="197"/>
        <v>359</v>
      </c>
      <c r="BE166" s="656"/>
      <c r="BF166" s="656"/>
      <c r="BG166" s="656"/>
      <c r="BH166" s="656"/>
      <c r="BI166" s="657"/>
      <c r="BJ166" s="832"/>
      <c r="BK166" s="832"/>
      <c r="BL166" s="656"/>
      <c r="BM166" s="656"/>
      <c r="BN166" s="657"/>
      <c r="BO166" s="656"/>
      <c r="BP166" s="656"/>
      <c r="BQ166" s="656"/>
      <c r="BR166" s="656"/>
      <c r="BS166" s="657"/>
      <c r="BT166" s="656"/>
      <c r="BU166" s="656"/>
      <c r="BV166" s="656"/>
      <c r="BW166" s="656"/>
      <c r="BX166" s="657"/>
      <c r="BY166" s="656"/>
      <c r="BZ166" s="656"/>
      <c r="CA166" s="656"/>
      <c r="CB166" s="656"/>
      <c r="CC166" s="657"/>
      <c r="CD166" s="656"/>
      <c r="CE166" s="656"/>
      <c r="CF166" s="656"/>
      <c r="CG166" s="656"/>
      <c r="CH166" s="657"/>
      <c r="CI166" s="656"/>
      <c r="CJ166" s="656"/>
      <c r="CK166" s="656"/>
      <c r="CL166" s="656"/>
      <c r="CM166" s="657"/>
    </row>
    <row r="167" spans="1:91" collapsed="1" x14ac:dyDescent="0.2">
      <c r="A167" s="47" t="s">
        <v>185</v>
      </c>
      <c r="B167" s="51"/>
      <c r="C167" s="51"/>
      <c r="D167" s="51"/>
      <c r="E167" s="51"/>
      <c r="F167" s="64"/>
      <c r="G167" s="51"/>
      <c r="H167" s="51"/>
      <c r="I167" s="51"/>
      <c r="J167" s="51"/>
      <c r="K167" s="64"/>
      <c r="L167" s="51"/>
      <c r="M167" s="51"/>
      <c r="N167" s="51"/>
      <c r="O167" s="51"/>
      <c r="P167" s="64"/>
      <c r="Q167" s="51"/>
      <c r="R167" s="51"/>
      <c r="S167" s="51"/>
      <c r="T167" s="51"/>
      <c r="U167" s="64"/>
      <c r="V167" s="51"/>
      <c r="W167" s="51"/>
      <c r="X167" s="51"/>
      <c r="Y167" s="51"/>
      <c r="Z167" s="64"/>
      <c r="AA167" s="51"/>
      <c r="AB167" s="51"/>
      <c r="AC167" s="51"/>
      <c r="AD167" s="51"/>
      <c r="AE167" s="64"/>
      <c r="AF167" s="51"/>
      <c r="AG167" s="51"/>
      <c r="AH167" s="51"/>
      <c r="AI167" s="51"/>
      <c r="AJ167" s="64"/>
      <c r="AK167" s="51"/>
      <c r="AL167" s="51"/>
      <c r="AM167" s="51"/>
      <c r="AN167" s="51"/>
      <c r="AO167" s="64"/>
      <c r="AP167" s="51"/>
      <c r="AQ167" s="51"/>
      <c r="AR167" s="51"/>
      <c r="AS167" s="51"/>
      <c r="AT167" s="64">
        <v>703</v>
      </c>
      <c r="AU167" s="51">
        <v>7</v>
      </c>
      <c r="AV167" s="51">
        <v>317</v>
      </c>
      <c r="AW167" s="51">
        <v>234</v>
      </c>
      <c r="AX167" s="51">
        <v>115</v>
      </c>
      <c r="AY167" s="64">
        <v>673</v>
      </c>
      <c r="AZ167" s="51">
        <v>46</v>
      </c>
      <c r="BA167" s="51">
        <v>295</v>
      </c>
      <c r="BB167" s="51">
        <v>283</v>
      </c>
      <c r="BC167" s="51">
        <v>89</v>
      </c>
      <c r="BD167" s="64">
        <v>713</v>
      </c>
      <c r="BE167" s="51">
        <v>105</v>
      </c>
      <c r="BF167" s="51">
        <v>271</v>
      </c>
      <c r="BG167" s="51">
        <v>204</v>
      </c>
      <c r="BH167" s="51">
        <v>52</v>
      </c>
      <c r="BI167" s="64">
        <f>SUM(BE167:BH167)</f>
        <v>632</v>
      </c>
      <c r="BJ167" s="51">
        <v>48</v>
      </c>
      <c r="BK167" s="51">
        <v>88</v>
      </c>
      <c r="BL167" s="51">
        <v>12</v>
      </c>
      <c r="BM167" s="51">
        <v>-11</v>
      </c>
      <c r="BN167" s="64">
        <f>SUM(BJ167:BM167)</f>
        <v>137</v>
      </c>
      <c r="BO167" s="51">
        <v>-10</v>
      </c>
      <c r="BP167" s="51">
        <f t="shared" ref="BP167:CL167" si="210">BP125*BP198</f>
        <v>-5.41757405782558</v>
      </c>
      <c r="BQ167" s="51">
        <f t="shared" si="210"/>
        <v>-3.8364835246118063</v>
      </c>
      <c r="BR167" s="51">
        <f t="shared" si="210"/>
        <v>-4.2188469446184396</v>
      </c>
      <c r="BS167" s="64">
        <f>SUM(BO167:BR167)</f>
        <v>-23.472904527055825</v>
      </c>
      <c r="BT167" s="51">
        <f t="shared" si="210"/>
        <v>-1.6304799042736906</v>
      </c>
      <c r="BU167" s="51">
        <f t="shared" si="210"/>
        <v>2.3137009207914403</v>
      </c>
      <c r="BV167" s="51">
        <f t="shared" si="210"/>
        <v>2.3805509011274131</v>
      </c>
      <c r="BW167" s="51">
        <f t="shared" si="210"/>
        <v>-0.83488960235969245</v>
      </c>
      <c r="BX167" s="64">
        <f>SUM(BT167:BW167)</f>
        <v>2.2288823152854702</v>
      </c>
      <c r="BY167" s="51">
        <f t="shared" si="210"/>
        <v>7.1552668361920331</v>
      </c>
      <c r="BZ167" s="51">
        <f t="shared" si="210"/>
        <v>10.434925632125452</v>
      </c>
      <c r="CA167" s="51">
        <f t="shared" si="210"/>
        <v>8.9108348503564745</v>
      </c>
      <c r="CB167" s="51">
        <f t="shared" si="210"/>
        <v>2.7209023863523782</v>
      </c>
      <c r="CC167" s="64">
        <f>SUM(BY167:CB167)</f>
        <v>29.221929705026341</v>
      </c>
      <c r="CD167" s="51">
        <f t="shared" si="210"/>
        <v>16.221502207878565</v>
      </c>
      <c r="CE167" s="51">
        <f t="shared" si="210"/>
        <v>18.775782437746273</v>
      </c>
      <c r="CF167" s="51">
        <f t="shared" si="210"/>
        <v>15.61232910246321</v>
      </c>
      <c r="CG167" s="51">
        <f t="shared" si="210"/>
        <v>6.392030114350292</v>
      </c>
      <c r="CH167" s="64">
        <f>SUM(CD167:CG167)</f>
        <v>57.001643862438343</v>
      </c>
      <c r="CI167" s="51">
        <f t="shared" si="210"/>
        <v>24.989784082885002</v>
      </c>
      <c r="CJ167" s="51">
        <f t="shared" si="210"/>
        <v>26.845323469583732</v>
      </c>
      <c r="CK167" s="51">
        <f t="shared" si="210"/>
        <v>22.096216418961085</v>
      </c>
      <c r="CL167" s="51">
        <f t="shared" si="210"/>
        <v>9.9423814145833589</v>
      </c>
      <c r="CM167" s="64">
        <f>SUM(CI167:CL167)</f>
        <v>83.873705386013171</v>
      </c>
    </row>
    <row r="168" spans="1:91" x14ac:dyDescent="0.2">
      <c r="A168" s="47" t="s">
        <v>186</v>
      </c>
      <c r="B168" s="51">
        <f>-275+22</f>
        <v>-253</v>
      </c>
      <c r="C168" s="51">
        <f>-245-42</f>
        <v>-287</v>
      </c>
      <c r="D168" s="51">
        <v>-267</v>
      </c>
      <c r="E168" s="51">
        <f>-454-5</f>
        <v>-459</v>
      </c>
      <c r="F168" s="64">
        <f t="shared" si="207"/>
        <v>-1266</v>
      </c>
      <c r="G168" s="51">
        <v>-270</v>
      </c>
      <c r="H168" s="51">
        <v>-279</v>
      </c>
      <c r="I168" s="51">
        <v>-320</v>
      </c>
      <c r="J168" s="51">
        <f>-565+1+100</f>
        <v>-464</v>
      </c>
      <c r="K168" s="64">
        <f t="shared" si="188"/>
        <v>-1333</v>
      </c>
      <c r="L168" s="51">
        <f>-308+2</f>
        <v>-306</v>
      </c>
      <c r="M168" s="51">
        <v>-295</v>
      </c>
      <c r="N168" s="51">
        <f>-366+34</f>
        <v>-332</v>
      </c>
      <c r="O168" s="51">
        <f>-519+86</f>
        <v>-433</v>
      </c>
      <c r="P168" s="64">
        <f t="shared" si="189"/>
        <v>-1366</v>
      </c>
      <c r="Q168" s="51">
        <f>-323+76</f>
        <v>-247</v>
      </c>
      <c r="R168" s="51">
        <v>-257</v>
      </c>
      <c r="S168" s="51">
        <f>-297+28</f>
        <v>-269</v>
      </c>
      <c r="T168" s="51">
        <f>-394+42</f>
        <v>-352</v>
      </c>
      <c r="U168" s="64">
        <f t="shared" si="190"/>
        <v>-1125</v>
      </c>
      <c r="V168" s="51">
        <v>-283</v>
      </c>
      <c r="W168" s="51">
        <v>-275</v>
      </c>
      <c r="X168" s="51">
        <f>-323+3+22</f>
        <v>-298</v>
      </c>
      <c r="Y168" s="51">
        <f>-395+48</f>
        <v>-347</v>
      </c>
      <c r="Z168" s="64">
        <f t="shared" si="191"/>
        <v>-1203</v>
      </c>
      <c r="AA168" s="51">
        <f>-296+30</f>
        <v>-266</v>
      </c>
      <c r="AB168" s="51">
        <f>-293+52</f>
        <v>-241</v>
      </c>
      <c r="AC168" s="51">
        <v>-334</v>
      </c>
      <c r="AD168" s="51">
        <v>-371</v>
      </c>
      <c r="AE168" s="64">
        <f t="shared" si="192"/>
        <v>-1212</v>
      </c>
      <c r="AF168" s="51">
        <v>-305</v>
      </c>
      <c r="AG168" s="51">
        <v>-321</v>
      </c>
      <c r="AH168" s="51">
        <v>-378</v>
      </c>
      <c r="AI168" s="51">
        <v>-370</v>
      </c>
      <c r="AJ168" s="64">
        <f t="shared" si="193"/>
        <v>-1374</v>
      </c>
      <c r="AK168" s="51">
        <v>-279</v>
      </c>
      <c r="AL168" s="51">
        <v>-299</v>
      </c>
      <c r="AM168" s="51">
        <v>-364</v>
      </c>
      <c r="AN168" s="51">
        <v>-405</v>
      </c>
      <c r="AO168" s="64">
        <f t="shared" si="194"/>
        <v>-1347</v>
      </c>
      <c r="AP168" s="51">
        <v>-288</v>
      </c>
      <c r="AQ168" s="51">
        <v>-305</v>
      </c>
      <c r="AR168" s="51">
        <v>-383</v>
      </c>
      <c r="AS168" s="51">
        <v>-348</v>
      </c>
      <c r="AT168" s="64">
        <f t="shared" si="195"/>
        <v>-1324</v>
      </c>
      <c r="AU168" s="51">
        <v>-260</v>
      </c>
      <c r="AV168" s="51">
        <v>-307</v>
      </c>
      <c r="AW168" s="51">
        <v>-352</v>
      </c>
      <c r="AX168" s="51">
        <v>-344</v>
      </c>
      <c r="AY168" s="64">
        <f t="shared" si="196"/>
        <v>-1263</v>
      </c>
      <c r="AZ168" s="51">
        <v>-253</v>
      </c>
      <c r="BA168" s="51">
        <v>-291</v>
      </c>
      <c r="BB168" s="51">
        <v>-278</v>
      </c>
      <c r="BC168" s="51">
        <v>-305</v>
      </c>
      <c r="BD168" s="64">
        <f t="shared" si="197"/>
        <v>-1127</v>
      </c>
      <c r="BE168" s="51">
        <v>-259</v>
      </c>
      <c r="BF168" s="51">
        <v>-283</v>
      </c>
      <c r="BG168" s="51">
        <v>-430</v>
      </c>
      <c r="BH168" s="51">
        <v>-329</v>
      </c>
      <c r="BI168" s="64">
        <f t="shared" si="205"/>
        <v>-1301</v>
      </c>
      <c r="BJ168" s="51">
        <v>-304</v>
      </c>
      <c r="BK168" s="51">
        <v>-329</v>
      </c>
      <c r="BL168" s="51">
        <v>-347</v>
      </c>
      <c r="BM168" s="51">
        <v>-468</v>
      </c>
      <c r="BN168" s="64">
        <f t="shared" si="199"/>
        <v>-1448</v>
      </c>
      <c r="BO168" s="51">
        <v>-272</v>
      </c>
      <c r="BP168" s="51">
        <f>-BP7*BP199</f>
        <v>-348.66112859891302</v>
      </c>
      <c r="BQ168" s="51">
        <f>-BQ7*BQ199</f>
        <v>-350.43164114538268</v>
      </c>
      <c r="BR168" s="51">
        <f>-BR7*BR199</f>
        <v>-488.15184706124654</v>
      </c>
      <c r="BS168" s="64">
        <f t="shared" si="200"/>
        <v>-1459.2446168055424</v>
      </c>
      <c r="BT168" s="51">
        <f>-BT7*BT199</f>
        <v>-286.02420739407745</v>
      </c>
      <c r="BU168" s="51">
        <f>-BU7*BU199</f>
        <v>-367.29046717814009</v>
      </c>
      <c r="BV168" s="51">
        <f>-BV7*BV199</f>
        <v>-369.26929656016637</v>
      </c>
      <c r="BW168" s="51">
        <f>-BW7*BW199</f>
        <v>-513.25437465234643</v>
      </c>
      <c r="BX168" s="64">
        <f t="shared" si="201"/>
        <v>-1535.8383457847303</v>
      </c>
      <c r="BY168" s="51">
        <f>-BY7*BY199</f>
        <v>-301.7346636587597</v>
      </c>
      <c r="BZ168" s="51">
        <f>-BZ7*BZ199</f>
        <v>-386.77635992217034</v>
      </c>
      <c r="CA168" s="51">
        <f>-CA7*CA199</f>
        <v>-388.97193404282461</v>
      </c>
      <c r="CB168" s="51">
        <f>-CB7*CB199</f>
        <v>-539.43871775079162</v>
      </c>
      <c r="CC168" s="64">
        <f t="shared" si="202"/>
        <v>-1616.9216753745463</v>
      </c>
      <c r="CD168" s="51">
        <f>-CD7*CD199</f>
        <v>-316.80159059909391</v>
      </c>
      <c r="CE168" s="51">
        <f>-CE7*CE199</f>
        <v>-405.49368820849293</v>
      </c>
      <c r="CF168" s="51">
        <f>-CF7*CF199</f>
        <v>-407.95975179748757</v>
      </c>
      <c r="CG168" s="51">
        <f>-CG7*CG199</f>
        <v>-564.64122229361453</v>
      </c>
      <c r="CH168" s="64">
        <f t="shared" si="203"/>
        <v>-1694.896252898689</v>
      </c>
      <c r="CI168" s="51">
        <f>-CI7*CI199</f>
        <v>-331.98414222425026</v>
      </c>
      <c r="CJ168" s="51">
        <f>-CJ7*CJ199</f>
        <v>-424.37207205839979</v>
      </c>
      <c r="CK168" s="51">
        <f>-CK7*CK199</f>
        <v>-427.04436661520685</v>
      </c>
      <c r="CL168" s="51">
        <f>-CL7*CL199</f>
        <v>-589.63969485510802</v>
      </c>
      <c r="CM168" s="64">
        <f t="shared" si="204"/>
        <v>-1773.0402757529648</v>
      </c>
    </row>
    <row r="169" spans="1:91" x14ac:dyDescent="0.2">
      <c r="A169" s="71" t="s">
        <v>198</v>
      </c>
      <c r="B169" s="72">
        <v>1409</v>
      </c>
      <c r="C169" s="72">
        <v>1930</v>
      </c>
      <c r="D169" s="72">
        <v>1581</v>
      </c>
      <c r="E169" s="72">
        <v>1257</v>
      </c>
      <c r="F169" s="87">
        <f t="shared" si="207"/>
        <v>6177</v>
      </c>
      <c r="G169" s="72">
        <f t="shared" ref="G169:AS169" si="211">SUM(G160:G168)</f>
        <v>1440</v>
      </c>
      <c r="H169" s="72">
        <f t="shared" si="211"/>
        <v>2070</v>
      </c>
      <c r="I169" s="72">
        <f t="shared" si="211"/>
        <v>1701</v>
      </c>
      <c r="J169" s="72">
        <f t="shared" si="211"/>
        <v>1386</v>
      </c>
      <c r="K169" s="87">
        <f t="shared" si="211"/>
        <v>6597</v>
      </c>
      <c r="L169" s="72">
        <f t="shared" si="211"/>
        <v>1637</v>
      </c>
      <c r="M169" s="72">
        <f t="shared" si="211"/>
        <v>2318</v>
      </c>
      <c r="N169" s="72">
        <f t="shared" si="211"/>
        <v>1912</v>
      </c>
      <c r="O169" s="72">
        <f t="shared" si="211"/>
        <v>1652</v>
      </c>
      <c r="P169" s="87">
        <f t="shared" si="211"/>
        <v>7519</v>
      </c>
      <c r="Q169" s="72">
        <f t="shared" si="211"/>
        <v>1952</v>
      </c>
      <c r="R169" s="72">
        <f t="shared" si="211"/>
        <v>2789</v>
      </c>
      <c r="S169" s="72">
        <f t="shared" si="211"/>
        <v>2234</v>
      </c>
      <c r="T169" s="72">
        <f t="shared" si="211"/>
        <v>1814</v>
      </c>
      <c r="U169" s="87">
        <f t="shared" si="211"/>
        <v>8789</v>
      </c>
      <c r="V169" s="72">
        <f t="shared" si="211"/>
        <v>1955</v>
      </c>
      <c r="W169" s="72">
        <f t="shared" si="211"/>
        <v>2510</v>
      </c>
      <c r="X169" s="72">
        <f t="shared" si="211"/>
        <v>2198</v>
      </c>
      <c r="Y169" s="72">
        <f t="shared" si="211"/>
        <v>1881</v>
      </c>
      <c r="Z169" s="87">
        <f t="shared" si="211"/>
        <v>8544</v>
      </c>
      <c r="AA169" s="72">
        <f t="shared" si="211"/>
        <v>2279</v>
      </c>
      <c r="AB169" s="72">
        <f t="shared" si="211"/>
        <v>2841</v>
      </c>
      <c r="AC169" s="72">
        <f t="shared" si="211"/>
        <v>2444</v>
      </c>
      <c r="AD169" s="72">
        <f t="shared" si="211"/>
        <v>2015</v>
      </c>
      <c r="AE169" s="87">
        <f t="shared" si="211"/>
        <v>9579</v>
      </c>
      <c r="AF169" s="72">
        <f t="shared" si="211"/>
        <v>2503</v>
      </c>
      <c r="AG169" s="72">
        <f t="shared" si="211"/>
        <v>3351</v>
      </c>
      <c r="AH169" s="72">
        <f t="shared" si="211"/>
        <v>2962</v>
      </c>
      <c r="AI169" s="72">
        <f t="shared" si="211"/>
        <v>2234</v>
      </c>
      <c r="AJ169" s="87">
        <f t="shared" si="211"/>
        <v>11050</v>
      </c>
      <c r="AK169" s="72">
        <f t="shared" si="211"/>
        <v>2564</v>
      </c>
      <c r="AL169" s="72">
        <f t="shared" si="211"/>
        <v>3413</v>
      </c>
      <c r="AM169" s="72">
        <f t="shared" si="211"/>
        <v>2790</v>
      </c>
      <c r="AN169" s="72">
        <f t="shared" si="211"/>
        <v>2483</v>
      </c>
      <c r="AO169" s="87">
        <f t="shared" si="211"/>
        <v>11250</v>
      </c>
      <c r="AP169" s="72">
        <f t="shared" si="211"/>
        <v>2611</v>
      </c>
      <c r="AQ169" s="72">
        <f t="shared" si="211"/>
        <v>3418</v>
      </c>
      <c r="AR169" s="72">
        <f t="shared" si="211"/>
        <v>2848</v>
      </c>
      <c r="AS169" s="72">
        <f t="shared" si="211"/>
        <v>2383</v>
      </c>
      <c r="AT169" s="87">
        <f>SUM(AT162)+AT164+AT165+AT167+AT168+AT159</f>
        <v>11260</v>
      </c>
      <c r="AU169" s="72">
        <f t="shared" ref="AU169:BE169" si="212">SUM(AU162)+AU164+AU165+AU167+AU168+AU159</f>
        <v>2459</v>
      </c>
      <c r="AV169" s="72">
        <f t="shared" si="212"/>
        <v>3326</v>
      </c>
      <c r="AW169" s="72">
        <f t="shared" si="212"/>
        <v>2840</v>
      </c>
      <c r="AX169" s="72">
        <f t="shared" si="212"/>
        <v>2329</v>
      </c>
      <c r="AY169" s="87">
        <f t="shared" si="212"/>
        <v>10954</v>
      </c>
      <c r="AZ169" s="72">
        <f t="shared" si="212"/>
        <v>2508</v>
      </c>
      <c r="BA169" s="72">
        <f t="shared" si="212"/>
        <v>3154</v>
      </c>
      <c r="BB169" s="72">
        <f t="shared" si="212"/>
        <v>2705</v>
      </c>
      <c r="BC169" s="72">
        <f t="shared" si="212"/>
        <v>2006</v>
      </c>
      <c r="BD169" s="87">
        <f t="shared" si="212"/>
        <v>10373</v>
      </c>
      <c r="BE169" s="72">
        <f t="shared" si="212"/>
        <v>2447</v>
      </c>
      <c r="BF169" s="72">
        <f>SUM(BF162)+BF164+BF165+BF167+BF168+BF159</f>
        <v>3050</v>
      </c>
      <c r="BG169" s="72">
        <f>SUM(BG162)+BG164+BG165+BG167+BG168+BG159</f>
        <v>2482</v>
      </c>
      <c r="BH169" s="72">
        <f t="shared" ref="BH169" si="213">SUM(BH162)+BH164+BH165+BH167+BH168+BH159</f>
        <v>1979</v>
      </c>
      <c r="BI169" s="87">
        <f t="shared" ref="BI169" si="214">SUM(BI162)+BI164+BI165+BI167+BI168+BI159</f>
        <v>9958</v>
      </c>
      <c r="BJ169" s="72">
        <f t="shared" ref="BJ169:BK169" si="215">SUM(BJ162)+BJ164+BJ165+BJ167+BJ168+BJ159</f>
        <v>2252</v>
      </c>
      <c r="BK169" s="72">
        <f t="shared" si="215"/>
        <v>2899</v>
      </c>
      <c r="BL169" s="72">
        <f t="shared" ref="BL169" si="216">SUM(BL162)+BL164+BL165+BL167+BL168+BL159</f>
        <v>2443</v>
      </c>
      <c r="BM169" s="72">
        <f t="shared" ref="BM169" si="217">SUM(BM162)+BM164+BM165+BM167+BM168+BM159</f>
        <v>1946</v>
      </c>
      <c r="BN169" s="87">
        <f t="shared" ref="BN169" si="218">SUM(BN162)+BN164+BN165+BN167+BN168+BN159</f>
        <v>9540</v>
      </c>
      <c r="BO169" s="72">
        <f t="shared" ref="BO169" si="219">SUM(BO162)+BO164+BO165+BO167+BO168+BO159</f>
        <v>2337</v>
      </c>
      <c r="BP169" s="72">
        <f t="shared" ref="BP169" si="220">SUM(BP162)+BP164+BP165+BP167+BP168+BP159</f>
        <v>2886.6143747064043</v>
      </c>
      <c r="BQ169" s="72">
        <f t="shared" ref="BQ169" si="221">SUM(BQ162)+BQ164+BQ165+BQ167+BQ168+BQ159</f>
        <v>2642.8599366542803</v>
      </c>
      <c r="BR169" s="72">
        <f t="shared" ref="BR169" si="222">SUM(BR162)+BR164+BR165+BR167+BR168+BR159</f>
        <v>2170.2381049353507</v>
      </c>
      <c r="BS169" s="87">
        <f t="shared" ref="BS169" si="223">SUM(BS162)+BS164+BS165+BS167+BS168+BS159</f>
        <v>10036.712416296035</v>
      </c>
      <c r="BT169" s="72">
        <f t="shared" ref="BT169" si="224">SUM(BT162)+BT164+BT165+BT167+BT168+BT159</f>
        <v>2500.40742196679</v>
      </c>
      <c r="BU169" s="72">
        <f t="shared" ref="BU169" si="225">SUM(BU162)+BU164+BU165+BU167+BU168+BU159</f>
        <v>3091.2023806452739</v>
      </c>
      <c r="BV169" s="72">
        <f t="shared" ref="BV169" si="226">SUM(BV162)+BV164+BV165+BV167+BV168+BV159</f>
        <v>2836.5876567526493</v>
      </c>
      <c r="BW169" s="72">
        <f t="shared" ref="BW169" si="227">SUM(BW162)+BW164+BW165+BW167+BW168+BW159</f>
        <v>2339.1074078871688</v>
      </c>
      <c r="BX169" s="87">
        <f t="shared" ref="BX169" si="228">SUM(BX162)+BX164+BX165+BX167+BX168+BX159</f>
        <v>10767.304867251882</v>
      </c>
      <c r="BY169" s="72">
        <f t="shared" ref="BY169" si="229">SUM(BY162)+BY164+BY165+BY167+BY168+BY159</f>
        <v>2685.9408327565407</v>
      </c>
      <c r="BZ169" s="72">
        <f t="shared" ref="BZ169" si="230">SUM(BZ162)+BZ164+BZ165+BZ167+BZ168+BZ159</f>
        <v>3306.2976280622897</v>
      </c>
      <c r="CA169" s="72">
        <f t="shared" ref="CA169" si="231">SUM(CA162)+CA164+CA165+CA167+CA168+CA159</f>
        <v>3040.4210401089922</v>
      </c>
      <c r="CB169" s="72">
        <f t="shared" ref="CB169" si="232">SUM(CB162)+CB164+CB165+CB167+CB168+CB159</f>
        <v>2517.0708626850628</v>
      </c>
      <c r="CC169" s="87">
        <f t="shared" ref="CC169" si="233">SUM(CC162)+CC164+CC165+CC167+CC168+CC159</f>
        <v>11549.730363612885</v>
      </c>
      <c r="CD169" s="72">
        <f t="shared" ref="CD169" si="234">SUM(CD162)+CD164+CD165+CD167+CD168+CD159</f>
        <v>2870.1988270365264</v>
      </c>
      <c r="CE169" s="72">
        <f t="shared" ref="CE169" si="235">SUM(CE162)+CE164+CE165+CE167+CE168+CE159</f>
        <v>3519.5378281546764</v>
      </c>
      <c r="CF169" s="72">
        <f t="shared" ref="CF169" si="236">SUM(CF162)+CF164+CF165+CF167+CF168+CF159</f>
        <v>3242.6375978201863</v>
      </c>
      <c r="CG169" s="72">
        <f t="shared" ref="CG169" si="237">SUM(CG162)+CG164+CG165+CG167+CG168+CG159</f>
        <v>2694.5301472699562</v>
      </c>
      <c r="CH169" s="87">
        <f t="shared" ref="CH169" si="238">SUM(CH162)+CH164+CH165+CH167+CH168+CH159</f>
        <v>12326.904400281346</v>
      </c>
      <c r="CI169" s="72">
        <f t="shared" ref="CI169" si="239">SUM(CI162)+CI164+CI165+CI167+CI168+CI159</f>
        <v>3050.4619334172421</v>
      </c>
      <c r="CJ169" s="72">
        <f t="shared" ref="CJ169" si="240">SUM(CJ162)+CJ164+CJ165+CJ167+CJ168+CJ159</f>
        <v>3729.2029181325051</v>
      </c>
      <c r="CK169" s="72">
        <f t="shared" ref="CK169" si="241">SUM(CK162)+CK164+CK165+CK167+CK168+CK159</f>
        <v>3440.8316659732336</v>
      </c>
      <c r="CL169" s="72">
        <f t="shared" ref="CL169" si="242">SUM(CL162)+CL164+CL165+CL167+CL168+CL159</f>
        <v>2867.6535680450861</v>
      </c>
      <c r="CM169" s="87">
        <f t="shared" ref="CM169" si="243">SUM(CM162)+CM164+CM165+CM167+CM168+CM159</f>
        <v>13088.150085568068</v>
      </c>
    </row>
    <row r="170" spans="1:91" x14ac:dyDescent="0.2">
      <c r="A170" s="52"/>
      <c r="B170" s="61"/>
      <c r="C170" s="61"/>
      <c r="D170" s="61"/>
      <c r="E170" s="61"/>
      <c r="F170" s="113"/>
      <c r="G170" s="61"/>
      <c r="H170" s="61"/>
      <c r="I170" s="61"/>
      <c r="J170" s="61"/>
      <c r="K170" s="113"/>
      <c r="L170" s="61"/>
      <c r="M170" s="61"/>
      <c r="N170" s="61"/>
      <c r="O170" s="61"/>
      <c r="P170" s="113"/>
      <c r="Q170" s="61"/>
      <c r="R170" s="61"/>
      <c r="S170" s="61"/>
      <c r="T170" s="61"/>
      <c r="U170" s="113"/>
      <c r="V170" s="61"/>
      <c r="W170" s="61"/>
      <c r="X170" s="61"/>
      <c r="Y170" s="61"/>
      <c r="Z170" s="113"/>
      <c r="AA170" s="61"/>
      <c r="AB170" s="61"/>
      <c r="AC170" s="61"/>
      <c r="AD170" s="61"/>
      <c r="AE170" s="113"/>
      <c r="AF170" s="61"/>
      <c r="AG170" s="61"/>
      <c r="AH170" s="61"/>
      <c r="AI170" s="61"/>
      <c r="AJ170" s="113"/>
      <c r="AK170" s="61"/>
      <c r="AL170" s="61"/>
      <c r="AM170" s="61"/>
      <c r="AN170" s="61"/>
      <c r="AO170" s="113"/>
      <c r="AP170" s="61"/>
      <c r="AQ170" s="61"/>
      <c r="AR170" s="61"/>
      <c r="AS170" s="61"/>
      <c r="AT170" s="746"/>
      <c r="AU170" s="747"/>
      <c r="AV170" s="747"/>
      <c r="AW170" s="747"/>
      <c r="AX170" s="747"/>
      <c r="AY170" s="746"/>
      <c r="AZ170" s="747"/>
      <c r="BA170" s="747"/>
      <c r="BB170" s="747"/>
      <c r="BC170" s="747"/>
      <c r="BD170" s="746"/>
      <c r="BE170" s="747"/>
      <c r="BF170" s="747"/>
      <c r="BG170" s="747"/>
      <c r="BH170" s="747"/>
      <c r="BI170" s="746"/>
      <c r="BJ170" s="747"/>
      <c r="BK170" s="747"/>
      <c r="BL170" s="747"/>
      <c r="BM170" s="747"/>
      <c r="BN170" s="746"/>
      <c r="BO170" s="747"/>
      <c r="BP170" s="747"/>
      <c r="BQ170" s="747"/>
      <c r="BR170" s="747"/>
      <c r="BS170" s="746"/>
      <c r="BT170" s="747"/>
      <c r="BU170" s="747"/>
      <c r="BV170" s="747"/>
      <c r="BW170" s="747"/>
      <c r="BX170" s="746"/>
      <c r="BY170" s="747"/>
      <c r="BZ170" s="747"/>
      <c r="CA170" s="747"/>
      <c r="CB170" s="747"/>
      <c r="CC170" s="746"/>
      <c r="CD170" s="747"/>
      <c r="CE170" s="747"/>
      <c r="CF170" s="747"/>
      <c r="CG170" s="747"/>
      <c r="CH170" s="746"/>
      <c r="CI170" s="747"/>
      <c r="CJ170" s="747"/>
      <c r="CK170" s="747"/>
      <c r="CL170" s="747"/>
      <c r="CM170" s="746"/>
    </row>
    <row r="171" spans="1:91" x14ac:dyDescent="0.2">
      <c r="A171" s="92"/>
      <c r="B171" s="91"/>
      <c r="C171" s="91"/>
      <c r="D171" s="91"/>
      <c r="E171" s="91"/>
      <c r="F171" s="96"/>
      <c r="G171" s="91"/>
      <c r="H171" s="91"/>
      <c r="I171" s="91"/>
      <c r="J171" s="91"/>
      <c r="K171" s="103"/>
      <c r="L171" s="102"/>
      <c r="M171" s="102"/>
      <c r="N171" s="102"/>
      <c r="O171" s="102"/>
      <c r="P171" s="103"/>
      <c r="Q171" s="91"/>
      <c r="R171" s="91"/>
      <c r="S171" s="91"/>
      <c r="T171" s="91"/>
      <c r="U171" s="96"/>
      <c r="V171" s="91"/>
      <c r="W171" s="91"/>
      <c r="X171" s="91"/>
      <c r="Y171" s="91"/>
      <c r="Z171" s="96"/>
      <c r="AA171" s="91"/>
      <c r="AB171" s="91"/>
      <c r="AC171" s="91"/>
      <c r="AD171" s="91"/>
      <c r="AE171" s="96"/>
      <c r="AF171" s="91"/>
      <c r="AG171" s="91"/>
      <c r="AH171" s="91"/>
      <c r="AI171" s="91"/>
      <c r="AJ171" s="96"/>
      <c r="AK171" s="91"/>
      <c r="AL171" s="91"/>
      <c r="AM171" s="91"/>
      <c r="AN171" s="91"/>
      <c r="AO171" s="96"/>
      <c r="AP171" s="40"/>
      <c r="AQ171" s="40"/>
      <c r="AR171" s="40"/>
      <c r="AS171" s="40"/>
      <c r="AT171" s="104"/>
      <c r="AU171" s="91"/>
      <c r="AV171" s="91"/>
      <c r="AW171" s="91"/>
      <c r="AX171" s="146"/>
      <c r="AY171" s="147"/>
      <c r="AZ171" s="145"/>
      <c r="BA171" s="91"/>
      <c r="BB171" s="91"/>
      <c r="BC171" s="146"/>
      <c r="BD171" s="147"/>
      <c r="BE171" s="91"/>
      <c r="BF171" s="91"/>
      <c r="BG171" s="91"/>
      <c r="BH171" s="146"/>
      <c r="BI171" s="147"/>
      <c r="BJ171" s="91"/>
      <c r="BK171" s="91"/>
      <c r="BL171" s="91"/>
      <c r="BM171" s="146"/>
      <c r="BN171" s="147"/>
      <c r="BO171" s="91"/>
      <c r="BP171" s="91"/>
      <c r="BQ171" s="91"/>
      <c r="BR171" s="146"/>
      <c r="BS171" s="147"/>
      <c r="BT171" s="91"/>
      <c r="BU171" s="91"/>
      <c r="BV171" s="91"/>
      <c r="BW171" s="146"/>
      <c r="BX171" s="147"/>
      <c r="BY171" s="91"/>
      <c r="BZ171" s="91"/>
      <c r="CA171" s="91"/>
      <c r="CB171" s="146"/>
      <c r="CC171" s="147"/>
      <c r="CD171" s="91"/>
      <c r="CE171" s="91"/>
      <c r="CF171" s="91"/>
      <c r="CG171" s="146"/>
      <c r="CH171" s="147"/>
      <c r="CI171" s="91"/>
      <c r="CJ171" s="91"/>
      <c r="CK171" s="91"/>
      <c r="CL171" s="146"/>
      <c r="CM171" s="147"/>
    </row>
    <row r="172" spans="1:91" hidden="1" outlineLevel="1" x14ac:dyDescent="0.2">
      <c r="A172" s="52" t="s">
        <v>362</v>
      </c>
      <c r="B172" s="53"/>
      <c r="C172" s="53"/>
      <c r="D172" s="53"/>
      <c r="E172" s="53"/>
      <c r="F172" s="93"/>
      <c r="G172" s="38"/>
      <c r="H172" s="38"/>
      <c r="I172" s="38"/>
      <c r="J172" s="38"/>
      <c r="K172" s="93"/>
      <c r="L172" s="38"/>
      <c r="M172" s="38"/>
      <c r="N172" s="38"/>
      <c r="O172" s="38"/>
      <c r="P172" s="93"/>
      <c r="Q172" s="38"/>
      <c r="R172" s="38"/>
      <c r="S172" s="38"/>
      <c r="T172" s="38"/>
      <c r="U172" s="93"/>
      <c r="V172" s="38"/>
      <c r="W172" s="38"/>
      <c r="X172" s="38"/>
      <c r="Y172" s="38"/>
      <c r="Z172" s="93"/>
      <c r="AA172" s="38"/>
      <c r="AB172" s="38"/>
      <c r="AC172" s="38"/>
      <c r="AD172" s="38"/>
      <c r="AE172" s="93"/>
      <c r="AF172" s="38"/>
      <c r="AG172" s="38"/>
      <c r="AH172" s="38"/>
      <c r="AI172" s="38"/>
      <c r="AJ172" s="93"/>
      <c r="AK172" s="38"/>
      <c r="AL172" s="38"/>
      <c r="AM172" s="38"/>
      <c r="AN172" s="38"/>
      <c r="AO172" s="93"/>
      <c r="AP172" s="173"/>
      <c r="AQ172" s="173"/>
      <c r="AR172" s="173"/>
      <c r="AS172" s="173"/>
      <c r="AT172" s="175"/>
      <c r="AU172" s="69"/>
      <c r="AV172" s="69"/>
      <c r="AW172" s="69"/>
      <c r="AX172" s="69"/>
      <c r="AY172" s="176"/>
      <c r="AZ172" s="69"/>
      <c r="BA172" s="69"/>
      <c r="BB172" s="69"/>
      <c r="BC172" s="69"/>
      <c r="BD172" s="176"/>
      <c r="BE172" s="53"/>
      <c r="BF172" s="53"/>
      <c r="BG172" s="53"/>
      <c r="BH172" s="53"/>
      <c r="BI172" s="65"/>
      <c r="BJ172" s="53"/>
      <c r="BK172" s="53"/>
      <c r="BL172" s="53"/>
      <c r="BM172" s="53"/>
      <c r="BN172" s="65"/>
      <c r="BO172" s="53"/>
      <c r="BP172" s="53"/>
      <c r="BQ172" s="53"/>
      <c r="BR172" s="53"/>
      <c r="BS172" s="65"/>
      <c r="BT172" s="53"/>
      <c r="BU172" s="53"/>
      <c r="BV172" s="53"/>
      <c r="BW172" s="53"/>
      <c r="BX172" s="65"/>
      <c r="BY172" s="53"/>
      <c r="BZ172" s="53"/>
      <c r="CA172" s="53"/>
      <c r="CB172" s="53"/>
      <c r="CC172" s="65"/>
      <c r="CD172" s="53"/>
      <c r="CE172" s="53"/>
      <c r="CF172" s="53"/>
      <c r="CG172" s="53"/>
      <c r="CH172" s="65"/>
      <c r="CI172" s="53"/>
      <c r="CJ172" s="53"/>
      <c r="CK172" s="53"/>
      <c r="CL172" s="53"/>
      <c r="CM172" s="65"/>
    </row>
    <row r="173" spans="1:91" hidden="1" outlineLevel="1" x14ac:dyDescent="0.2">
      <c r="A173" s="47" t="s">
        <v>182</v>
      </c>
      <c r="B173" s="38" t="s">
        <v>169</v>
      </c>
      <c r="C173" s="38" t="s">
        <v>169</v>
      </c>
      <c r="D173" s="38" t="s">
        <v>169</v>
      </c>
      <c r="E173" s="38" t="s">
        <v>169</v>
      </c>
      <c r="F173" s="88" t="s">
        <v>169</v>
      </c>
      <c r="G173" s="59">
        <f t="shared" ref="G173:AT173" si="244">G160/SUM(G160:G166)</f>
        <v>8.6549707602339182E-2</v>
      </c>
      <c r="H173" s="59">
        <f t="shared" si="244"/>
        <v>7.577692635163899E-2</v>
      </c>
      <c r="I173" s="59">
        <f t="shared" si="244"/>
        <v>5.6902523503216229E-2</v>
      </c>
      <c r="J173" s="59">
        <f t="shared" si="244"/>
        <v>8.324324324324324E-2</v>
      </c>
      <c r="K173" s="78">
        <f t="shared" si="244"/>
        <v>7.5031525851197989E-2</v>
      </c>
      <c r="L173" s="59">
        <f t="shared" si="244"/>
        <v>8.3376222336592892E-2</v>
      </c>
      <c r="M173" s="59">
        <f t="shared" si="244"/>
        <v>7.7688480673555299E-2</v>
      </c>
      <c r="N173" s="59">
        <f t="shared" si="244"/>
        <v>6.6399286987522288E-2</v>
      </c>
      <c r="O173" s="59">
        <f t="shared" si="244"/>
        <v>9.1127098321342928E-2</v>
      </c>
      <c r="P173" s="78">
        <f t="shared" si="244"/>
        <v>7.9234665166010132E-2</v>
      </c>
      <c r="Q173" s="59">
        <f t="shared" si="244"/>
        <v>0.10322874033651659</v>
      </c>
      <c r="R173" s="59">
        <f t="shared" si="244"/>
        <v>8.8312541037426126E-2</v>
      </c>
      <c r="S173" s="59">
        <f t="shared" si="244"/>
        <v>7.1913703555733122E-2</v>
      </c>
      <c r="T173" s="59">
        <f t="shared" si="244"/>
        <v>7.3407202216066489E-2</v>
      </c>
      <c r="U173" s="78">
        <f t="shared" si="244"/>
        <v>8.4224329231389949E-2</v>
      </c>
      <c r="V173" s="59">
        <f t="shared" si="244"/>
        <v>9.2493297587131373E-2</v>
      </c>
      <c r="W173" s="59">
        <f t="shared" si="244"/>
        <v>8.833034111310592E-2</v>
      </c>
      <c r="X173" s="59">
        <f t="shared" si="244"/>
        <v>7.371794871794872E-2</v>
      </c>
      <c r="Y173" s="59">
        <f t="shared" si="244"/>
        <v>7.9443447037701981E-2</v>
      </c>
      <c r="Z173" s="78">
        <f t="shared" si="244"/>
        <v>8.3512875756643068E-2</v>
      </c>
      <c r="AA173" s="59">
        <f t="shared" si="244"/>
        <v>9.1944990176817287E-2</v>
      </c>
      <c r="AB173" s="59">
        <f t="shared" si="244"/>
        <v>8.7929915639195333E-2</v>
      </c>
      <c r="AC173" s="59">
        <f t="shared" si="244"/>
        <v>7.8473722102231816E-2</v>
      </c>
      <c r="AD173" s="59">
        <f t="shared" si="244"/>
        <v>8.298407376362113E-2</v>
      </c>
      <c r="AE173" s="78">
        <f t="shared" si="244"/>
        <v>8.5348901862663334E-2</v>
      </c>
      <c r="AF173" s="59">
        <f t="shared" si="244"/>
        <v>8.6538461538461536E-2</v>
      </c>
      <c r="AG173" s="59">
        <f t="shared" si="244"/>
        <v>8.0882352941176475E-2</v>
      </c>
      <c r="AH173" s="59">
        <f t="shared" si="244"/>
        <v>7.3053892215568864E-2</v>
      </c>
      <c r="AI173" s="59">
        <f t="shared" si="244"/>
        <v>8.8709677419354843E-2</v>
      </c>
      <c r="AJ173" s="78">
        <f t="shared" si="244"/>
        <v>8.169671603348358E-2</v>
      </c>
      <c r="AK173" s="59">
        <f t="shared" si="244"/>
        <v>9.3563137530777343E-2</v>
      </c>
      <c r="AL173" s="59">
        <f t="shared" si="244"/>
        <v>7.9741379310344834E-2</v>
      </c>
      <c r="AM173" s="59">
        <f t="shared" si="244"/>
        <v>7.7362079898541533E-2</v>
      </c>
      <c r="AN173" s="59">
        <f t="shared" si="244"/>
        <v>9.4182825484764546E-2</v>
      </c>
      <c r="AO173" s="78">
        <f t="shared" si="244"/>
        <v>8.5575930777169171E-2</v>
      </c>
      <c r="AP173" s="59">
        <f t="shared" si="244"/>
        <v>9.7964815453604692E-2</v>
      </c>
      <c r="AQ173" s="59">
        <f t="shared" si="244"/>
        <v>8.9175396185871614E-2</v>
      </c>
      <c r="AR173" s="59">
        <f t="shared" si="244"/>
        <v>7.1494893221912714E-2</v>
      </c>
      <c r="AS173" s="59">
        <f t="shared" si="244"/>
        <v>8.8612229952398383E-2</v>
      </c>
      <c r="AT173" s="78">
        <f t="shared" si="244"/>
        <v>7.2760072158749245E-2</v>
      </c>
      <c r="AU173" s="59">
        <f>AU160/(AU$169-AU$168)</f>
        <v>0.11143802868701728</v>
      </c>
      <c r="AV173" s="59">
        <f t="shared" ref="AV173:CM173" si="245">AV160/(AV$169-AV$168)</f>
        <v>7.9823837049270568E-2</v>
      </c>
      <c r="AW173" s="59">
        <f t="shared" si="245"/>
        <v>8.3333333333333329E-2</v>
      </c>
      <c r="AX173" s="59">
        <f t="shared" si="245"/>
        <v>9.3901982790871683E-2</v>
      </c>
      <c r="AY173" s="78">
        <f t="shared" si="245"/>
        <v>9.0857002537447815E-2</v>
      </c>
      <c r="AZ173" s="59">
        <f t="shared" si="245"/>
        <v>0.10539659543643608</v>
      </c>
      <c r="BA173" s="59">
        <f t="shared" si="245"/>
        <v>8.0696661828737304E-2</v>
      </c>
      <c r="BB173" s="59">
        <f t="shared" si="245"/>
        <v>7.0063694267515922E-2</v>
      </c>
      <c r="BC173" s="59">
        <f t="shared" si="245"/>
        <v>9.7360450021635653E-2</v>
      </c>
      <c r="BD173" s="78">
        <f t="shared" si="245"/>
        <v>8.721739130434783E-2</v>
      </c>
      <c r="BE173" s="59">
        <f t="shared" si="245"/>
        <v>8.6844050258684399E-2</v>
      </c>
      <c r="BF173" s="59">
        <f t="shared" si="245"/>
        <v>7.4707470747074706E-2</v>
      </c>
      <c r="BG173" s="59">
        <f t="shared" ca="1" si="245"/>
        <v>8.1750462676243266E-2</v>
      </c>
      <c r="BH173" s="59">
        <f t="shared" ca="1" si="245"/>
        <v>8.6128940196753809E-2</v>
      </c>
      <c r="BI173" s="78">
        <f t="shared" ca="1" si="245"/>
        <v>8.1787276071349863E-2</v>
      </c>
      <c r="BJ173" s="59">
        <f t="shared" ca="1" si="245"/>
        <v>8.4864722096821402E-2</v>
      </c>
      <c r="BK173" s="59">
        <f t="shared" ca="1" si="245"/>
        <v>7.5197597582098943E-2</v>
      </c>
      <c r="BL173" s="59">
        <f t="shared" ca="1" si="245"/>
        <v>8.2096060055628417E-2</v>
      </c>
      <c r="BM173" s="59">
        <f t="shared" ca="1" si="245"/>
        <v>8.4188594580114393E-2</v>
      </c>
      <c r="BN173" s="78">
        <f t="shared" ca="1" si="245"/>
        <v>8.1173220745002758E-2</v>
      </c>
      <c r="BO173" s="59">
        <f t="shared" ca="1" si="245"/>
        <v>9.0426702242312348E-2</v>
      </c>
      <c r="BP173" s="59">
        <f t="shared" ca="1" si="245"/>
        <v>7.9977195635829945E-2</v>
      </c>
      <c r="BQ173" s="59">
        <f t="shared" ca="1" si="245"/>
        <v>8.0458905686693574E-2</v>
      </c>
      <c r="BR173" s="59">
        <f t="shared" ca="1" si="245"/>
        <v>8.0429895743597143E-2</v>
      </c>
      <c r="BS173" s="78">
        <f t="shared" ca="1" si="245"/>
        <v>8.2578815901645342E-2</v>
      </c>
      <c r="BT173" s="59">
        <f t="shared" ca="1" si="245"/>
        <v>8.9397646397066044E-2</v>
      </c>
      <c r="BU173" s="59">
        <f t="shared" ca="1" si="245"/>
        <v>8.0219310310094563E-2</v>
      </c>
      <c r="BV173" s="59">
        <f t="shared" ca="1" si="245"/>
        <v>8.0550338482271319E-2</v>
      </c>
      <c r="BW173" s="59">
        <f t="shared" ca="1" si="245"/>
        <v>8.0374807942686283E-2</v>
      </c>
      <c r="BX173" s="78">
        <f t="shared" ca="1" si="245"/>
        <v>8.2420338939993218E-2</v>
      </c>
      <c r="BY173" s="59">
        <f t="shared" ca="1" si="245"/>
        <v>8.9362118343946001E-2</v>
      </c>
      <c r="BZ173" s="59">
        <f t="shared" ca="1" si="245"/>
        <v>8.0515487988816845E-2</v>
      </c>
      <c r="CA173" s="59">
        <f t="shared" ca="1" si="245"/>
        <v>8.070415381083916E-2</v>
      </c>
      <c r="CB173" s="59">
        <f t="shared" ca="1" si="245"/>
        <v>8.0389703702370391E-2</v>
      </c>
      <c r="CC173" s="78">
        <f t="shared" ca="1" si="245"/>
        <v>8.2542837768148442E-2</v>
      </c>
      <c r="CD173" s="59">
        <f t="shared" ca="1" si="245"/>
        <v>8.9645405562063601E-2</v>
      </c>
      <c r="CE173" s="59">
        <f t="shared" ca="1" si="245"/>
        <v>8.1065827493679035E-2</v>
      </c>
      <c r="CF173" s="59">
        <f t="shared" ca="1" si="245"/>
        <v>8.1126499735598129E-2</v>
      </c>
      <c r="CG173" s="59">
        <f t="shared" ca="1" si="245"/>
        <v>8.0673801708851953E-2</v>
      </c>
      <c r="CH173" s="78">
        <f t="shared" ca="1" si="245"/>
        <v>8.2940546030104909E-2</v>
      </c>
      <c r="CI173" s="59">
        <f t="shared" ca="1" si="245"/>
        <v>8.9390777278243572E-2</v>
      </c>
      <c r="CJ173" s="59">
        <f t="shared" ca="1" si="245"/>
        <v>8.1070628729808358E-2</v>
      </c>
      <c r="CK173" s="59">
        <f t="shared" ca="1" si="245"/>
        <v>8.1032409849062223E-2</v>
      </c>
      <c r="CL173" s="59">
        <f t="shared" ca="1" si="245"/>
        <v>8.0483736111140833E-2</v>
      </c>
      <c r="CM173" s="78">
        <f t="shared" ca="1" si="245"/>
        <v>8.2817835204236787E-2</v>
      </c>
    </row>
    <row r="174" spans="1:91" hidden="1" outlineLevel="1" x14ac:dyDescent="0.2">
      <c r="A174" s="47" t="s">
        <v>183</v>
      </c>
      <c r="B174" s="38" t="s">
        <v>169</v>
      </c>
      <c r="C174" s="38" t="s">
        <v>169</v>
      </c>
      <c r="D174" s="38" t="s">
        <v>169</v>
      </c>
      <c r="E174" s="38" t="s">
        <v>169</v>
      </c>
      <c r="F174" s="88" t="s">
        <v>169</v>
      </c>
      <c r="G174" s="59">
        <f t="shared" ref="G174:AT174" si="246">G161/SUM(G160:G166)</f>
        <v>0.27719298245614032</v>
      </c>
      <c r="H174" s="59">
        <f t="shared" si="246"/>
        <v>0.31885908897403148</v>
      </c>
      <c r="I174" s="59">
        <f t="shared" si="246"/>
        <v>0.33201385452746163</v>
      </c>
      <c r="J174" s="59">
        <f t="shared" si="246"/>
        <v>0.27189189189189189</v>
      </c>
      <c r="K174" s="78">
        <f t="shared" si="246"/>
        <v>0.30226986128625472</v>
      </c>
      <c r="L174" s="59">
        <f t="shared" si="246"/>
        <v>0.33093154915079775</v>
      </c>
      <c r="M174" s="59">
        <f t="shared" si="246"/>
        <v>0.34060466896287794</v>
      </c>
      <c r="N174" s="59">
        <f t="shared" si="246"/>
        <v>0.31417112299465239</v>
      </c>
      <c r="O174" s="59">
        <f t="shared" si="246"/>
        <v>0.2733812949640288</v>
      </c>
      <c r="P174" s="78">
        <f t="shared" si="246"/>
        <v>0.31603826674169949</v>
      </c>
      <c r="Q174" s="59">
        <f t="shared" si="246"/>
        <v>0.33424283765347884</v>
      </c>
      <c r="R174" s="59">
        <f t="shared" si="246"/>
        <v>0.33355219960604071</v>
      </c>
      <c r="S174" s="59">
        <f t="shared" si="246"/>
        <v>0.31801837794646426</v>
      </c>
      <c r="T174" s="59">
        <f t="shared" si="246"/>
        <v>0.2899353647276085</v>
      </c>
      <c r="U174" s="78">
        <f t="shared" si="246"/>
        <v>0.32025418599959654</v>
      </c>
      <c r="V174" s="59">
        <f t="shared" si="246"/>
        <v>0.30920464700625561</v>
      </c>
      <c r="W174" s="59">
        <f t="shared" si="246"/>
        <v>0.30951526032315979</v>
      </c>
      <c r="X174" s="59">
        <f t="shared" si="246"/>
        <v>0.3108974358974359</v>
      </c>
      <c r="Y174" s="59">
        <f t="shared" si="246"/>
        <v>0.27962298025134652</v>
      </c>
      <c r="Z174" s="78">
        <f t="shared" si="246"/>
        <v>0.30296501487637223</v>
      </c>
      <c r="AA174" s="59">
        <f t="shared" si="246"/>
        <v>0.29076620825147348</v>
      </c>
      <c r="AB174" s="59">
        <f t="shared" si="246"/>
        <v>0.30467229072031149</v>
      </c>
      <c r="AC174" s="59">
        <f t="shared" si="246"/>
        <v>0.27177825773938086</v>
      </c>
      <c r="AD174" s="59">
        <f t="shared" si="246"/>
        <v>0.24811399832355407</v>
      </c>
      <c r="AE174" s="78">
        <f t="shared" si="246"/>
        <v>0.28041886757483087</v>
      </c>
      <c r="AF174" s="59">
        <f t="shared" si="246"/>
        <v>0.25462962962962965</v>
      </c>
      <c r="AG174" s="59">
        <f t="shared" si="246"/>
        <v>0.26552287581699346</v>
      </c>
      <c r="AH174" s="59">
        <f t="shared" si="246"/>
        <v>0.24311377245508983</v>
      </c>
      <c r="AI174" s="59">
        <f t="shared" si="246"/>
        <v>0.23540706605222733</v>
      </c>
      <c r="AJ174" s="78">
        <f t="shared" si="246"/>
        <v>0.25072440437862203</v>
      </c>
      <c r="AK174" s="59">
        <f t="shared" si="246"/>
        <v>0.24410833626450931</v>
      </c>
      <c r="AL174" s="59">
        <f t="shared" si="246"/>
        <v>0.24110991379310345</v>
      </c>
      <c r="AM174" s="59">
        <f t="shared" si="246"/>
        <v>0.22130627774254916</v>
      </c>
      <c r="AN174" s="59">
        <f t="shared" si="246"/>
        <v>0.23199445983379502</v>
      </c>
      <c r="AO174" s="78">
        <f t="shared" si="246"/>
        <v>0.23473842978486942</v>
      </c>
      <c r="AP174" s="59">
        <f t="shared" si="246"/>
        <v>0.23559848223525354</v>
      </c>
      <c r="AQ174" s="59">
        <f t="shared" si="246"/>
        <v>0.22616169755573462</v>
      </c>
      <c r="AR174" s="59">
        <f t="shared" si="246"/>
        <v>0.22995976477870628</v>
      </c>
      <c r="AS174" s="59">
        <f t="shared" si="246"/>
        <v>0.23727572317832296</v>
      </c>
      <c r="AT174" s="78">
        <f t="shared" si="246"/>
        <v>0.19482862297053519</v>
      </c>
      <c r="AU174" s="59">
        <f>AU161/(AU$169-AU$168)</f>
        <v>0.26443545421110703</v>
      </c>
      <c r="AV174" s="59">
        <f t="shared" ref="AV174:CM174" si="247">AV161/(AV$169-AV$168)</f>
        <v>0.2455271125791357</v>
      </c>
      <c r="AW174" s="59">
        <f t="shared" si="247"/>
        <v>0.2362155388471178</v>
      </c>
      <c r="AX174" s="59">
        <f t="shared" si="247"/>
        <v>0.22371866816311262</v>
      </c>
      <c r="AY174" s="78">
        <f t="shared" si="247"/>
        <v>0.24253089956617827</v>
      </c>
      <c r="AZ174" s="59">
        <f t="shared" si="247"/>
        <v>0.25534226729445852</v>
      </c>
      <c r="BA174" s="59">
        <f t="shared" si="247"/>
        <v>0.24267053701015964</v>
      </c>
      <c r="BB174" s="59">
        <f t="shared" si="247"/>
        <v>0.24136775058665771</v>
      </c>
      <c r="BC174" s="59">
        <f t="shared" si="247"/>
        <v>0.26049329294677631</v>
      </c>
      <c r="BD174" s="78">
        <f t="shared" si="247"/>
        <v>0.24895652173913044</v>
      </c>
      <c r="BE174" s="59">
        <f t="shared" si="247"/>
        <v>0.25683665927568367</v>
      </c>
      <c r="BF174" s="59">
        <f t="shared" si="247"/>
        <v>0.24242424242424243</v>
      </c>
      <c r="BG174" s="59">
        <f t="shared" ca="1" si="247"/>
        <v>0.26834224971725651</v>
      </c>
      <c r="BH174" s="59">
        <f t="shared" ca="1" si="247"/>
        <v>0.29602542480361016</v>
      </c>
      <c r="BI174" s="78">
        <f t="shared" ca="1" si="247"/>
        <v>0.2635792975951135</v>
      </c>
      <c r="BJ174" s="59">
        <f t="shared" ca="1" si="247"/>
        <v>0.2689877222734281</v>
      </c>
      <c r="BK174" s="59">
        <f t="shared" ca="1" si="247"/>
        <v>0.24930631842261547</v>
      </c>
      <c r="BL174" s="59">
        <f t="shared" ca="1" si="247"/>
        <v>0.28133744443008468</v>
      </c>
      <c r="BM174" s="59">
        <f t="shared" ca="1" si="247"/>
        <v>0.29124719203040633</v>
      </c>
      <c r="BN174" s="78">
        <f t="shared" ca="1" si="247"/>
        <v>0.27123185343287426</v>
      </c>
      <c r="BO174" s="59">
        <f t="shared" ca="1" si="247"/>
        <v>0.27426217507817496</v>
      </c>
      <c r="BP174" s="59">
        <f t="shared" ca="1" si="247"/>
        <v>0.25839307625094537</v>
      </c>
      <c r="BQ174" s="59">
        <f t="shared" ca="1" si="247"/>
        <v>0.26666539301998327</v>
      </c>
      <c r="BR174" s="59">
        <f t="shared" ca="1" si="247"/>
        <v>0.26988851754411142</v>
      </c>
      <c r="BS174" s="78">
        <f t="shared" ca="1" si="247"/>
        <v>0.2668067559735563</v>
      </c>
      <c r="BT174" s="59">
        <f t="shared" ca="1" si="247"/>
        <v>0.26603123682694235</v>
      </c>
      <c r="BU174" s="59">
        <f t="shared" ca="1" si="247"/>
        <v>0.2514306039963044</v>
      </c>
      <c r="BV174" s="59">
        <f t="shared" ca="1" si="247"/>
        <v>0.25899084968567387</v>
      </c>
      <c r="BW174" s="59">
        <f t="shared" ca="1" si="247"/>
        <v>0.2616443521151271</v>
      </c>
      <c r="BX174" s="78">
        <f t="shared" ca="1" si="247"/>
        <v>0.25907532002553396</v>
      </c>
      <c r="BY174" s="59">
        <f t="shared" ca="1" si="247"/>
        <v>0.2580317949236432</v>
      </c>
      <c r="BZ174" s="59">
        <f t="shared" ca="1" si="247"/>
        <v>0.24487094740366727</v>
      </c>
      <c r="CA174" s="59">
        <f t="shared" ca="1" si="247"/>
        <v>0.25178598709071492</v>
      </c>
      <c r="CB174" s="59">
        <f t="shared" ca="1" si="247"/>
        <v>0.25392792361684735</v>
      </c>
      <c r="CC174" s="78">
        <f t="shared" ca="1" si="247"/>
        <v>0.25176088908838523</v>
      </c>
      <c r="CD174" s="59">
        <f t="shared" ca="1" si="247"/>
        <v>0.25130265514784406</v>
      </c>
      <c r="CE174" s="59">
        <f t="shared" ca="1" si="247"/>
        <v>0.23935899455150583</v>
      </c>
      <c r="CF174" s="59">
        <f t="shared" ca="1" si="247"/>
        <v>0.24572678921150387</v>
      </c>
      <c r="CG174" s="59">
        <f t="shared" ca="1" si="247"/>
        <v>0.24739826888229804</v>
      </c>
      <c r="CH174" s="78">
        <f t="shared" ca="1" si="247"/>
        <v>0.2456001386465379</v>
      </c>
      <c r="CI174" s="59">
        <f t="shared" ca="1" si="247"/>
        <v>0.24574500450029291</v>
      </c>
      <c r="CJ174" s="59">
        <f t="shared" ca="1" si="247"/>
        <v>0.23474845001565733</v>
      </c>
      <c r="CK174" s="59">
        <f t="shared" ca="1" si="247"/>
        <v>0.24069982962719239</v>
      </c>
      <c r="CL174" s="59">
        <f t="shared" ca="1" si="247"/>
        <v>0.24204689849824618</v>
      </c>
      <c r="CM174" s="78">
        <f t="shared" ca="1" si="247"/>
        <v>0.24049814609069692</v>
      </c>
    </row>
    <row r="175" spans="1:91" hidden="1" outlineLevel="1" x14ac:dyDescent="0.2">
      <c r="A175" s="47" t="s">
        <v>14</v>
      </c>
      <c r="B175" s="38" t="s">
        <v>169</v>
      </c>
      <c r="C175" s="38" t="s">
        <v>169</v>
      </c>
      <c r="D175" s="38" t="s">
        <v>169</v>
      </c>
      <c r="E175" s="38" t="s">
        <v>169</v>
      </c>
      <c r="F175" s="88" t="s">
        <v>169</v>
      </c>
      <c r="G175" s="59">
        <f t="shared" ref="G175:AT175" si="248">G162/SUM(G160:G166)</f>
        <v>0.20409356725146199</v>
      </c>
      <c r="H175" s="59">
        <f t="shared" si="248"/>
        <v>0.14729672200936569</v>
      </c>
      <c r="I175" s="59">
        <f t="shared" si="248"/>
        <v>0.17466600692726372</v>
      </c>
      <c r="J175" s="59">
        <f t="shared" si="248"/>
        <v>0.21081081081081082</v>
      </c>
      <c r="K175" s="78">
        <f t="shared" si="248"/>
        <v>0.18133669609079445</v>
      </c>
      <c r="L175" s="59">
        <f t="shared" si="248"/>
        <v>0.21358723623262996</v>
      </c>
      <c r="M175" s="59">
        <f t="shared" si="248"/>
        <v>0.15882127822426331</v>
      </c>
      <c r="N175" s="59">
        <f t="shared" si="248"/>
        <v>0.19741532976827095</v>
      </c>
      <c r="O175" s="59">
        <f t="shared" si="248"/>
        <v>0.23597122302158274</v>
      </c>
      <c r="P175" s="78">
        <f t="shared" si="248"/>
        <v>0.19864940911648846</v>
      </c>
      <c r="Q175" s="59">
        <f t="shared" si="248"/>
        <v>0.23010459299681674</v>
      </c>
      <c r="R175" s="59">
        <f t="shared" si="248"/>
        <v>0.17432698621142481</v>
      </c>
      <c r="S175" s="59">
        <f t="shared" si="248"/>
        <v>0.22373152217339193</v>
      </c>
      <c r="T175" s="59">
        <f t="shared" si="248"/>
        <v>0.25253924284395196</v>
      </c>
      <c r="U175" s="78">
        <f t="shared" si="248"/>
        <v>0.21625983457736533</v>
      </c>
      <c r="V175" s="59">
        <f t="shared" si="248"/>
        <v>0.20285969615728328</v>
      </c>
      <c r="W175" s="59">
        <f t="shared" si="248"/>
        <v>0.16947935368043088</v>
      </c>
      <c r="X175" s="59">
        <f t="shared" si="248"/>
        <v>0.22315705128205129</v>
      </c>
      <c r="Y175" s="59">
        <f t="shared" si="248"/>
        <v>0.25089766606822261</v>
      </c>
      <c r="Z175" s="78">
        <f t="shared" si="248"/>
        <v>0.20950035908484663</v>
      </c>
      <c r="AA175" s="59">
        <f t="shared" si="248"/>
        <v>0.23654223968565816</v>
      </c>
      <c r="AB175" s="59">
        <f t="shared" si="248"/>
        <v>0.18721609344581441</v>
      </c>
      <c r="AC175" s="59">
        <f t="shared" si="248"/>
        <v>0.22174226061915048</v>
      </c>
      <c r="AD175" s="59">
        <f t="shared" si="248"/>
        <v>0.25565800502933783</v>
      </c>
      <c r="AE175" s="78">
        <f t="shared" si="248"/>
        <v>0.22287091094430544</v>
      </c>
      <c r="AF175" s="59">
        <f t="shared" si="248"/>
        <v>0.25498575498575499</v>
      </c>
      <c r="AG175" s="59">
        <f t="shared" si="248"/>
        <v>0.18382352941176472</v>
      </c>
      <c r="AH175" s="59">
        <f t="shared" si="248"/>
        <v>0.23203592814371257</v>
      </c>
      <c r="AI175" s="59">
        <f t="shared" si="248"/>
        <v>0.25076804915514594</v>
      </c>
      <c r="AJ175" s="78">
        <f t="shared" si="248"/>
        <v>0.22689954925949773</v>
      </c>
      <c r="AK175" s="59">
        <f t="shared" si="248"/>
        <v>0.26169539219134719</v>
      </c>
      <c r="AL175" s="59">
        <f t="shared" si="248"/>
        <v>0.18480603448275862</v>
      </c>
      <c r="AM175" s="59">
        <f t="shared" si="248"/>
        <v>0.23272035510462905</v>
      </c>
      <c r="AN175" s="59">
        <f t="shared" si="248"/>
        <v>0.24757617728531855</v>
      </c>
      <c r="AO175" s="78">
        <f t="shared" si="248"/>
        <v>0.22854647932047312</v>
      </c>
      <c r="AP175" s="59">
        <f t="shared" si="248"/>
        <v>0.26319420489824075</v>
      </c>
      <c r="AQ175" s="59">
        <f t="shared" si="248"/>
        <v>0.19500402900886382</v>
      </c>
      <c r="AR175" s="59">
        <f t="shared" si="248"/>
        <v>0.22438873413803775</v>
      </c>
      <c r="AS175" s="59">
        <f t="shared" si="248"/>
        <v>0.25595020139143171</v>
      </c>
      <c r="AT175" s="78">
        <f t="shared" si="248"/>
        <v>0.19462818200040088</v>
      </c>
      <c r="AU175" s="59">
        <f>AU162/(AU$169-AU$168)</f>
        <v>0.24567855829349025</v>
      </c>
      <c r="AV175" s="59">
        <f t="shared" ref="AV175:CM175" si="249">AV162/(AV$169-AV$168)</f>
        <v>0.17423616845582163</v>
      </c>
      <c r="AW175" s="59">
        <f t="shared" si="249"/>
        <v>0.20457393483709274</v>
      </c>
      <c r="AX175" s="59">
        <f t="shared" si="249"/>
        <v>0.24579124579124578</v>
      </c>
      <c r="AY175" s="78">
        <f t="shared" si="249"/>
        <v>0.21371858885160022</v>
      </c>
      <c r="AZ175" s="59">
        <f t="shared" si="249"/>
        <v>0.22129663165519739</v>
      </c>
      <c r="BA175" s="59">
        <f t="shared" si="249"/>
        <v>0.1532656023222061</v>
      </c>
      <c r="BB175" s="59">
        <f t="shared" si="249"/>
        <v>0.18169627891384513</v>
      </c>
      <c r="BC175" s="59">
        <f t="shared" si="249"/>
        <v>0.22847252271743834</v>
      </c>
      <c r="BD175" s="78">
        <f t="shared" si="249"/>
        <v>0.19208695652173913</v>
      </c>
      <c r="BE175" s="59">
        <f t="shared" si="249"/>
        <v>0.19327420546932741</v>
      </c>
      <c r="BF175" s="59">
        <f t="shared" si="249"/>
        <v>0.15331533153315333</v>
      </c>
      <c r="BG175" s="59">
        <f t="shared" si="249"/>
        <v>0.17513736263736263</v>
      </c>
      <c r="BH175" s="59">
        <f t="shared" si="249"/>
        <v>0.2084055459272097</v>
      </c>
      <c r="BI175" s="78">
        <f t="shared" si="249"/>
        <v>0.17985611510791366</v>
      </c>
      <c r="BJ175" s="59">
        <f t="shared" si="249"/>
        <v>0.19757433489827855</v>
      </c>
      <c r="BK175" s="59">
        <f t="shared" si="249"/>
        <v>0.17348203221809169</v>
      </c>
      <c r="BL175" s="59">
        <f t="shared" si="249"/>
        <v>0.2025089605734767</v>
      </c>
      <c r="BM175" s="59">
        <f t="shared" si="249"/>
        <v>0.24647887323943662</v>
      </c>
      <c r="BN175" s="78">
        <f t="shared" si="249"/>
        <v>0.20249362941390608</v>
      </c>
      <c r="BO175" s="59">
        <f t="shared" si="249"/>
        <v>0.22000766577232655</v>
      </c>
      <c r="BP175" s="59">
        <f t="shared" si="249"/>
        <v>0.18084093882499616</v>
      </c>
      <c r="BQ175" s="59">
        <f t="shared" si="249"/>
        <v>0.20470035587779353</v>
      </c>
      <c r="BR175" s="59">
        <f t="shared" si="249"/>
        <v>0.24201935964848539</v>
      </c>
      <c r="BS175" s="78">
        <f t="shared" si="249"/>
        <v>0.2100895069040993</v>
      </c>
      <c r="BT175" s="59">
        <f t="shared" si="249"/>
        <v>0.22633553206544463</v>
      </c>
      <c r="BU175" s="59">
        <f t="shared" si="249"/>
        <v>0.1878889859976603</v>
      </c>
      <c r="BV175" s="59">
        <f t="shared" si="249"/>
        <v>0.21235742717834497</v>
      </c>
      <c r="BW175" s="59">
        <f t="shared" si="249"/>
        <v>0.25077321971904776</v>
      </c>
      <c r="BX175" s="78">
        <f t="shared" si="249"/>
        <v>0.21755129041619703</v>
      </c>
      <c r="BY175" s="59">
        <f t="shared" si="249"/>
        <v>0.23324460834076025</v>
      </c>
      <c r="BZ175" s="59">
        <f t="shared" si="249"/>
        <v>0.19449410202487602</v>
      </c>
      <c r="CA175" s="59">
        <f t="shared" si="249"/>
        <v>0.21951275461121689</v>
      </c>
      <c r="CB175" s="59">
        <f t="shared" si="249"/>
        <v>0.25893482680522395</v>
      </c>
      <c r="CC175" s="78">
        <f t="shared" si="249"/>
        <v>0.22476272468439978</v>
      </c>
      <c r="CD175" s="59">
        <f t="shared" si="249"/>
        <v>0.24045317901427898</v>
      </c>
      <c r="CE175" s="59">
        <f t="shared" si="249"/>
        <v>0.20131532619003489</v>
      </c>
      <c r="CF175" s="59">
        <f t="shared" si="249"/>
        <v>0.2269307662568133</v>
      </c>
      <c r="CG175" s="59">
        <f t="shared" si="249"/>
        <v>0.2673909894101078</v>
      </c>
      <c r="CH175" s="78">
        <f t="shared" si="249"/>
        <v>0.23223831043648036</v>
      </c>
      <c r="CI175" s="59">
        <f t="shared" si="249"/>
        <v>0.24545290432385142</v>
      </c>
      <c r="CJ175" s="59">
        <f t="shared" si="249"/>
        <v>0.20617147518453346</v>
      </c>
      <c r="CK175" s="59">
        <f t="shared" si="249"/>
        <v>0.23219702223050417</v>
      </c>
      <c r="CL175" s="59">
        <f t="shared" si="249"/>
        <v>0.27341626509097605</v>
      </c>
      <c r="CM175" s="78">
        <f t="shared" si="249"/>
        <v>0.23752938483176891</v>
      </c>
    </row>
    <row r="176" spans="1:91" hidden="1" outlineLevel="1" x14ac:dyDescent="0.2">
      <c r="A176" s="47" t="s">
        <v>13</v>
      </c>
      <c r="B176" s="38" t="s">
        <v>169</v>
      </c>
      <c r="C176" s="38" t="s">
        <v>169</v>
      </c>
      <c r="D176" s="38" t="s">
        <v>169</v>
      </c>
      <c r="E176" s="38" t="s">
        <v>169</v>
      </c>
      <c r="F176" s="88" t="s">
        <v>169</v>
      </c>
      <c r="G176" s="59">
        <f t="shared" ref="G176:AT176" si="250">G163/SUM(G160:G166)</f>
        <v>0.22690058479532163</v>
      </c>
      <c r="H176" s="59">
        <f t="shared" si="250"/>
        <v>0.20987654320987653</v>
      </c>
      <c r="I176" s="59">
        <f t="shared" si="250"/>
        <v>0.18951014349332013</v>
      </c>
      <c r="J176" s="59">
        <f t="shared" si="250"/>
        <v>0.22648648648648648</v>
      </c>
      <c r="K176" s="78">
        <f t="shared" si="250"/>
        <v>0.21223203026481716</v>
      </c>
      <c r="L176" s="59">
        <f t="shared" si="250"/>
        <v>0.17858980957282553</v>
      </c>
      <c r="M176" s="59">
        <f t="shared" si="250"/>
        <v>0.19135093761959435</v>
      </c>
      <c r="N176" s="59">
        <f t="shared" si="250"/>
        <v>0.19919786096256684</v>
      </c>
      <c r="O176" s="59">
        <f t="shared" si="250"/>
        <v>0.19760191846522782</v>
      </c>
      <c r="P176" s="78">
        <f t="shared" si="250"/>
        <v>0.1920090039392234</v>
      </c>
      <c r="Q176" s="59">
        <f t="shared" si="250"/>
        <v>0.14824920418371987</v>
      </c>
      <c r="R176" s="59">
        <f t="shared" si="250"/>
        <v>0.15134602757715035</v>
      </c>
      <c r="S176" s="59">
        <f t="shared" si="250"/>
        <v>0.15900918897323213</v>
      </c>
      <c r="T176" s="59">
        <f t="shared" si="250"/>
        <v>0.18975069252077562</v>
      </c>
      <c r="U176" s="78">
        <f t="shared" si="250"/>
        <v>0.16098446641113576</v>
      </c>
      <c r="V176" s="59">
        <f t="shared" si="250"/>
        <v>0.19347631814119751</v>
      </c>
      <c r="W176" s="59">
        <f t="shared" si="250"/>
        <v>0.16624775583482945</v>
      </c>
      <c r="X176" s="59">
        <f t="shared" si="250"/>
        <v>0.17427884615384615</v>
      </c>
      <c r="Y176" s="59">
        <f t="shared" si="250"/>
        <v>0.17908438061041293</v>
      </c>
      <c r="Z176" s="78">
        <f t="shared" si="250"/>
        <v>0.17749050990048221</v>
      </c>
      <c r="AA176" s="59">
        <f t="shared" si="250"/>
        <v>0.16856581532416504</v>
      </c>
      <c r="AB176" s="59">
        <f t="shared" si="250"/>
        <v>0.16645035691109669</v>
      </c>
      <c r="AC176" s="59">
        <f t="shared" si="250"/>
        <v>0.18034557235421167</v>
      </c>
      <c r="AD176" s="59">
        <f t="shared" si="250"/>
        <v>0.21416596814752725</v>
      </c>
      <c r="AE176" s="78">
        <f t="shared" si="250"/>
        <v>0.18107682327865815</v>
      </c>
      <c r="AF176" s="59">
        <f t="shared" si="250"/>
        <v>0.19800569800569801</v>
      </c>
      <c r="AG176" s="59">
        <f t="shared" si="250"/>
        <v>0.22739651416122003</v>
      </c>
      <c r="AH176" s="59">
        <f t="shared" si="250"/>
        <v>0.23562874251497007</v>
      </c>
      <c r="AI176" s="59">
        <f t="shared" si="250"/>
        <v>0.24615975422427036</v>
      </c>
      <c r="AJ176" s="78">
        <f t="shared" si="250"/>
        <v>0.22689954925949773</v>
      </c>
      <c r="AK176" s="59">
        <f t="shared" si="250"/>
        <v>0.17833274709813576</v>
      </c>
      <c r="AL176" s="59">
        <f t="shared" si="250"/>
        <v>0.22413793103448276</v>
      </c>
      <c r="AM176" s="59">
        <f t="shared" si="250"/>
        <v>0.25491439441978442</v>
      </c>
      <c r="AN176" s="59">
        <f t="shared" si="250"/>
        <v>0.24688365650969529</v>
      </c>
      <c r="AO176" s="78">
        <f t="shared" si="250"/>
        <v>0.22672064777327935</v>
      </c>
      <c r="AP176" s="59">
        <f t="shared" si="250"/>
        <v>0.16936874784408418</v>
      </c>
      <c r="AQ176" s="59">
        <f t="shared" si="250"/>
        <v>0.22213268869191513</v>
      </c>
      <c r="AR176" s="59">
        <f t="shared" si="250"/>
        <v>0.25688641287527081</v>
      </c>
      <c r="AS176" s="59">
        <f t="shared" si="250"/>
        <v>0.23068473086781399</v>
      </c>
      <c r="AT176" s="78">
        <f t="shared" si="250"/>
        <v>0.18560833834435758</v>
      </c>
      <c r="AU176" s="59">
        <f>AU163/(AU$169-AU$168)</f>
        <v>0.16550202280250093</v>
      </c>
      <c r="AV176" s="59">
        <f t="shared" ref="AV176:CM176" si="251">AV163/(AV$169-AV$168)</f>
        <v>0.23286540049545829</v>
      </c>
      <c r="AW176" s="59">
        <f t="shared" si="251"/>
        <v>0.25720551378446116</v>
      </c>
      <c r="AX176" s="59">
        <f t="shared" si="251"/>
        <v>0.25140291806958476</v>
      </c>
      <c r="AY176" s="78">
        <f t="shared" si="251"/>
        <v>0.22828845051976754</v>
      </c>
      <c r="AZ176" s="59">
        <f t="shared" si="251"/>
        <v>0.20572256428830135</v>
      </c>
      <c r="BA176" s="59">
        <f t="shared" si="251"/>
        <v>0.26386066763425253</v>
      </c>
      <c r="BB176" s="59">
        <f t="shared" si="251"/>
        <v>0.28461280590010057</v>
      </c>
      <c r="BC176" s="59">
        <f t="shared" si="251"/>
        <v>0.23669407183037647</v>
      </c>
      <c r="BD176" s="78">
        <f t="shared" si="251"/>
        <v>0.24982608695652173</v>
      </c>
      <c r="BE176" s="59">
        <f t="shared" si="251"/>
        <v>0</v>
      </c>
      <c r="BF176" s="59">
        <f t="shared" si="251"/>
        <v>0</v>
      </c>
      <c r="BG176" s="59">
        <f t="shared" si="251"/>
        <v>0</v>
      </c>
      <c r="BH176" s="59">
        <f t="shared" si="251"/>
        <v>0</v>
      </c>
      <c r="BI176" s="78">
        <f t="shared" si="251"/>
        <v>0</v>
      </c>
      <c r="BJ176" s="59">
        <f t="shared" si="251"/>
        <v>0</v>
      </c>
      <c r="BK176" s="59">
        <f t="shared" si="251"/>
        <v>0</v>
      </c>
      <c r="BL176" s="59">
        <f t="shared" si="251"/>
        <v>0</v>
      </c>
      <c r="BM176" s="59">
        <f t="shared" si="251"/>
        <v>0</v>
      </c>
      <c r="BN176" s="78">
        <f t="shared" si="251"/>
        <v>0</v>
      </c>
      <c r="BO176" s="59">
        <f t="shared" si="251"/>
        <v>0</v>
      </c>
      <c r="BP176" s="59">
        <f t="shared" si="251"/>
        <v>0</v>
      </c>
      <c r="BQ176" s="59">
        <f t="shared" si="251"/>
        <v>0</v>
      </c>
      <c r="BR176" s="59">
        <f t="shared" si="251"/>
        <v>0</v>
      </c>
      <c r="BS176" s="78">
        <f t="shared" si="251"/>
        <v>0</v>
      </c>
      <c r="BT176" s="59">
        <f t="shared" si="251"/>
        <v>0</v>
      </c>
      <c r="BU176" s="59">
        <f t="shared" si="251"/>
        <v>0</v>
      </c>
      <c r="BV176" s="59">
        <f t="shared" si="251"/>
        <v>0</v>
      </c>
      <c r="BW176" s="59">
        <f t="shared" si="251"/>
        <v>0</v>
      </c>
      <c r="BX176" s="78">
        <f t="shared" si="251"/>
        <v>0</v>
      </c>
      <c r="BY176" s="59">
        <f t="shared" si="251"/>
        <v>0</v>
      </c>
      <c r="BZ176" s="59">
        <f t="shared" si="251"/>
        <v>0</v>
      </c>
      <c r="CA176" s="59">
        <f t="shared" si="251"/>
        <v>0</v>
      </c>
      <c r="CB176" s="59">
        <f t="shared" si="251"/>
        <v>0</v>
      </c>
      <c r="CC176" s="78">
        <f t="shared" si="251"/>
        <v>0</v>
      </c>
      <c r="CD176" s="59">
        <f t="shared" si="251"/>
        <v>0</v>
      </c>
      <c r="CE176" s="59">
        <f t="shared" si="251"/>
        <v>0</v>
      </c>
      <c r="CF176" s="59">
        <f t="shared" si="251"/>
        <v>0</v>
      </c>
      <c r="CG176" s="59">
        <f t="shared" si="251"/>
        <v>0</v>
      </c>
      <c r="CH176" s="78">
        <f t="shared" si="251"/>
        <v>0</v>
      </c>
      <c r="CI176" s="59">
        <f t="shared" si="251"/>
        <v>0</v>
      </c>
      <c r="CJ176" s="59">
        <f t="shared" si="251"/>
        <v>0</v>
      </c>
      <c r="CK176" s="59">
        <f t="shared" si="251"/>
        <v>0</v>
      </c>
      <c r="CL176" s="59">
        <f t="shared" si="251"/>
        <v>0</v>
      </c>
      <c r="CM176" s="78">
        <f t="shared" si="251"/>
        <v>0</v>
      </c>
    </row>
    <row r="177" spans="1:91" hidden="1" outlineLevel="1" x14ac:dyDescent="0.2">
      <c r="A177" s="47" t="s">
        <v>184</v>
      </c>
      <c r="B177" s="38" t="s">
        <v>169</v>
      </c>
      <c r="C177" s="38" t="s">
        <v>169</v>
      </c>
      <c r="D177" s="38" t="s">
        <v>169</v>
      </c>
      <c r="E177" s="38" t="s">
        <v>169</v>
      </c>
      <c r="F177" s="88" t="s">
        <v>169</v>
      </c>
      <c r="G177" s="59">
        <f t="shared" ref="G177:AT177" si="252">G165/SUM(G160:G166)</f>
        <v>0.21403508771929824</v>
      </c>
      <c r="H177" s="59">
        <f t="shared" si="252"/>
        <v>0.21030225627926777</v>
      </c>
      <c r="I177" s="59">
        <f t="shared" si="252"/>
        <v>0.21573478476001978</v>
      </c>
      <c r="J177" s="59">
        <f t="shared" si="252"/>
        <v>0.22486486486486487</v>
      </c>
      <c r="K177" s="78">
        <f t="shared" si="252"/>
        <v>0.2158890290037831</v>
      </c>
      <c r="L177" s="59">
        <f t="shared" si="252"/>
        <v>0.19145651055069479</v>
      </c>
      <c r="M177" s="59">
        <f t="shared" si="252"/>
        <v>0.19402985074626866</v>
      </c>
      <c r="N177" s="59">
        <f t="shared" si="252"/>
        <v>0.19073083778966132</v>
      </c>
      <c r="O177" s="59">
        <f t="shared" si="252"/>
        <v>0.18944844124700239</v>
      </c>
      <c r="P177" s="78">
        <f t="shared" si="252"/>
        <v>0.19155880697805289</v>
      </c>
      <c r="Q177" s="59">
        <f t="shared" si="252"/>
        <v>0.17644383810823103</v>
      </c>
      <c r="R177" s="59">
        <f t="shared" si="252"/>
        <v>0.19829284307288247</v>
      </c>
      <c r="S177" s="59">
        <f t="shared" si="252"/>
        <v>0.19616460247702758</v>
      </c>
      <c r="T177" s="59">
        <f t="shared" si="252"/>
        <v>0.17313019390581719</v>
      </c>
      <c r="U177" s="78">
        <f t="shared" si="252"/>
        <v>0.18741174097236232</v>
      </c>
      <c r="V177" s="59">
        <f t="shared" si="252"/>
        <v>0.20375335120643431</v>
      </c>
      <c r="W177" s="59">
        <f t="shared" si="252"/>
        <v>0.2132854578096948</v>
      </c>
      <c r="X177" s="59">
        <f t="shared" si="252"/>
        <v>0.17748397435897437</v>
      </c>
      <c r="Y177" s="59">
        <f t="shared" si="252"/>
        <v>0.17728904847396768</v>
      </c>
      <c r="Z177" s="78">
        <f t="shared" si="252"/>
        <v>0.19370062583358982</v>
      </c>
      <c r="AA177" s="59">
        <f t="shared" si="252"/>
        <v>0.1968565815324165</v>
      </c>
      <c r="AB177" s="59">
        <f t="shared" si="252"/>
        <v>0.20571057754704739</v>
      </c>
      <c r="AC177" s="59">
        <f t="shared" si="252"/>
        <v>0.21526277897768178</v>
      </c>
      <c r="AD177" s="59">
        <f t="shared" si="252"/>
        <v>0.16890192791282482</v>
      </c>
      <c r="AE177" s="78">
        <f t="shared" si="252"/>
        <v>0.19794273005282179</v>
      </c>
      <c r="AF177" s="59">
        <f t="shared" si="252"/>
        <v>0.19444444444444445</v>
      </c>
      <c r="AG177" s="59">
        <f t="shared" si="252"/>
        <v>0.20778867102396514</v>
      </c>
      <c r="AH177" s="59">
        <f t="shared" si="252"/>
        <v>0.18862275449101795</v>
      </c>
      <c r="AI177" s="59">
        <f t="shared" si="252"/>
        <v>0.14823348694316435</v>
      </c>
      <c r="AJ177" s="78">
        <f t="shared" si="252"/>
        <v>0.18713779781068898</v>
      </c>
      <c r="AK177" s="59">
        <f t="shared" si="252"/>
        <v>0.21174815335912769</v>
      </c>
      <c r="AL177" s="59">
        <f t="shared" si="252"/>
        <v>0.23545258620689655</v>
      </c>
      <c r="AM177" s="59">
        <f t="shared" si="252"/>
        <v>0.19435637285986049</v>
      </c>
      <c r="AN177" s="59">
        <f t="shared" si="252"/>
        <v>0.1481994459833795</v>
      </c>
      <c r="AO177" s="78">
        <f t="shared" si="252"/>
        <v>0.19980947844724933</v>
      </c>
      <c r="AP177" s="59">
        <f t="shared" si="252"/>
        <v>0.21041738530527768</v>
      </c>
      <c r="AQ177" s="59">
        <f t="shared" si="252"/>
        <v>0.22884770346494762</v>
      </c>
      <c r="AR177" s="59">
        <f t="shared" si="252"/>
        <v>0.19900959455277004</v>
      </c>
      <c r="AS177" s="59">
        <f t="shared" si="252"/>
        <v>0.17392896374954228</v>
      </c>
      <c r="AT177" s="78">
        <f t="shared" si="252"/>
        <v>0.1723792343154941</v>
      </c>
      <c r="AU177" s="59">
        <f>AU165/(AU$169-AU$168)</f>
        <v>0.20742920191246783</v>
      </c>
      <c r="AV177" s="59">
        <f t="shared" ref="AV177:CM177" si="253">AV165/(AV$169-AV$168)</f>
        <v>0.23314065510597304</v>
      </c>
      <c r="AW177" s="59">
        <f t="shared" si="253"/>
        <v>0.20050125313283207</v>
      </c>
      <c r="AX177" s="59">
        <f t="shared" si="253"/>
        <v>0.16236438458660682</v>
      </c>
      <c r="AY177" s="78">
        <f t="shared" si="253"/>
        <v>0.20340509126626832</v>
      </c>
      <c r="AZ177" s="59">
        <f t="shared" si="253"/>
        <v>0.19594349873234335</v>
      </c>
      <c r="BA177" s="59">
        <f t="shared" si="253"/>
        <v>0.22148040638606675</v>
      </c>
      <c r="BB177" s="59">
        <f t="shared" si="253"/>
        <v>0.19208850150854845</v>
      </c>
      <c r="BC177" s="59">
        <f t="shared" si="253"/>
        <v>0.13673734314149719</v>
      </c>
      <c r="BD177" s="78">
        <f t="shared" si="253"/>
        <v>0.19069565217391304</v>
      </c>
      <c r="BE177" s="59">
        <f t="shared" si="253"/>
        <v>0.2039911308203991</v>
      </c>
      <c r="BF177" s="59">
        <f t="shared" si="253"/>
        <v>0.22742274227422743</v>
      </c>
      <c r="BG177" s="59">
        <f t="shared" si="253"/>
        <v>0.20020604395604397</v>
      </c>
      <c r="BH177" s="59">
        <f t="shared" si="253"/>
        <v>0.14384748700173311</v>
      </c>
      <c r="BI177" s="78">
        <f t="shared" si="253"/>
        <v>0.19761968203215205</v>
      </c>
      <c r="BJ177" s="59">
        <f t="shared" si="253"/>
        <v>0.21205007824726135</v>
      </c>
      <c r="BK177" s="59">
        <f t="shared" si="253"/>
        <v>0.22026022304832713</v>
      </c>
      <c r="BL177" s="59">
        <f t="shared" si="253"/>
        <v>0.20573476702508961</v>
      </c>
      <c r="BM177" s="59">
        <f t="shared" si="253"/>
        <v>0.13670256835128416</v>
      </c>
      <c r="BN177" s="78">
        <f t="shared" si="253"/>
        <v>0.19630506006552603</v>
      </c>
      <c r="BO177" s="59">
        <f t="shared" si="253"/>
        <v>0.21655806822537371</v>
      </c>
      <c r="BP177" s="59">
        <f t="shared" si="253"/>
        <v>0.22402128398947008</v>
      </c>
      <c r="BQ177" s="59">
        <f t="shared" si="253"/>
        <v>0.18665832253639209</v>
      </c>
      <c r="BR177" s="59">
        <f t="shared" si="253"/>
        <v>0.12473912188728759</v>
      </c>
      <c r="BS177" s="78">
        <f t="shared" si="253"/>
        <v>0.18964046047259719</v>
      </c>
      <c r="BT177" s="59">
        <f t="shared" si="253"/>
        <v>0.21315989766352306</v>
      </c>
      <c r="BU177" s="59">
        <f t="shared" si="253"/>
        <v>0.22053646539668034</v>
      </c>
      <c r="BV177" s="59">
        <f t="shared" si="253"/>
        <v>0.1839374874184721</v>
      </c>
      <c r="BW177" s="59">
        <f t="shared" si="253"/>
        <v>0.12328083507348686</v>
      </c>
      <c r="BX177" s="78">
        <f t="shared" si="253"/>
        <v>0.18678138138579198</v>
      </c>
      <c r="BY177" s="59">
        <f t="shared" si="253"/>
        <v>0.20924831616959985</v>
      </c>
      <c r="BZ177" s="59">
        <f t="shared" si="253"/>
        <v>0.21728399917881844</v>
      </c>
      <c r="CA177" s="59">
        <f t="shared" si="253"/>
        <v>0.18140648934401771</v>
      </c>
      <c r="CB177" s="59">
        <f t="shared" si="253"/>
        <v>0.12192802688979386</v>
      </c>
      <c r="CC177" s="78">
        <f t="shared" si="253"/>
        <v>0.18397997208553213</v>
      </c>
      <c r="CD177" s="59">
        <f t="shared" si="253"/>
        <v>0.20641158210132879</v>
      </c>
      <c r="CE177" s="59">
        <f t="shared" si="253"/>
        <v>0.21503373644902141</v>
      </c>
      <c r="CF177" s="59">
        <f t="shared" si="253"/>
        <v>0.17972380140148023</v>
      </c>
      <c r="CG177" s="59">
        <f t="shared" si="253"/>
        <v>0.12111923592798883</v>
      </c>
      <c r="CH177" s="78">
        <f t="shared" si="253"/>
        <v>0.18205190854185671</v>
      </c>
      <c r="CI177" s="59">
        <f t="shared" si="253"/>
        <v>0.20438601187342781</v>
      </c>
      <c r="CJ177" s="59">
        <f t="shared" si="253"/>
        <v>0.21346361268762046</v>
      </c>
      <c r="CK177" s="59">
        <f t="shared" si="253"/>
        <v>0.17862808465322075</v>
      </c>
      <c r="CL177" s="59">
        <f t="shared" si="253"/>
        <v>0.12070917298459652</v>
      </c>
      <c r="CM177" s="78">
        <f t="shared" si="253"/>
        <v>0.1807526866522744</v>
      </c>
    </row>
    <row r="178" spans="1:91" hidden="1" outlineLevel="1" x14ac:dyDescent="0.2">
      <c r="A178" s="47" t="s">
        <v>185</v>
      </c>
      <c r="B178" s="38" t="s">
        <v>169</v>
      </c>
      <c r="C178" s="38" t="s">
        <v>169</v>
      </c>
      <c r="D178" s="38" t="s">
        <v>169</v>
      </c>
      <c r="E178" s="38" t="s">
        <v>169</v>
      </c>
      <c r="F178" s="88" t="s">
        <v>169</v>
      </c>
      <c r="G178" s="59">
        <f t="shared" ref="G178:AT178" si="254">G166/SUM(G160:G166)</f>
        <v>-8.771929824561403E-3</v>
      </c>
      <c r="H178" s="59">
        <f t="shared" si="254"/>
        <v>3.7888463175819495E-2</v>
      </c>
      <c r="I178" s="59">
        <f t="shared" si="254"/>
        <v>3.1172686788718457E-2</v>
      </c>
      <c r="J178" s="59">
        <f t="shared" si="254"/>
        <v>-1.7297297297297298E-2</v>
      </c>
      <c r="K178" s="78">
        <f t="shared" si="254"/>
        <v>1.3240857503152586E-2</v>
      </c>
      <c r="L178" s="59">
        <f t="shared" si="254"/>
        <v>2.0586721564590841E-3</v>
      </c>
      <c r="M178" s="59">
        <f t="shared" si="254"/>
        <v>3.7504783773440492E-2</v>
      </c>
      <c r="N178" s="59">
        <f t="shared" si="254"/>
        <v>3.2085561497326207E-2</v>
      </c>
      <c r="O178" s="59">
        <f t="shared" si="254"/>
        <v>1.2470023980815348E-2</v>
      </c>
      <c r="P178" s="78">
        <f t="shared" si="254"/>
        <v>2.2509848058525603E-2</v>
      </c>
      <c r="Q178" s="59">
        <f t="shared" si="254"/>
        <v>7.730786721236926E-3</v>
      </c>
      <c r="R178" s="59">
        <f t="shared" si="254"/>
        <v>5.4169402495075507E-2</v>
      </c>
      <c r="S178" s="59">
        <f t="shared" si="254"/>
        <v>3.1162604874151019E-2</v>
      </c>
      <c r="T178" s="59">
        <f t="shared" si="254"/>
        <v>2.1237303785780239E-2</v>
      </c>
      <c r="U178" s="78">
        <f t="shared" si="254"/>
        <v>3.0865442808150092E-2</v>
      </c>
      <c r="V178" s="59">
        <f t="shared" si="254"/>
        <v>-1.7873100983020554E-3</v>
      </c>
      <c r="W178" s="59">
        <f t="shared" si="254"/>
        <v>5.3141831238779177E-2</v>
      </c>
      <c r="X178" s="59">
        <f t="shared" si="254"/>
        <v>4.0464743589743592E-2</v>
      </c>
      <c r="Y178" s="59">
        <f t="shared" si="254"/>
        <v>3.3662477558348294E-2</v>
      </c>
      <c r="Z178" s="78">
        <f t="shared" si="254"/>
        <v>3.2830614548066073E-2</v>
      </c>
      <c r="AA178" s="59">
        <f t="shared" si="254"/>
        <v>1.5324165029469547E-2</v>
      </c>
      <c r="AB178" s="59">
        <f t="shared" si="254"/>
        <v>4.8020765736534715E-2</v>
      </c>
      <c r="AC178" s="59">
        <f t="shared" si="254"/>
        <v>3.2397408207343416E-2</v>
      </c>
      <c r="AD178" s="59">
        <f t="shared" si="254"/>
        <v>3.0176026823134954E-2</v>
      </c>
      <c r="AE178" s="78">
        <f t="shared" si="254"/>
        <v>3.2341766286720412E-2</v>
      </c>
      <c r="AF178" s="59">
        <f t="shared" si="254"/>
        <v>1.1396011396011397E-2</v>
      </c>
      <c r="AG178" s="59">
        <f t="shared" si="254"/>
        <v>3.4586056644880174E-2</v>
      </c>
      <c r="AH178" s="59">
        <f t="shared" si="254"/>
        <v>2.7544910179640718E-2</v>
      </c>
      <c r="AI178" s="59">
        <f t="shared" si="254"/>
        <v>3.0721966205837174E-2</v>
      </c>
      <c r="AJ178" s="78">
        <f t="shared" si="254"/>
        <v>2.6641983258209916E-2</v>
      </c>
      <c r="AK178" s="59">
        <f t="shared" si="254"/>
        <v>1.0552233556102708E-2</v>
      </c>
      <c r="AL178" s="59">
        <f t="shared" si="254"/>
        <v>3.4752155172413791E-2</v>
      </c>
      <c r="AM178" s="59">
        <f t="shared" si="254"/>
        <v>1.9340519974635383E-2</v>
      </c>
      <c r="AN178" s="59">
        <f t="shared" si="254"/>
        <v>3.1163434903047092E-2</v>
      </c>
      <c r="AO178" s="78">
        <f t="shared" si="254"/>
        <v>2.4609033896959592E-2</v>
      </c>
      <c r="AP178" s="59">
        <f t="shared" si="254"/>
        <v>2.3456364263539153E-2</v>
      </c>
      <c r="AQ178" s="59">
        <f t="shared" si="254"/>
        <v>3.8678485092667206E-2</v>
      </c>
      <c r="AR178" s="59">
        <f t="shared" si="254"/>
        <v>1.8260600433302382E-2</v>
      </c>
      <c r="AS178" s="59">
        <f t="shared" si="254"/>
        <v>1.3548150860490663E-2</v>
      </c>
      <c r="AT178" s="78">
        <f t="shared" si="254"/>
        <v>2.0578606267120998E-2</v>
      </c>
      <c r="AU178" s="59">
        <f>AU166/(AU$169-AU$168)</f>
        <v>5.5167340934166977E-3</v>
      </c>
      <c r="AV178" s="59">
        <f t="shared" ref="AV178:CM178" si="255">AV166/(AV$169-AV$168)</f>
        <v>3.4406826314340763E-2</v>
      </c>
      <c r="AW178" s="59">
        <f t="shared" si="255"/>
        <v>1.8170426065162906E-2</v>
      </c>
      <c r="AX178" s="59">
        <f t="shared" si="255"/>
        <v>2.2820800598578377E-2</v>
      </c>
      <c r="AY178" s="78">
        <f t="shared" si="255"/>
        <v>2.1199967258737823E-2</v>
      </c>
      <c r="AZ178" s="59">
        <f t="shared" si="255"/>
        <v>1.629844259326331E-2</v>
      </c>
      <c r="BA178" s="59">
        <f t="shared" si="255"/>
        <v>3.8026124818577652E-2</v>
      </c>
      <c r="BB178" s="59">
        <f t="shared" si="255"/>
        <v>3.0170968823332214E-2</v>
      </c>
      <c r="BC178" s="59">
        <f t="shared" si="255"/>
        <v>4.0242319342276074E-2</v>
      </c>
      <c r="BD178" s="78">
        <f t="shared" si="255"/>
        <v>3.1217391304347825E-2</v>
      </c>
      <c r="BE178" s="59">
        <f t="shared" si="255"/>
        <v>0</v>
      </c>
      <c r="BF178" s="59">
        <f t="shared" si="255"/>
        <v>0</v>
      </c>
      <c r="BG178" s="59">
        <f t="shared" si="255"/>
        <v>0</v>
      </c>
      <c r="BH178" s="59">
        <f t="shared" si="255"/>
        <v>0</v>
      </c>
      <c r="BI178" s="78">
        <f t="shared" si="255"/>
        <v>0</v>
      </c>
      <c r="BJ178" s="59">
        <f t="shared" si="255"/>
        <v>0</v>
      </c>
      <c r="BK178" s="59">
        <f t="shared" si="255"/>
        <v>0</v>
      </c>
      <c r="BL178" s="59">
        <f t="shared" si="255"/>
        <v>0</v>
      </c>
      <c r="BM178" s="59">
        <f t="shared" si="255"/>
        <v>0</v>
      </c>
      <c r="BN178" s="78">
        <f t="shared" si="255"/>
        <v>0</v>
      </c>
      <c r="BO178" s="59">
        <f t="shared" si="255"/>
        <v>0</v>
      </c>
      <c r="BP178" s="59">
        <f t="shared" si="255"/>
        <v>0</v>
      </c>
      <c r="BQ178" s="59">
        <f t="shared" si="255"/>
        <v>0</v>
      </c>
      <c r="BR178" s="59">
        <f t="shared" si="255"/>
        <v>0</v>
      </c>
      <c r="BS178" s="78">
        <f t="shared" si="255"/>
        <v>0</v>
      </c>
      <c r="BT178" s="59">
        <f t="shared" si="255"/>
        <v>0</v>
      </c>
      <c r="BU178" s="59">
        <f t="shared" si="255"/>
        <v>0</v>
      </c>
      <c r="BV178" s="59">
        <f t="shared" si="255"/>
        <v>0</v>
      </c>
      <c r="BW178" s="59">
        <f t="shared" si="255"/>
        <v>0</v>
      </c>
      <c r="BX178" s="78">
        <f t="shared" si="255"/>
        <v>0</v>
      </c>
      <c r="BY178" s="59">
        <f t="shared" si="255"/>
        <v>0</v>
      </c>
      <c r="BZ178" s="59">
        <f t="shared" si="255"/>
        <v>0</v>
      </c>
      <c r="CA178" s="59">
        <f t="shared" si="255"/>
        <v>0</v>
      </c>
      <c r="CB178" s="59">
        <f t="shared" si="255"/>
        <v>0</v>
      </c>
      <c r="CC178" s="78">
        <f t="shared" si="255"/>
        <v>0</v>
      </c>
      <c r="CD178" s="59">
        <f t="shared" si="255"/>
        <v>0</v>
      </c>
      <c r="CE178" s="59">
        <f t="shared" si="255"/>
        <v>0</v>
      </c>
      <c r="CF178" s="59">
        <f t="shared" si="255"/>
        <v>0</v>
      </c>
      <c r="CG178" s="59">
        <f t="shared" si="255"/>
        <v>0</v>
      </c>
      <c r="CH178" s="78">
        <f t="shared" si="255"/>
        <v>0</v>
      </c>
      <c r="CI178" s="59">
        <f t="shared" si="255"/>
        <v>0</v>
      </c>
      <c r="CJ178" s="59">
        <f t="shared" si="255"/>
        <v>0</v>
      </c>
      <c r="CK178" s="59">
        <f t="shared" si="255"/>
        <v>0</v>
      </c>
      <c r="CL178" s="59">
        <f t="shared" si="255"/>
        <v>0</v>
      </c>
      <c r="CM178" s="78">
        <f t="shared" si="255"/>
        <v>0</v>
      </c>
    </row>
    <row r="179" spans="1:91" collapsed="1" x14ac:dyDescent="0.2">
      <c r="A179" s="92"/>
      <c r="B179" s="53"/>
      <c r="C179" s="53"/>
      <c r="D179" s="53"/>
      <c r="E179" s="53"/>
      <c r="F179" s="65"/>
      <c r="G179" s="53"/>
      <c r="H179" s="53"/>
      <c r="I179" s="53"/>
      <c r="J179" s="53"/>
      <c r="K179" s="65"/>
      <c r="L179" s="106"/>
      <c r="M179" s="106"/>
      <c r="N179" s="106"/>
      <c r="O179" s="106"/>
      <c r="P179" s="107"/>
      <c r="Q179" s="53"/>
      <c r="R179" s="53"/>
      <c r="S179" s="53"/>
      <c r="T179" s="53"/>
      <c r="U179" s="65"/>
      <c r="V179" s="59"/>
      <c r="W179" s="59"/>
      <c r="X179" s="59"/>
      <c r="Y179" s="59"/>
      <c r="Z179" s="78"/>
      <c r="AA179" s="177"/>
      <c r="AB179" s="177"/>
      <c r="AC179" s="177"/>
      <c r="AD179" s="177"/>
      <c r="AE179" s="178"/>
      <c r="AF179" s="177"/>
      <c r="AG179" s="177"/>
      <c r="AH179" s="177"/>
      <c r="AI179" s="177"/>
      <c r="AJ179" s="178"/>
      <c r="AK179" s="177"/>
      <c r="AL179" s="177"/>
      <c r="AM179" s="177"/>
      <c r="AN179" s="177"/>
      <c r="AO179" s="178"/>
      <c r="AP179" s="59"/>
      <c r="AQ179" s="59"/>
      <c r="AR179" s="59"/>
      <c r="AS179" s="177"/>
      <c r="AT179" s="178"/>
      <c r="AU179" s="59"/>
      <c r="AV179" s="59"/>
      <c r="AW179" s="59"/>
      <c r="AX179" s="59"/>
      <c r="AY179" s="78"/>
      <c r="AZ179" s="59"/>
      <c r="BA179" s="59"/>
      <c r="BB179" s="59"/>
      <c r="BC179" s="59"/>
      <c r="BD179" s="78"/>
      <c r="BE179" s="91"/>
      <c r="BF179" s="91"/>
      <c r="BG179" s="91"/>
      <c r="BH179" s="146"/>
      <c r="BI179" s="147"/>
      <c r="BJ179" s="91"/>
      <c r="BK179" s="91"/>
      <c r="BL179" s="91"/>
      <c r="BM179" s="146"/>
      <c r="BN179" s="147"/>
      <c r="BO179" s="91"/>
      <c r="BP179" s="91"/>
      <c r="BQ179" s="91"/>
      <c r="BR179" s="146"/>
      <c r="BS179" s="147"/>
      <c r="BT179" s="59"/>
      <c r="BU179" s="59"/>
      <c r="BV179" s="59"/>
      <c r="BW179" s="59"/>
      <c r="BX179" s="78"/>
      <c r="BY179" s="59"/>
      <c r="BZ179" s="59"/>
      <c r="CA179" s="59"/>
      <c r="CB179" s="59"/>
      <c r="CC179" s="78"/>
      <c r="CD179" s="59"/>
      <c r="CE179" s="59"/>
      <c r="CF179" s="59"/>
      <c r="CG179" s="59"/>
      <c r="CH179" s="78"/>
      <c r="CI179" s="59"/>
      <c r="CJ179" s="59"/>
      <c r="CK179" s="59"/>
      <c r="CL179" s="59"/>
      <c r="CM179" s="78"/>
    </row>
    <row r="180" spans="1:91" x14ac:dyDescent="0.2">
      <c r="A180" s="52" t="s">
        <v>160</v>
      </c>
      <c r="B180" s="53"/>
      <c r="C180" s="53"/>
      <c r="D180" s="53"/>
      <c r="E180" s="53"/>
      <c r="F180" s="93"/>
      <c r="G180" s="38"/>
      <c r="H180" s="38"/>
      <c r="I180" s="38"/>
      <c r="J180" s="38"/>
      <c r="K180" s="93"/>
      <c r="L180" s="38"/>
      <c r="M180" s="38"/>
      <c r="N180" s="38"/>
      <c r="O180" s="38"/>
      <c r="P180" s="93"/>
      <c r="Q180" s="38"/>
      <c r="R180" s="38"/>
      <c r="S180" s="38"/>
      <c r="T180" s="38"/>
      <c r="U180" s="93"/>
      <c r="V180" s="38"/>
      <c r="W180" s="38"/>
      <c r="X180" s="38"/>
      <c r="Y180" s="38"/>
      <c r="Z180" s="93"/>
      <c r="AA180" s="38"/>
      <c r="AB180" s="38"/>
      <c r="AC180" s="38"/>
      <c r="AD180" s="38"/>
      <c r="AE180" s="93"/>
      <c r="AF180" s="38"/>
      <c r="AG180" s="38"/>
      <c r="AH180" s="38"/>
      <c r="AI180" s="38"/>
      <c r="AJ180" s="93"/>
      <c r="AK180" s="38"/>
      <c r="AL180" s="38"/>
      <c r="AM180" s="38"/>
      <c r="AN180" s="38"/>
      <c r="AO180" s="93"/>
      <c r="AP180" s="173"/>
      <c r="AQ180" s="173"/>
      <c r="AR180" s="173"/>
      <c r="AS180" s="173"/>
      <c r="AT180" s="175"/>
      <c r="AU180" s="69"/>
      <c r="AV180" s="69"/>
      <c r="AW180" s="69"/>
      <c r="AX180" s="69"/>
      <c r="AY180" s="176"/>
      <c r="AZ180" s="69"/>
      <c r="BA180" s="69"/>
      <c r="BB180" s="69"/>
      <c r="BC180" s="69"/>
      <c r="BD180" s="176"/>
      <c r="BE180" s="53"/>
      <c r="BF180" s="53"/>
      <c r="BG180" s="53"/>
      <c r="BH180" s="53"/>
      <c r="BI180" s="65"/>
      <c r="BJ180" s="53"/>
      <c r="BK180" s="53"/>
      <c r="BL180" s="53"/>
      <c r="BM180" s="53"/>
      <c r="BN180" s="65"/>
      <c r="BO180" s="53"/>
      <c r="BP180" s="53"/>
      <c r="BQ180" s="53"/>
      <c r="BR180" s="53"/>
      <c r="BS180" s="65"/>
      <c r="BT180" s="53"/>
      <c r="BU180" s="53"/>
      <c r="BV180" s="53"/>
      <c r="BW180" s="53"/>
      <c r="BX180" s="65"/>
      <c r="BY180" s="53"/>
      <c r="BZ180" s="53"/>
      <c r="CA180" s="53"/>
      <c r="CB180" s="53"/>
      <c r="CC180" s="65"/>
      <c r="CD180" s="53"/>
      <c r="CE180" s="53"/>
      <c r="CF180" s="53"/>
      <c r="CG180" s="53"/>
      <c r="CH180" s="65"/>
      <c r="CI180" s="53"/>
      <c r="CJ180" s="53"/>
      <c r="CK180" s="53"/>
      <c r="CL180" s="53"/>
      <c r="CM180" s="65"/>
    </row>
    <row r="181" spans="1:91" x14ac:dyDescent="0.2">
      <c r="A181" s="727" t="str">
        <f>+A159</f>
        <v>Europe, Middle East, Africa</v>
      </c>
      <c r="B181" s="53"/>
      <c r="C181" s="53"/>
      <c r="D181" s="53"/>
      <c r="E181" s="53"/>
      <c r="F181" s="93"/>
      <c r="G181" s="38"/>
      <c r="H181" s="38"/>
      <c r="I181" s="38"/>
      <c r="J181" s="38"/>
      <c r="K181" s="93"/>
      <c r="L181" s="38"/>
      <c r="M181" s="38"/>
      <c r="N181" s="38"/>
      <c r="O181" s="38"/>
      <c r="P181" s="93"/>
      <c r="Q181" s="38"/>
      <c r="R181" s="38"/>
      <c r="S181" s="38"/>
      <c r="T181" s="38"/>
      <c r="U181" s="93"/>
      <c r="V181" s="38"/>
      <c r="W181" s="38"/>
      <c r="X181" s="38"/>
      <c r="Y181" s="38"/>
      <c r="Z181" s="93"/>
      <c r="AA181" s="38"/>
      <c r="AB181" s="38"/>
      <c r="AC181" s="38"/>
      <c r="AD181" s="38"/>
      <c r="AE181" s="93"/>
      <c r="AF181" s="38"/>
      <c r="AG181" s="38"/>
      <c r="AH181" s="38"/>
      <c r="AI181" s="38"/>
      <c r="AJ181" s="93"/>
      <c r="AK181" s="38"/>
      <c r="AL181" s="38"/>
      <c r="AM181" s="38"/>
      <c r="AN181" s="38"/>
      <c r="AO181" s="93"/>
      <c r="AP181" s="173"/>
      <c r="AQ181" s="173"/>
      <c r="AR181" s="173"/>
      <c r="AS181" s="173"/>
      <c r="AT181" s="794">
        <f>+AT159/(AT$169-AT$168)</f>
        <v>0.31826128417037508</v>
      </c>
      <c r="AU181" s="795">
        <f t="shared" ref="AU181:CM181" si="256">+AU159/(AU$169-AU$168)</f>
        <v>0.37587348289812433</v>
      </c>
      <c r="AV181" s="795">
        <f t="shared" si="256"/>
        <v>0.32535094962840627</v>
      </c>
      <c r="AW181" s="795">
        <f t="shared" si="256"/>
        <v>0.31954887218045114</v>
      </c>
      <c r="AX181" s="795">
        <f t="shared" si="256"/>
        <v>0.31762065095398428</v>
      </c>
      <c r="AY181" s="794">
        <f t="shared" si="256"/>
        <v>0.33338790210362612</v>
      </c>
      <c r="AZ181" s="795">
        <f t="shared" si="256"/>
        <v>0.36073886273089462</v>
      </c>
      <c r="BA181" s="795">
        <f t="shared" si="256"/>
        <v>0.32336719883889697</v>
      </c>
      <c r="BB181" s="795">
        <f t="shared" si="256"/>
        <v>0.31143144485417368</v>
      </c>
      <c r="BC181" s="795">
        <f t="shared" si="256"/>
        <v>0.35785374296841194</v>
      </c>
      <c r="BD181" s="794">
        <f t="shared" si="256"/>
        <v>0.33617391304347827</v>
      </c>
      <c r="BE181" s="795">
        <f t="shared" si="256"/>
        <v>0.34368070953436808</v>
      </c>
      <c r="BF181" s="795">
        <f t="shared" si="256"/>
        <v>0.31713171317131711</v>
      </c>
      <c r="BG181" s="795">
        <f>+BG159/(BG$169-BG$168)</f>
        <v>0.31456043956043955</v>
      </c>
      <c r="BH181" s="795">
        <f t="shared" si="256"/>
        <v>0.34878682842287695</v>
      </c>
      <c r="BI181" s="794">
        <f t="shared" si="256"/>
        <v>0.32933653077537972</v>
      </c>
      <c r="BJ181" s="795">
        <f t="shared" si="256"/>
        <v>0.33724569640062596</v>
      </c>
      <c r="BK181" s="795">
        <f t="shared" si="256"/>
        <v>0.33147459727385375</v>
      </c>
      <c r="BL181" s="795">
        <f t="shared" si="256"/>
        <v>0.33620071684587816</v>
      </c>
      <c r="BM181" s="795">
        <f t="shared" si="256"/>
        <v>0.3235294117647059</v>
      </c>
      <c r="BN181" s="794">
        <f t="shared" si="256"/>
        <v>0.33227156898434657</v>
      </c>
      <c r="BO181" s="795">
        <f t="shared" si="256"/>
        <v>0.35109237255653508</v>
      </c>
      <c r="BP181" s="795">
        <f t="shared" si="256"/>
        <v>0.32106433737243828</v>
      </c>
      <c r="BQ181" s="795">
        <f t="shared" si="256"/>
        <v>0.33013447858348022</v>
      </c>
      <c r="BR181" s="795">
        <f t="shared" si="256"/>
        <v>0.3174451896689951</v>
      </c>
      <c r="BS181" s="794">
        <f t="shared" si="256"/>
        <v>0.32940393145113001</v>
      </c>
      <c r="BT181" s="795">
        <f t="shared" si="256"/>
        <v>0.34475866257499355</v>
      </c>
      <c r="BU181" s="795">
        <f t="shared" si="256"/>
        <v>0.31735083414619547</v>
      </c>
      <c r="BV181" s="795">
        <f t="shared" si="256"/>
        <v>0.32573666661475115</v>
      </c>
      <c r="BW181" s="795">
        <f t="shared" si="256"/>
        <v>0.31290368958376813</v>
      </c>
      <c r="BX181" s="794">
        <f t="shared" si="256"/>
        <v>0.3247122825659351</v>
      </c>
      <c r="BY181" s="795">
        <f t="shared" si="256"/>
        <v>0.33968943171484767</v>
      </c>
      <c r="BZ181" s="795">
        <f t="shared" si="256"/>
        <v>0.31394538755429702</v>
      </c>
      <c r="CA181" s="795">
        <f t="shared" si="256"/>
        <v>0.32170316423970607</v>
      </c>
      <c r="CB181" s="795">
        <f t="shared" si="256"/>
        <v>0.30874283528503405</v>
      </c>
      <c r="CC181" s="794">
        <f t="shared" si="256"/>
        <v>0.32059990106797753</v>
      </c>
      <c r="CD181" s="795">
        <f t="shared" si="256"/>
        <v>0.33310696042282462</v>
      </c>
      <c r="CE181" s="795">
        <f t="shared" si="256"/>
        <v>0.30896846262124256</v>
      </c>
      <c r="CF181" s="795">
        <f t="shared" si="256"/>
        <v>0.31613212560055542</v>
      </c>
      <c r="CG181" s="795">
        <f t="shared" si="256"/>
        <v>0.30311687293317885</v>
      </c>
      <c r="CH181" s="794">
        <f t="shared" si="256"/>
        <v>0.31495982708011105</v>
      </c>
      <c r="CI181" s="795">
        <f t="shared" si="256"/>
        <v>0.32792375095675413</v>
      </c>
      <c r="CJ181" s="795">
        <f t="shared" si="256"/>
        <v>0.30502901437557417</v>
      </c>
      <c r="CK181" s="795">
        <f t="shared" si="256"/>
        <v>0.31175016573463715</v>
      </c>
      <c r="CL181" s="795">
        <f t="shared" si="256"/>
        <v>0.29876663479112486</v>
      </c>
      <c r="CM181" s="794">
        <f t="shared" si="256"/>
        <v>0.31053233594130819</v>
      </c>
    </row>
    <row r="182" spans="1:91" hidden="1" x14ac:dyDescent="0.2">
      <c r="A182" s="47" t="s">
        <v>182</v>
      </c>
      <c r="B182" s="38" t="s">
        <v>169</v>
      </c>
      <c r="C182" s="38" t="s">
        <v>169</v>
      </c>
      <c r="D182" s="38" t="s">
        <v>169</v>
      </c>
      <c r="E182" s="38" t="s">
        <v>169</v>
      </c>
      <c r="F182" s="88" t="s">
        <v>169</v>
      </c>
      <c r="G182" s="59">
        <f t="shared" ref="G182:AS182" si="257">G168/SUM(G168:G174)</f>
        <v>-0.23069750894658628</v>
      </c>
      <c r="H182" s="59">
        <f t="shared" si="257"/>
        <v>-0.15574457709697703</v>
      </c>
      <c r="I182" s="59">
        <f t="shared" si="257"/>
        <v>-0.23165091033090993</v>
      </c>
      <c r="J182" s="59">
        <f t="shared" si="257"/>
        <v>-0.50306002788396564</v>
      </c>
      <c r="K182" s="78">
        <f t="shared" si="257"/>
        <v>-0.25321133415888736</v>
      </c>
      <c r="L182" s="59">
        <f t="shared" si="257"/>
        <v>-0.22983078836833354</v>
      </c>
      <c r="M182" s="59">
        <f t="shared" si="257"/>
        <v>-0.14579288968511073</v>
      </c>
      <c r="N182" s="59">
        <f t="shared" si="257"/>
        <v>-0.2100759818338393</v>
      </c>
      <c r="O182" s="59">
        <f t="shared" si="257"/>
        <v>-0.3551030040808299</v>
      </c>
      <c r="P182" s="78">
        <f t="shared" si="257"/>
        <v>-0.221991264888976</v>
      </c>
      <c r="Q182" s="59">
        <f t="shared" si="257"/>
        <v>-0.14483087425741756</v>
      </c>
      <c r="R182" s="59">
        <f t="shared" si="257"/>
        <v>-0.10148388133045934</v>
      </c>
      <c r="S182" s="59">
        <f t="shared" si="257"/>
        <v>-0.13686851428770061</v>
      </c>
      <c r="T182" s="59">
        <f t="shared" si="257"/>
        <v>-0.24070625251185565</v>
      </c>
      <c r="U182" s="78">
        <f t="shared" si="257"/>
        <v>-0.14678244123905346</v>
      </c>
      <c r="V182" s="59">
        <f t="shared" si="257"/>
        <v>-0.16921771865444241</v>
      </c>
      <c r="W182" s="59">
        <f t="shared" si="257"/>
        <v>-0.12302060706603701</v>
      </c>
      <c r="X182" s="59">
        <f t="shared" si="257"/>
        <v>-0.15681036227484313</v>
      </c>
      <c r="Y182" s="59">
        <f t="shared" si="257"/>
        <v>-0.22615306129612772</v>
      </c>
      <c r="Z182" s="78">
        <f t="shared" si="257"/>
        <v>-0.16386550464588162</v>
      </c>
      <c r="AA182" s="59">
        <f t="shared" si="257"/>
        <v>-0.13211596509720125</v>
      </c>
      <c r="AB182" s="59">
        <f t="shared" si="257"/>
        <v>-9.2678313188369457E-2</v>
      </c>
      <c r="AC182" s="59">
        <f t="shared" si="257"/>
        <v>-0.15826756704800793</v>
      </c>
      <c r="AD182" s="59">
        <f t="shared" si="257"/>
        <v>-0.22562365963581346</v>
      </c>
      <c r="AE182" s="78">
        <f t="shared" si="257"/>
        <v>-0.14484845453613934</v>
      </c>
      <c r="AF182" s="59">
        <f t="shared" si="257"/>
        <v>-0.13874097634482876</v>
      </c>
      <c r="AG182" s="59">
        <f t="shared" si="257"/>
        <v>-0.10592848376876174</v>
      </c>
      <c r="AH182" s="59">
        <f t="shared" si="257"/>
        <v>-0.14626693309804326</v>
      </c>
      <c r="AI182" s="59">
        <f t="shared" si="257"/>
        <v>-0.19846334479988467</v>
      </c>
      <c r="AJ182" s="78">
        <f t="shared" si="257"/>
        <v>-0.14199594848570798</v>
      </c>
      <c r="AK182" s="59">
        <f t="shared" si="257"/>
        <v>-0.1220826153975203</v>
      </c>
      <c r="AL182" s="59">
        <f t="shared" si="257"/>
        <v>-9.6008091098208986E-2</v>
      </c>
      <c r="AM182" s="59">
        <f t="shared" si="257"/>
        <v>-0.15002275059829759</v>
      </c>
      <c r="AN182" s="59">
        <f t="shared" si="257"/>
        <v>-0.19486835340206582</v>
      </c>
      <c r="AO182" s="78"/>
      <c r="AP182" s="59">
        <f t="shared" si="257"/>
        <v>-0.12395981556398605</v>
      </c>
      <c r="AQ182" s="59">
        <f t="shared" si="257"/>
        <v>-9.7966305040181181E-2</v>
      </c>
      <c r="AR182" s="59">
        <f t="shared" si="257"/>
        <v>-0.15535625441519554</v>
      </c>
      <c r="AS182" s="59">
        <f t="shared" si="257"/>
        <v>-0.170979990015247</v>
      </c>
      <c r="AT182" s="794">
        <f>+AT160/(AT$169-AT$168)</f>
        <v>8.6538461538461536E-2</v>
      </c>
      <c r="AU182" s="795">
        <f t="shared" ref="AU182:CM182" si="258">+AU160/(AU$169-AU$168)</f>
        <v>0.11143802868701728</v>
      </c>
      <c r="AV182" s="795">
        <f t="shared" si="258"/>
        <v>7.9823837049270568E-2</v>
      </c>
      <c r="AW182" s="795">
        <f t="shared" si="258"/>
        <v>8.3333333333333329E-2</v>
      </c>
      <c r="AX182" s="795">
        <f t="shared" si="258"/>
        <v>9.3901982790871683E-2</v>
      </c>
      <c r="AY182" s="794">
        <f t="shared" si="258"/>
        <v>9.0857002537447815E-2</v>
      </c>
      <c r="AZ182" s="795">
        <f t="shared" si="258"/>
        <v>0.10539659543643608</v>
      </c>
      <c r="BA182" s="795">
        <f t="shared" si="258"/>
        <v>8.0696661828737304E-2</v>
      </c>
      <c r="BB182" s="795">
        <f t="shared" si="258"/>
        <v>7.0063694267515922E-2</v>
      </c>
      <c r="BC182" s="795">
        <f t="shared" si="258"/>
        <v>9.7360450021635653E-2</v>
      </c>
      <c r="BD182" s="794">
        <f t="shared" si="258"/>
        <v>8.721739130434783E-2</v>
      </c>
      <c r="BE182" s="795">
        <f t="shared" si="258"/>
        <v>8.6844050258684399E-2</v>
      </c>
      <c r="BF182" s="795">
        <f t="shared" si="258"/>
        <v>7.4707470747074706E-2</v>
      </c>
      <c r="BG182" s="795">
        <f t="shared" ca="1" si="258"/>
        <v>8.1750462676243266E-2</v>
      </c>
      <c r="BH182" s="795">
        <f t="shared" ca="1" si="258"/>
        <v>8.6128940196753809E-2</v>
      </c>
      <c r="BI182" s="794">
        <f t="shared" ca="1" si="258"/>
        <v>8.1787276071349863E-2</v>
      </c>
      <c r="BJ182" s="795">
        <f t="shared" ca="1" si="258"/>
        <v>8.4864722096821402E-2</v>
      </c>
      <c r="BK182" s="795">
        <f t="shared" ca="1" si="258"/>
        <v>7.5197597582098943E-2</v>
      </c>
      <c r="BL182" s="795">
        <f t="shared" ca="1" si="258"/>
        <v>8.2096060055628417E-2</v>
      </c>
      <c r="BM182" s="795">
        <f t="shared" ca="1" si="258"/>
        <v>8.4188594580114393E-2</v>
      </c>
      <c r="BN182" s="794">
        <f t="shared" ca="1" si="258"/>
        <v>8.1173220745002758E-2</v>
      </c>
      <c r="BO182" s="795">
        <f t="shared" ca="1" si="258"/>
        <v>9.0426702242312348E-2</v>
      </c>
      <c r="BP182" s="795">
        <f t="shared" ca="1" si="258"/>
        <v>7.9977195635829945E-2</v>
      </c>
      <c r="BQ182" s="795">
        <f t="shared" ca="1" si="258"/>
        <v>8.0458905686693574E-2</v>
      </c>
      <c r="BR182" s="795">
        <f t="shared" ca="1" si="258"/>
        <v>8.0429895743597143E-2</v>
      </c>
      <c r="BS182" s="794">
        <f t="shared" ca="1" si="258"/>
        <v>8.2578815901645342E-2</v>
      </c>
      <c r="BT182" s="795">
        <f t="shared" ca="1" si="258"/>
        <v>8.9397646397066044E-2</v>
      </c>
      <c r="BU182" s="795">
        <f t="shared" ca="1" si="258"/>
        <v>8.0219310310094563E-2</v>
      </c>
      <c r="BV182" s="795">
        <f t="shared" ca="1" si="258"/>
        <v>8.0550338482271319E-2</v>
      </c>
      <c r="BW182" s="795">
        <f t="shared" ca="1" si="258"/>
        <v>8.0374807942686283E-2</v>
      </c>
      <c r="BX182" s="794">
        <f t="shared" ca="1" si="258"/>
        <v>8.2420338939993218E-2</v>
      </c>
      <c r="BY182" s="795">
        <f t="shared" ca="1" si="258"/>
        <v>8.9362118343946001E-2</v>
      </c>
      <c r="BZ182" s="795">
        <f t="shared" ca="1" si="258"/>
        <v>8.0515487988816845E-2</v>
      </c>
      <c r="CA182" s="795">
        <f t="shared" ca="1" si="258"/>
        <v>8.070415381083916E-2</v>
      </c>
      <c r="CB182" s="795">
        <f t="shared" ca="1" si="258"/>
        <v>8.0389703702370391E-2</v>
      </c>
      <c r="CC182" s="794">
        <f t="shared" ca="1" si="258"/>
        <v>8.2542837768148442E-2</v>
      </c>
      <c r="CD182" s="795">
        <f t="shared" ca="1" si="258"/>
        <v>8.9645405562063601E-2</v>
      </c>
      <c r="CE182" s="795">
        <f t="shared" ca="1" si="258"/>
        <v>8.1065827493679035E-2</v>
      </c>
      <c r="CF182" s="795">
        <f t="shared" ca="1" si="258"/>
        <v>8.1126499735598129E-2</v>
      </c>
      <c r="CG182" s="795">
        <f t="shared" ca="1" si="258"/>
        <v>8.0673801708851953E-2</v>
      </c>
      <c r="CH182" s="794">
        <f t="shared" ca="1" si="258"/>
        <v>8.2940546030104909E-2</v>
      </c>
      <c r="CI182" s="795">
        <f t="shared" ca="1" si="258"/>
        <v>8.9390777278243572E-2</v>
      </c>
      <c r="CJ182" s="795">
        <f t="shared" ca="1" si="258"/>
        <v>8.1070628729808358E-2</v>
      </c>
      <c r="CK182" s="795">
        <f t="shared" ca="1" si="258"/>
        <v>8.1032409849062223E-2</v>
      </c>
      <c r="CL182" s="795">
        <f t="shared" ca="1" si="258"/>
        <v>8.0483736111140833E-2</v>
      </c>
      <c r="CM182" s="794">
        <f t="shared" ca="1" si="258"/>
        <v>8.2817835204236787E-2</v>
      </c>
    </row>
    <row r="183" spans="1:91" hidden="1" x14ac:dyDescent="0.2">
      <c r="A183" s="47" t="s">
        <v>183</v>
      </c>
      <c r="B183" s="38" t="s">
        <v>169</v>
      </c>
      <c r="C183" s="38" t="s">
        <v>169</v>
      </c>
      <c r="D183" s="38" t="s">
        <v>169</v>
      </c>
      <c r="E183" s="38" t="s">
        <v>169</v>
      </c>
      <c r="F183" s="88" t="s">
        <v>169</v>
      </c>
      <c r="G183" s="59">
        <f t="shared" ref="G183:AS183" si="259">G169/SUM(G168:G174)</f>
        <v>1.2303867143817935</v>
      </c>
      <c r="H183" s="59">
        <f t="shared" si="259"/>
        <v>1.1555242816872491</v>
      </c>
      <c r="I183" s="59">
        <f t="shared" si="259"/>
        <v>1.2313693702277431</v>
      </c>
      <c r="J183" s="59">
        <f t="shared" si="259"/>
        <v>1.502674997084432</v>
      </c>
      <c r="K183" s="78">
        <f t="shared" si="259"/>
        <v>1.2531396635005101</v>
      </c>
      <c r="L183" s="59">
        <f t="shared" si="259"/>
        <v>1.2295196096698104</v>
      </c>
      <c r="M183" s="59">
        <f t="shared" si="259"/>
        <v>1.1455861636952092</v>
      </c>
      <c r="N183" s="59">
        <f t="shared" si="259"/>
        <v>1.2098351724888576</v>
      </c>
      <c r="O183" s="59">
        <f t="shared" si="259"/>
        <v>1.3548040709966074</v>
      </c>
      <c r="P183" s="78">
        <f t="shared" si="259"/>
        <v>1.2219270283310473</v>
      </c>
      <c r="Q183" s="59">
        <f t="shared" si="259"/>
        <v>1.1445743585039638</v>
      </c>
      <c r="R183" s="59">
        <f t="shared" si="259"/>
        <v>1.1013172958391093</v>
      </c>
      <c r="S183" s="59">
        <f t="shared" si="259"/>
        <v>1.1366701149394913</v>
      </c>
      <c r="T183" s="59">
        <f t="shared" si="259"/>
        <v>1.2404577899332561</v>
      </c>
      <c r="U183" s="78">
        <f t="shared" si="259"/>
        <v>1.1467296676000363</v>
      </c>
      <c r="V183" s="59">
        <f t="shared" si="259"/>
        <v>1.168977526393763</v>
      </c>
      <c r="W183" s="59">
        <f t="shared" si="259"/>
        <v>1.1228426317663742</v>
      </c>
      <c r="X183" s="59">
        <f t="shared" si="259"/>
        <v>1.1566079740943129</v>
      </c>
      <c r="Y183" s="59">
        <f t="shared" si="259"/>
        <v>1.2259190440865022</v>
      </c>
      <c r="Z183" s="78">
        <f t="shared" si="259"/>
        <v>1.1638128609263612</v>
      </c>
      <c r="AA183" s="59">
        <f t="shared" si="259"/>
        <v>1.1319258814154951</v>
      </c>
      <c r="AB183" s="59">
        <f t="shared" si="259"/>
        <v>1.0925273351375835</v>
      </c>
      <c r="AC183" s="59">
        <f t="shared" si="259"/>
        <v>1.1581015983991956</v>
      </c>
      <c r="AD183" s="59">
        <f t="shared" si="259"/>
        <v>1.2254223023346742</v>
      </c>
      <c r="AE183" s="78">
        <f t="shared" si="259"/>
        <v>1.1448047409254776</v>
      </c>
      <c r="AF183" s="59">
        <f t="shared" si="259"/>
        <v>1.1385857829216603</v>
      </c>
      <c r="AG183" s="59">
        <f t="shared" si="259"/>
        <v>1.1058141716795034</v>
      </c>
      <c r="AH183" s="59">
        <f t="shared" si="259"/>
        <v>1.1461445921597995</v>
      </c>
      <c r="AI183" s="59">
        <f t="shared" si="259"/>
        <v>1.198289492656601</v>
      </c>
      <c r="AJ183" s="78">
        <f t="shared" si="259"/>
        <v>1.1419615944447403</v>
      </c>
      <c r="AK183" s="59">
        <f t="shared" si="259"/>
        <v>1.1219348597822296</v>
      </c>
      <c r="AL183" s="59">
        <f t="shared" si="259"/>
        <v>1.0959050666160108</v>
      </c>
      <c r="AM183" s="59">
        <f t="shared" si="259"/>
        <v>1.1498996543111271</v>
      </c>
      <c r="AN183" s="59">
        <f t="shared" si="259"/>
        <v>1.1947114111045172</v>
      </c>
      <c r="AO183" s="78"/>
      <c r="AP183" s="59">
        <f t="shared" si="259"/>
        <v>1.1238162445748874</v>
      </c>
      <c r="AQ183" s="59">
        <f t="shared" si="259"/>
        <v>1.0978650184502927</v>
      </c>
      <c r="AR183" s="59">
        <f t="shared" si="259"/>
        <v>1.1552339753902792</v>
      </c>
      <c r="AS183" s="59">
        <f t="shared" si="259"/>
        <v>1.1708198741561311</v>
      </c>
      <c r="AT183" s="794">
        <f>+AT161/(AT$169-AT$168)</f>
        <v>0.23172282263191354</v>
      </c>
      <c r="AU183" s="795">
        <f t="shared" ref="AU183:CM183" si="260">+AU161/(AU$169-AU$168)</f>
        <v>0.26443545421110703</v>
      </c>
      <c r="AV183" s="795">
        <f t="shared" si="260"/>
        <v>0.2455271125791357</v>
      </c>
      <c r="AW183" s="795">
        <f t="shared" si="260"/>
        <v>0.2362155388471178</v>
      </c>
      <c r="AX183" s="795">
        <f t="shared" si="260"/>
        <v>0.22371866816311262</v>
      </c>
      <c r="AY183" s="794">
        <f t="shared" si="260"/>
        <v>0.24253089956617827</v>
      </c>
      <c r="AZ183" s="795">
        <f t="shared" si="260"/>
        <v>0.25534226729445852</v>
      </c>
      <c r="BA183" s="795">
        <f t="shared" si="260"/>
        <v>0.24267053701015964</v>
      </c>
      <c r="BB183" s="795">
        <f t="shared" si="260"/>
        <v>0.24136775058665771</v>
      </c>
      <c r="BC183" s="795">
        <f t="shared" si="260"/>
        <v>0.26049329294677631</v>
      </c>
      <c r="BD183" s="794">
        <f t="shared" si="260"/>
        <v>0.24895652173913044</v>
      </c>
      <c r="BE183" s="795">
        <f t="shared" si="260"/>
        <v>0.25683665927568367</v>
      </c>
      <c r="BF183" s="795">
        <f t="shared" si="260"/>
        <v>0.24242424242424243</v>
      </c>
      <c r="BG183" s="795">
        <f t="shared" ca="1" si="260"/>
        <v>0.26834224971725651</v>
      </c>
      <c r="BH183" s="795">
        <f t="shared" ca="1" si="260"/>
        <v>0.29602542480361016</v>
      </c>
      <c r="BI183" s="794">
        <f t="shared" ca="1" si="260"/>
        <v>0.2635792975951135</v>
      </c>
      <c r="BJ183" s="795">
        <f t="shared" ca="1" si="260"/>
        <v>0.2689877222734281</v>
      </c>
      <c r="BK183" s="795">
        <f t="shared" ca="1" si="260"/>
        <v>0.24930631842261547</v>
      </c>
      <c r="BL183" s="795">
        <f t="shared" ca="1" si="260"/>
        <v>0.28133744443008468</v>
      </c>
      <c r="BM183" s="795">
        <f t="shared" ca="1" si="260"/>
        <v>0.29124719203040633</v>
      </c>
      <c r="BN183" s="794">
        <f t="shared" ca="1" si="260"/>
        <v>0.27123185343287426</v>
      </c>
      <c r="BO183" s="795">
        <f t="shared" ca="1" si="260"/>
        <v>0.27426217507817496</v>
      </c>
      <c r="BP183" s="795">
        <f t="shared" ca="1" si="260"/>
        <v>0.25839307625094537</v>
      </c>
      <c r="BQ183" s="795">
        <f t="shared" ca="1" si="260"/>
        <v>0.26666539301998327</v>
      </c>
      <c r="BR183" s="795">
        <f t="shared" ca="1" si="260"/>
        <v>0.26988851754411142</v>
      </c>
      <c r="BS183" s="794">
        <f t="shared" ca="1" si="260"/>
        <v>0.2668067559735563</v>
      </c>
      <c r="BT183" s="795">
        <f t="shared" ca="1" si="260"/>
        <v>0.26603123682694235</v>
      </c>
      <c r="BU183" s="795">
        <f t="shared" ca="1" si="260"/>
        <v>0.2514306039963044</v>
      </c>
      <c r="BV183" s="795">
        <f t="shared" ca="1" si="260"/>
        <v>0.25899084968567387</v>
      </c>
      <c r="BW183" s="795">
        <f t="shared" ca="1" si="260"/>
        <v>0.2616443521151271</v>
      </c>
      <c r="BX183" s="794">
        <f t="shared" ca="1" si="260"/>
        <v>0.25907532002553396</v>
      </c>
      <c r="BY183" s="795">
        <f t="shared" ca="1" si="260"/>
        <v>0.2580317949236432</v>
      </c>
      <c r="BZ183" s="795">
        <f t="shared" ca="1" si="260"/>
        <v>0.24487094740366727</v>
      </c>
      <c r="CA183" s="795">
        <f t="shared" ca="1" si="260"/>
        <v>0.25178598709071492</v>
      </c>
      <c r="CB183" s="795">
        <f t="shared" ca="1" si="260"/>
        <v>0.25392792361684735</v>
      </c>
      <c r="CC183" s="794">
        <f t="shared" ca="1" si="260"/>
        <v>0.25176088908838523</v>
      </c>
      <c r="CD183" s="795">
        <f t="shared" ca="1" si="260"/>
        <v>0.25130265514784406</v>
      </c>
      <c r="CE183" s="795">
        <f t="shared" ca="1" si="260"/>
        <v>0.23935899455150583</v>
      </c>
      <c r="CF183" s="795">
        <f t="shared" ca="1" si="260"/>
        <v>0.24572678921150387</v>
      </c>
      <c r="CG183" s="795">
        <f t="shared" ca="1" si="260"/>
        <v>0.24739826888229804</v>
      </c>
      <c r="CH183" s="794">
        <f t="shared" ca="1" si="260"/>
        <v>0.2456001386465379</v>
      </c>
      <c r="CI183" s="795">
        <f t="shared" ca="1" si="260"/>
        <v>0.24574500450029291</v>
      </c>
      <c r="CJ183" s="795">
        <f t="shared" ca="1" si="260"/>
        <v>0.23474845001565733</v>
      </c>
      <c r="CK183" s="795">
        <f t="shared" ca="1" si="260"/>
        <v>0.24069982962719239</v>
      </c>
      <c r="CL183" s="795">
        <f t="shared" ca="1" si="260"/>
        <v>0.24204689849824618</v>
      </c>
      <c r="CM183" s="794">
        <f t="shared" ca="1" si="260"/>
        <v>0.24049814609069692</v>
      </c>
    </row>
    <row r="184" spans="1:91" x14ac:dyDescent="0.2">
      <c r="A184" s="47" t="s">
        <v>14</v>
      </c>
      <c r="B184" s="38" t="s">
        <v>169</v>
      </c>
      <c r="C184" s="38" t="s">
        <v>169</v>
      </c>
      <c r="D184" s="38" t="s">
        <v>169</v>
      </c>
      <c r="E184" s="38" t="s">
        <v>169</v>
      </c>
      <c r="F184" s="88" t="s">
        <v>169</v>
      </c>
      <c r="G184" s="59">
        <f t="shared" ref="G184:AS184" si="261">G170/SUM(G168:G174)</f>
        <v>0</v>
      </c>
      <c r="H184" s="59">
        <f t="shared" si="261"/>
        <v>0</v>
      </c>
      <c r="I184" s="59">
        <f t="shared" si="261"/>
        <v>0</v>
      </c>
      <c r="J184" s="59">
        <f t="shared" si="261"/>
        <v>0</v>
      </c>
      <c r="K184" s="78">
        <f t="shared" si="261"/>
        <v>0</v>
      </c>
      <c r="L184" s="59">
        <f t="shared" si="261"/>
        <v>0</v>
      </c>
      <c r="M184" s="59">
        <f t="shared" si="261"/>
        <v>0</v>
      </c>
      <c r="N184" s="59">
        <f t="shared" si="261"/>
        <v>0</v>
      </c>
      <c r="O184" s="59">
        <f t="shared" si="261"/>
        <v>0</v>
      </c>
      <c r="P184" s="78">
        <f t="shared" si="261"/>
        <v>0</v>
      </c>
      <c r="Q184" s="59">
        <f t="shared" si="261"/>
        <v>0</v>
      </c>
      <c r="R184" s="59">
        <f t="shared" si="261"/>
        <v>0</v>
      </c>
      <c r="S184" s="59">
        <f t="shared" si="261"/>
        <v>0</v>
      </c>
      <c r="T184" s="59">
        <f t="shared" si="261"/>
        <v>0</v>
      </c>
      <c r="U184" s="78">
        <f t="shared" si="261"/>
        <v>0</v>
      </c>
      <c r="V184" s="59">
        <f t="shared" si="261"/>
        <v>0</v>
      </c>
      <c r="W184" s="59">
        <f t="shared" si="261"/>
        <v>0</v>
      </c>
      <c r="X184" s="59">
        <f t="shared" si="261"/>
        <v>0</v>
      </c>
      <c r="Y184" s="59">
        <f t="shared" si="261"/>
        <v>0</v>
      </c>
      <c r="Z184" s="78">
        <f t="shared" si="261"/>
        <v>0</v>
      </c>
      <c r="AA184" s="59">
        <f t="shared" si="261"/>
        <v>0</v>
      </c>
      <c r="AB184" s="59">
        <f t="shared" si="261"/>
        <v>0</v>
      </c>
      <c r="AC184" s="59">
        <f t="shared" si="261"/>
        <v>0</v>
      </c>
      <c r="AD184" s="59">
        <f t="shared" si="261"/>
        <v>0</v>
      </c>
      <c r="AE184" s="78">
        <f t="shared" si="261"/>
        <v>0</v>
      </c>
      <c r="AF184" s="59">
        <f t="shared" si="261"/>
        <v>0</v>
      </c>
      <c r="AG184" s="59">
        <f t="shared" si="261"/>
        <v>0</v>
      </c>
      <c r="AH184" s="59">
        <f t="shared" si="261"/>
        <v>0</v>
      </c>
      <c r="AI184" s="59">
        <f t="shared" si="261"/>
        <v>0</v>
      </c>
      <c r="AJ184" s="78">
        <f t="shared" si="261"/>
        <v>0</v>
      </c>
      <c r="AK184" s="59">
        <f t="shared" si="261"/>
        <v>0</v>
      </c>
      <c r="AL184" s="59">
        <f t="shared" si="261"/>
        <v>0</v>
      </c>
      <c r="AM184" s="59">
        <f t="shared" si="261"/>
        <v>0</v>
      </c>
      <c r="AN184" s="59">
        <f t="shared" si="261"/>
        <v>0</v>
      </c>
      <c r="AO184" s="78"/>
      <c r="AP184" s="59">
        <f t="shared" si="261"/>
        <v>0</v>
      </c>
      <c r="AQ184" s="59">
        <f t="shared" si="261"/>
        <v>0</v>
      </c>
      <c r="AR184" s="59">
        <f t="shared" si="261"/>
        <v>0</v>
      </c>
      <c r="AS184" s="59">
        <f t="shared" si="261"/>
        <v>0</v>
      </c>
      <c r="AT184" s="794">
        <f>+AT162/(AT$169-AT$168)</f>
        <v>0.23148442466624286</v>
      </c>
      <c r="AU184" s="795">
        <f t="shared" ref="AU184:CM184" si="262">+AU162/(AU$169-AU$168)</f>
        <v>0.24567855829349025</v>
      </c>
      <c r="AV184" s="795">
        <f t="shared" si="262"/>
        <v>0.17423616845582163</v>
      </c>
      <c r="AW184" s="795">
        <f t="shared" si="262"/>
        <v>0.20457393483709274</v>
      </c>
      <c r="AX184" s="795">
        <f t="shared" si="262"/>
        <v>0.24579124579124578</v>
      </c>
      <c r="AY184" s="794">
        <f t="shared" si="262"/>
        <v>0.21371858885160022</v>
      </c>
      <c r="AZ184" s="795">
        <f t="shared" si="262"/>
        <v>0.22129663165519739</v>
      </c>
      <c r="BA184" s="795">
        <f t="shared" si="262"/>
        <v>0.1532656023222061</v>
      </c>
      <c r="BB184" s="795">
        <f t="shared" si="262"/>
        <v>0.18169627891384513</v>
      </c>
      <c r="BC184" s="795">
        <f t="shared" si="262"/>
        <v>0.22847252271743834</v>
      </c>
      <c r="BD184" s="794">
        <f t="shared" si="262"/>
        <v>0.19208695652173913</v>
      </c>
      <c r="BE184" s="795">
        <f t="shared" si="262"/>
        <v>0.19327420546932741</v>
      </c>
      <c r="BF184" s="795">
        <f t="shared" si="262"/>
        <v>0.15331533153315333</v>
      </c>
      <c r="BG184" s="795">
        <f>+BG162/(BG$169-BG$168)</f>
        <v>0.17513736263736263</v>
      </c>
      <c r="BH184" s="795">
        <f t="shared" si="262"/>
        <v>0.2084055459272097</v>
      </c>
      <c r="BI184" s="794">
        <f t="shared" si="262"/>
        <v>0.17985611510791366</v>
      </c>
      <c r="BJ184" s="795">
        <f t="shared" si="262"/>
        <v>0.19757433489827855</v>
      </c>
      <c r="BK184" s="795">
        <f t="shared" si="262"/>
        <v>0.17348203221809169</v>
      </c>
      <c r="BL184" s="795">
        <f t="shared" si="262"/>
        <v>0.2025089605734767</v>
      </c>
      <c r="BM184" s="795">
        <f t="shared" si="262"/>
        <v>0.24647887323943662</v>
      </c>
      <c r="BN184" s="794">
        <f t="shared" si="262"/>
        <v>0.20249362941390608</v>
      </c>
      <c r="BO184" s="795">
        <f t="shared" si="262"/>
        <v>0.22000766577232655</v>
      </c>
      <c r="BP184" s="795">
        <f t="shared" si="262"/>
        <v>0.18084093882499616</v>
      </c>
      <c r="BQ184" s="795">
        <f t="shared" si="262"/>
        <v>0.20470035587779353</v>
      </c>
      <c r="BR184" s="795">
        <f t="shared" si="262"/>
        <v>0.24201935964848539</v>
      </c>
      <c r="BS184" s="794">
        <f t="shared" si="262"/>
        <v>0.2100895069040993</v>
      </c>
      <c r="BT184" s="795">
        <f t="shared" si="262"/>
        <v>0.22633553206544463</v>
      </c>
      <c r="BU184" s="795">
        <f t="shared" si="262"/>
        <v>0.1878889859976603</v>
      </c>
      <c r="BV184" s="795">
        <f t="shared" si="262"/>
        <v>0.21235742717834497</v>
      </c>
      <c r="BW184" s="795">
        <f t="shared" si="262"/>
        <v>0.25077321971904776</v>
      </c>
      <c r="BX184" s="794">
        <f t="shared" si="262"/>
        <v>0.21755129041619703</v>
      </c>
      <c r="BY184" s="795">
        <f t="shared" si="262"/>
        <v>0.23324460834076025</v>
      </c>
      <c r="BZ184" s="795">
        <f t="shared" si="262"/>
        <v>0.19449410202487602</v>
      </c>
      <c r="CA184" s="795">
        <f t="shared" si="262"/>
        <v>0.21951275461121689</v>
      </c>
      <c r="CB184" s="795">
        <f t="shared" si="262"/>
        <v>0.25893482680522395</v>
      </c>
      <c r="CC184" s="794">
        <f t="shared" si="262"/>
        <v>0.22476272468439978</v>
      </c>
      <c r="CD184" s="795">
        <f t="shared" si="262"/>
        <v>0.24045317901427898</v>
      </c>
      <c r="CE184" s="795">
        <f t="shared" si="262"/>
        <v>0.20131532619003489</v>
      </c>
      <c r="CF184" s="795">
        <f t="shared" si="262"/>
        <v>0.2269307662568133</v>
      </c>
      <c r="CG184" s="795">
        <f t="shared" si="262"/>
        <v>0.2673909894101078</v>
      </c>
      <c r="CH184" s="794">
        <f t="shared" si="262"/>
        <v>0.23223831043648036</v>
      </c>
      <c r="CI184" s="795">
        <f t="shared" si="262"/>
        <v>0.24545290432385142</v>
      </c>
      <c r="CJ184" s="795">
        <f t="shared" si="262"/>
        <v>0.20617147518453346</v>
      </c>
      <c r="CK184" s="795">
        <f t="shared" si="262"/>
        <v>0.23219702223050417</v>
      </c>
      <c r="CL184" s="795">
        <f t="shared" si="262"/>
        <v>0.27341626509097605</v>
      </c>
      <c r="CM184" s="794">
        <f t="shared" si="262"/>
        <v>0.23752938483176891</v>
      </c>
    </row>
    <row r="185" spans="1:91" x14ac:dyDescent="0.2">
      <c r="A185" s="47" t="s">
        <v>13</v>
      </c>
      <c r="B185" s="38" t="s">
        <v>169</v>
      </c>
      <c r="C185" s="38" t="s">
        <v>169</v>
      </c>
      <c r="D185" s="38" t="s">
        <v>169</v>
      </c>
      <c r="E185" s="38" t="s">
        <v>169</v>
      </c>
      <c r="F185" s="88" t="s">
        <v>169</v>
      </c>
      <c r="G185" s="59">
        <f t="shared" ref="G185:AS185" si="263">G171/SUM(G168:G174)</f>
        <v>0</v>
      </c>
      <c r="H185" s="59">
        <f t="shared" si="263"/>
        <v>0</v>
      </c>
      <c r="I185" s="59">
        <f t="shared" si="263"/>
        <v>0</v>
      </c>
      <c r="J185" s="59">
        <f t="shared" si="263"/>
        <v>0</v>
      </c>
      <c r="K185" s="78">
        <f t="shared" si="263"/>
        <v>0</v>
      </c>
      <c r="L185" s="59">
        <f t="shared" si="263"/>
        <v>0</v>
      </c>
      <c r="M185" s="59">
        <f t="shared" si="263"/>
        <v>0</v>
      </c>
      <c r="N185" s="59">
        <f t="shared" si="263"/>
        <v>0</v>
      </c>
      <c r="O185" s="59">
        <f t="shared" si="263"/>
        <v>0</v>
      </c>
      <c r="P185" s="78">
        <f t="shared" si="263"/>
        <v>0</v>
      </c>
      <c r="Q185" s="59">
        <f t="shared" si="263"/>
        <v>0</v>
      </c>
      <c r="R185" s="59">
        <f t="shared" si="263"/>
        <v>0</v>
      </c>
      <c r="S185" s="59">
        <f t="shared" si="263"/>
        <v>0</v>
      </c>
      <c r="T185" s="59">
        <f t="shared" si="263"/>
        <v>0</v>
      </c>
      <c r="U185" s="78">
        <f t="shared" si="263"/>
        <v>0</v>
      </c>
      <c r="V185" s="59">
        <f t="shared" si="263"/>
        <v>0</v>
      </c>
      <c r="W185" s="59">
        <f t="shared" si="263"/>
        <v>0</v>
      </c>
      <c r="X185" s="59">
        <f t="shared" si="263"/>
        <v>0</v>
      </c>
      <c r="Y185" s="59">
        <f t="shared" si="263"/>
        <v>0</v>
      </c>
      <c r="Z185" s="78">
        <f t="shared" si="263"/>
        <v>0</v>
      </c>
      <c r="AA185" s="59">
        <f t="shared" si="263"/>
        <v>0</v>
      </c>
      <c r="AB185" s="59">
        <f t="shared" si="263"/>
        <v>0</v>
      </c>
      <c r="AC185" s="59">
        <f t="shared" si="263"/>
        <v>0</v>
      </c>
      <c r="AD185" s="59">
        <f t="shared" si="263"/>
        <v>0</v>
      </c>
      <c r="AE185" s="78">
        <f t="shared" si="263"/>
        <v>0</v>
      </c>
      <c r="AF185" s="59">
        <f t="shared" si="263"/>
        <v>0</v>
      </c>
      <c r="AG185" s="59">
        <f t="shared" si="263"/>
        <v>0</v>
      </c>
      <c r="AH185" s="59">
        <f t="shared" si="263"/>
        <v>0</v>
      </c>
      <c r="AI185" s="59">
        <f t="shared" si="263"/>
        <v>0</v>
      </c>
      <c r="AJ185" s="78">
        <f t="shared" si="263"/>
        <v>0</v>
      </c>
      <c r="AK185" s="59">
        <f t="shared" si="263"/>
        <v>0</v>
      </c>
      <c r="AL185" s="59">
        <f t="shared" si="263"/>
        <v>0</v>
      </c>
      <c r="AM185" s="59">
        <f t="shared" si="263"/>
        <v>0</v>
      </c>
      <c r="AN185" s="59">
        <f t="shared" si="263"/>
        <v>0</v>
      </c>
      <c r="AO185" s="78"/>
      <c r="AP185" s="59">
        <f t="shared" si="263"/>
        <v>0</v>
      </c>
      <c r="AQ185" s="59">
        <f t="shared" si="263"/>
        <v>0</v>
      </c>
      <c r="AR185" s="59">
        <f t="shared" si="263"/>
        <v>0</v>
      </c>
      <c r="AS185" s="59">
        <f t="shared" si="263"/>
        <v>0</v>
      </c>
      <c r="AT185" s="794">
        <f>+AT164/(AT$169-AT$168)</f>
        <v>0.1893674507310871</v>
      </c>
      <c r="AU185" s="795">
        <f t="shared" ref="AU185:CM185" si="264">+AU164/(AU$169-AU$168)</f>
        <v>0.1684442809856565</v>
      </c>
      <c r="AV185" s="795">
        <f t="shared" si="264"/>
        <v>0.18001651527663087</v>
      </c>
      <c r="AW185" s="795">
        <f t="shared" si="264"/>
        <v>0.20206766917293234</v>
      </c>
      <c r="AX185" s="795">
        <f t="shared" si="264"/>
        <v>0.23120089786756454</v>
      </c>
      <c r="AY185" s="794">
        <f t="shared" si="264"/>
        <v>0.19440124416796267</v>
      </c>
      <c r="AZ185" s="795">
        <f t="shared" si="264"/>
        <v>0.20536037667511772</v>
      </c>
      <c r="BA185" s="795">
        <f t="shared" si="264"/>
        <v>0.21625544267053701</v>
      </c>
      <c r="BB185" s="795">
        <f t="shared" si="264"/>
        <v>0.21991283942339926</v>
      </c>
      <c r="BC185" s="795">
        <f t="shared" si="264"/>
        <v>0.23842492427520554</v>
      </c>
      <c r="BD185" s="794">
        <f t="shared" si="264"/>
        <v>0.21904347826086956</v>
      </c>
      <c r="BE185" s="795">
        <f t="shared" si="264"/>
        <v>0.22025129342202512</v>
      </c>
      <c r="BF185" s="795">
        <f t="shared" si="264"/>
        <v>0.22082208220822083</v>
      </c>
      <c r="BG185" s="795">
        <f>+BG164/(BG$169-BG$168)</f>
        <v>0.2400412087912088</v>
      </c>
      <c r="BH185" s="795">
        <f t="shared" si="264"/>
        <v>0.27642980935875217</v>
      </c>
      <c r="BI185" s="794">
        <f t="shared" si="264"/>
        <v>0.23705480060396128</v>
      </c>
      <c r="BJ185" s="795">
        <f t="shared" si="264"/>
        <v>0.23435054773082942</v>
      </c>
      <c r="BK185" s="795">
        <f t="shared" si="264"/>
        <v>0.24752168525402726</v>
      </c>
      <c r="BL185" s="795">
        <f t="shared" si="264"/>
        <v>0.25125448028673836</v>
      </c>
      <c r="BM185" s="795">
        <f t="shared" si="264"/>
        <v>0.29784589892294944</v>
      </c>
      <c r="BN185" s="794">
        <f t="shared" si="264"/>
        <v>0.25646159446669092</v>
      </c>
      <c r="BO185" s="795">
        <f t="shared" si="264"/>
        <v>0.2161747796090456</v>
      </c>
      <c r="BP185" s="795">
        <f t="shared" si="264"/>
        <v>0.2757479723381589</v>
      </c>
      <c r="BQ185" s="795">
        <f t="shared" si="264"/>
        <v>0.27978853689178546</v>
      </c>
      <c r="BR185" s="795">
        <f t="shared" si="264"/>
        <v>0.31738332205837233</v>
      </c>
      <c r="BS185" s="794">
        <f t="shared" si="264"/>
        <v>0.27290794113899547</v>
      </c>
      <c r="BT185" s="795">
        <f t="shared" si="264"/>
        <v>0.216331057493756</v>
      </c>
      <c r="BU185" s="795">
        <f t="shared" si="264"/>
        <v>0.27355472336345871</v>
      </c>
      <c r="BV185" s="795">
        <f t="shared" si="264"/>
        <v>0.27722585574341907</v>
      </c>
      <c r="BW185" s="795">
        <f t="shared" si="264"/>
        <v>0.31333495678365197</v>
      </c>
      <c r="BX185" s="794">
        <f t="shared" si="264"/>
        <v>0.27077388198334895</v>
      </c>
      <c r="BY185" s="795">
        <f t="shared" si="264"/>
        <v>0.21542271606434385</v>
      </c>
      <c r="BZ185" s="795">
        <f t="shared" si="264"/>
        <v>0.2714509719579119</v>
      </c>
      <c r="CA185" s="795">
        <f t="shared" si="264"/>
        <v>0.2747792209220723</v>
      </c>
      <c r="CB185" s="795">
        <f t="shared" si="264"/>
        <v>0.30950411181894821</v>
      </c>
      <c r="CC185" s="794">
        <f t="shared" si="264"/>
        <v>0.26843801263022637</v>
      </c>
      <c r="CD185" s="795">
        <f t="shared" si="264"/>
        <v>0.21493838198144324</v>
      </c>
      <c r="CE185" s="795">
        <f t="shared" si="264"/>
        <v>0.26989887431267984</v>
      </c>
      <c r="CF185" s="795">
        <f t="shared" si="264"/>
        <v>0.2729366562077532</v>
      </c>
      <c r="CG185" s="795">
        <f t="shared" si="264"/>
        <v>0.30641165778370111</v>
      </c>
      <c r="CH185" s="794">
        <f t="shared" si="264"/>
        <v>0.26668473826260042</v>
      </c>
      <c r="CI185" s="795">
        <f t="shared" si="264"/>
        <v>0.21484925229004956</v>
      </c>
      <c r="CJ185" s="795">
        <f t="shared" si="264"/>
        <v>0.2688727127771644</v>
      </c>
      <c r="CK185" s="795">
        <f t="shared" si="264"/>
        <v>0.27171197541316972</v>
      </c>
      <c r="CL185" s="795">
        <f t="shared" si="264"/>
        <v>0.30423215679548538</v>
      </c>
      <c r="CM185" s="794">
        <f t="shared" si="264"/>
        <v>0.2655417845520886</v>
      </c>
    </row>
    <row r="186" spans="1:91" x14ac:dyDescent="0.2">
      <c r="A186" s="47" t="s">
        <v>184</v>
      </c>
      <c r="B186" s="38" t="s">
        <v>169</v>
      </c>
      <c r="C186" s="38" t="s">
        <v>169</v>
      </c>
      <c r="D186" s="38" t="s">
        <v>169</v>
      </c>
      <c r="E186" s="38" t="s">
        <v>169</v>
      </c>
      <c r="F186" s="88" t="s">
        <v>169</v>
      </c>
      <c r="G186" s="59">
        <f t="shared" ref="G186:AS186" si="265">G173/SUM(G168:G174)</f>
        <v>7.3951118310796555E-5</v>
      </c>
      <c r="H186" s="59">
        <f t="shared" si="265"/>
        <v>4.230052096180928E-5</v>
      </c>
      <c r="I186" s="59">
        <f t="shared" si="265"/>
        <v>4.1192254280143865E-5</v>
      </c>
      <c r="J186" s="59">
        <f t="shared" si="265"/>
        <v>9.0250750575641555E-5</v>
      </c>
      <c r="K186" s="78">
        <f t="shared" si="265"/>
        <v>1.4252687745505543E-5</v>
      </c>
      <c r="L186" s="59">
        <f t="shared" si="265"/>
        <v>6.2622297094093479E-5</v>
      </c>
      <c r="M186" s="59">
        <f t="shared" si="265"/>
        <v>3.839467150048646E-5</v>
      </c>
      <c r="N186" s="59">
        <f t="shared" si="265"/>
        <v>4.201474520171872E-5</v>
      </c>
      <c r="O186" s="59">
        <f t="shared" si="265"/>
        <v>7.4733271055607448E-5</v>
      </c>
      <c r="P186" s="78">
        <f t="shared" si="265"/>
        <v>1.2876576532399031E-5</v>
      </c>
      <c r="Q186" s="59">
        <f t="shared" si="265"/>
        <v>6.0529185066516774E-5</v>
      </c>
      <c r="R186" s="59">
        <f t="shared" si="265"/>
        <v>3.4872760446044643E-5</v>
      </c>
      <c r="S186" s="59">
        <f t="shared" si="265"/>
        <v>3.6590043727135038E-5</v>
      </c>
      <c r="T186" s="59">
        <f t="shared" si="265"/>
        <v>5.0197649297753835E-5</v>
      </c>
      <c r="U186" s="78">
        <f t="shared" si="265"/>
        <v>1.0989024583382389E-5</v>
      </c>
      <c r="V186" s="59">
        <f t="shared" si="265"/>
        <v>5.5305670701486977E-5</v>
      </c>
      <c r="W186" s="59">
        <f t="shared" si="265"/>
        <v>3.9514371585761518E-5</v>
      </c>
      <c r="X186" s="59">
        <f t="shared" si="265"/>
        <v>3.879106793496593E-5</v>
      </c>
      <c r="Y186" s="59">
        <f t="shared" si="265"/>
        <v>5.177630762966309E-5</v>
      </c>
      <c r="Z186" s="78">
        <f t="shared" si="265"/>
        <v>1.1375627207224546E-5</v>
      </c>
      <c r="AA186" s="59">
        <f t="shared" si="265"/>
        <v>4.5666921477680096E-5</v>
      </c>
      <c r="AB186" s="59">
        <f t="shared" si="265"/>
        <v>3.3814092366125523E-5</v>
      </c>
      <c r="AC186" s="59">
        <f t="shared" si="265"/>
        <v>3.7185164893178786E-5</v>
      </c>
      <c r="AD186" s="59">
        <f t="shared" si="265"/>
        <v>5.0466766614653615E-5</v>
      </c>
      <c r="AE186" s="78">
        <f t="shared" si="265"/>
        <v>1.020021165937575E-5</v>
      </c>
      <c r="AF186" s="59">
        <f t="shared" si="265"/>
        <v>3.9365346377788743E-5</v>
      </c>
      <c r="AG186" s="59">
        <f t="shared" si="265"/>
        <v>2.6690794425883709E-5</v>
      </c>
      <c r="AH186" s="59">
        <f t="shared" si="265"/>
        <v>2.8268171336630357E-5</v>
      </c>
      <c r="AI186" s="59">
        <f t="shared" si="265"/>
        <v>4.7582754856118821E-5</v>
      </c>
      <c r="AJ186" s="78">
        <f t="shared" si="265"/>
        <v>8.4429422717191028E-6</v>
      </c>
      <c r="AK186" s="59">
        <f t="shared" si="265"/>
        <v>4.0940618403423614E-5</v>
      </c>
      <c r="AL186" s="59">
        <f t="shared" si="265"/>
        <v>2.5604741167640212E-5</v>
      </c>
      <c r="AM186" s="59">
        <f t="shared" si="265"/>
        <v>3.1884813237319969E-5</v>
      </c>
      <c r="AN186" s="59">
        <f t="shared" si="265"/>
        <v>4.5316671903630096E-5</v>
      </c>
      <c r="AO186" s="78"/>
      <c r="AP186" s="59">
        <f t="shared" si="265"/>
        <v>4.2165626581211002E-5</v>
      </c>
      <c r="AQ186" s="59">
        <f t="shared" si="265"/>
        <v>2.8643226442046256E-5</v>
      </c>
      <c r="AR186" s="59">
        <f t="shared" si="265"/>
        <v>2.9000466894962691E-5</v>
      </c>
      <c r="AS186" s="59">
        <f t="shared" si="265"/>
        <v>4.3537121242786915E-5</v>
      </c>
      <c r="AT186" s="794">
        <f>+AT165/(AT$169-AT$168)</f>
        <v>0.20502225047679593</v>
      </c>
      <c r="AU186" s="795">
        <f t="shared" ref="AU186:CM186" si="266">+AU165/(AU$169-AU$168)</f>
        <v>0.20742920191246783</v>
      </c>
      <c r="AV186" s="795">
        <f t="shared" si="266"/>
        <v>0.23314065510597304</v>
      </c>
      <c r="AW186" s="795">
        <f t="shared" si="266"/>
        <v>0.20050125313283207</v>
      </c>
      <c r="AX186" s="795">
        <f t="shared" si="266"/>
        <v>0.16236438458660682</v>
      </c>
      <c r="AY186" s="794">
        <f t="shared" si="266"/>
        <v>0.20340509126626832</v>
      </c>
      <c r="AZ186" s="795">
        <f t="shared" si="266"/>
        <v>0.19594349873234335</v>
      </c>
      <c r="BA186" s="795">
        <f t="shared" si="266"/>
        <v>0.22148040638606675</v>
      </c>
      <c r="BB186" s="795">
        <f t="shared" si="266"/>
        <v>0.19208850150854845</v>
      </c>
      <c r="BC186" s="795">
        <f t="shared" si="266"/>
        <v>0.13673734314149719</v>
      </c>
      <c r="BD186" s="794">
        <f t="shared" si="266"/>
        <v>0.19069565217391304</v>
      </c>
      <c r="BE186" s="795">
        <f t="shared" si="266"/>
        <v>0.2039911308203991</v>
      </c>
      <c r="BF186" s="795">
        <f t="shared" si="266"/>
        <v>0.22742274227422743</v>
      </c>
      <c r="BG186" s="795">
        <f>+BG165/(BG$169-BG$168)</f>
        <v>0.20020604395604397</v>
      </c>
      <c r="BH186" s="795">
        <f t="shared" si="266"/>
        <v>0.14384748700173311</v>
      </c>
      <c r="BI186" s="794">
        <f t="shared" si="266"/>
        <v>0.19761968203215205</v>
      </c>
      <c r="BJ186" s="795">
        <f t="shared" si="266"/>
        <v>0.21205007824726135</v>
      </c>
      <c r="BK186" s="795">
        <f t="shared" si="266"/>
        <v>0.22026022304832713</v>
      </c>
      <c r="BL186" s="795">
        <f t="shared" si="266"/>
        <v>0.20573476702508961</v>
      </c>
      <c r="BM186" s="795">
        <f t="shared" si="266"/>
        <v>0.13670256835128416</v>
      </c>
      <c r="BN186" s="794">
        <f t="shared" si="266"/>
        <v>0.19630506006552603</v>
      </c>
      <c r="BO186" s="795">
        <f t="shared" si="266"/>
        <v>0.21655806822537371</v>
      </c>
      <c r="BP186" s="795">
        <f t="shared" si="266"/>
        <v>0.22402128398947008</v>
      </c>
      <c r="BQ186" s="795">
        <f t="shared" si="266"/>
        <v>0.18665832253639209</v>
      </c>
      <c r="BR186" s="795">
        <f t="shared" si="266"/>
        <v>0.12473912188728759</v>
      </c>
      <c r="BS186" s="794">
        <f t="shared" si="266"/>
        <v>0.18964046047259719</v>
      </c>
      <c r="BT186" s="795">
        <f t="shared" si="266"/>
        <v>0.21315989766352306</v>
      </c>
      <c r="BU186" s="795">
        <f t="shared" si="266"/>
        <v>0.22053646539668034</v>
      </c>
      <c r="BV186" s="795">
        <f t="shared" si="266"/>
        <v>0.1839374874184721</v>
      </c>
      <c r="BW186" s="795">
        <f t="shared" si="266"/>
        <v>0.12328083507348686</v>
      </c>
      <c r="BX186" s="794">
        <f t="shared" si="266"/>
        <v>0.18678138138579198</v>
      </c>
      <c r="BY186" s="795">
        <f t="shared" si="266"/>
        <v>0.20924831616959985</v>
      </c>
      <c r="BZ186" s="795">
        <f t="shared" si="266"/>
        <v>0.21728399917881844</v>
      </c>
      <c r="CA186" s="795">
        <f t="shared" si="266"/>
        <v>0.18140648934401771</v>
      </c>
      <c r="CB186" s="795">
        <f t="shared" si="266"/>
        <v>0.12192802688979386</v>
      </c>
      <c r="CC186" s="794">
        <f t="shared" si="266"/>
        <v>0.18397997208553213</v>
      </c>
      <c r="CD186" s="795">
        <f t="shared" si="266"/>
        <v>0.20641158210132879</v>
      </c>
      <c r="CE186" s="795">
        <f t="shared" si="266"/>
        <v>0.21503373644902141</v>
      </c>
      <c r="CF186" s="795">
        <f t="shared" si="266"/>
        <v>0.17972380140148023</v>
      </c>
      <c r="CG186" s="795">
        <f t="shared" si="266"/>
        <v>0.12111923592798883</v>
      </c>
      <c r="CH186" s="794">
        <f t="shared" si="266"/>
        <v>0.18205190854185671</v>
      </c>
      <c r="CI186" s="795">
        <f t="shared" si="266"/>
        <v>0.20438601187342781</v>
      </c>
      <c r="CJ186" s="795">
        <f t="shared" si="266"/>
        <v>0.21346361268762046</v>
      </c>
      <c r="CK186" s="795">
        <f t="shared" si="266"/>
        <v>0.17862808465322075</v>
      </c>
      <c r="CL186" s="795">
        <f t="shared" si="266"/>
        <v>0.12070917298459652</v>
      </c>
      <c r="CM186" s="794">
        <f t="shared" si="266"/>
        <v>0.1807526866522744</v>
      </c>
    </row>
    <row r="187" spans="1:91" x14ac:dyDescent="0.2">
      <c r="A187" s="47" t="s">
        <v>185</v>
      </c>
      <c r="B187" s="38" t="s">
        <v>169</v>
      </c>
      <c r="C187" s="38" t="s">
        <v>169</v>
      </c>
      <c r="D187" s="38" t="s">
        <v>169</v>
      </c>
      <c r="E187" s="38" t="s">
        <v>169</v>
      </c>
      <c r="F187" s="88" t="s">
        <v>169</v>
      </c>
      <c r="G187" s="59">
        <f t="shared" ref="G187:AS187" si="267">G174/SUM(G168:G174)</f>
        <v>2.3684344648187543E-4</v>
      </c>
      <c r="H187" s="59">
        <f t="shared" si="267"/>
        <v>1.7799488876626491E-4</v>
      </c>
      <c r="I187" s="59">
        <f t="shared" si="267"/>
        <v>2.4034784888675244E-4</v>
      </c>
      <c r="J187" s="59">
        <f t="shared" si="267"/>
        <v>2.9478004895810197E-4</v>
      </c>
      <c r="K187" s="78">
        <f t="shared" si="267"/>
        <v>5.7417970631893751E-5</v>
      </c>
      <c r="L187" s="59">
        <f t="shared" si="267"/>
        <v>2.4855640142902537E-4</v>
      </c>
      <c r="M187" s="59">
        <f t="shared" si="267"/>
        <v>1.6833131840114754E-4</v>
      </c>
      <c r="N187" s="59">
        <f t="shared" si="267"/>
        <v>1.9879459977994424E-4</v>
      </c>
      <c r="O187" s="59">
        <f t="shared" si="267"/>
        <v>2.2419981316682238E-4</v>
      </c>
      <c r="P187" s="78">
        <f t="shared" si="267"/>
        <v>5.1359981396273405E-5</v>
      </c>
      <c r="Q187" s="59">
        <f t="shared" si="267"/>
        <v>1.9598656838717987E-4</v>
      </c>
      <c r="R187" s="59">
        <f t="shared" si="267"/>
        <v>1.3171273090401993E-4</v>
      </c>
      <c r="S187" s="59">
        <f t="shared" si="267"/>
        <v>1.6180930448221939E-4</v>
      </c>
      <c r="T187" s="59">
        <f t="shared" si="267"/>
        <v>1.9826492930182017E-4</v>
      </c>
      <c r="U187" s="78">
        <f t="shared" si="267"/>
        <v>4.1784614433819265E-5</v>
      </c>
      <c r="V187" s="59">
        <f t="shared" si="267"/>
        <v>1.848865899779178E-4</v>
      </c>
      <c r="W187" s="59">
        <f t="shared" si="267"/>
        <v>1.3846092807693673E-4</v>
      </c>
      <c r="X187" s="59">
        <f t="shared" si="267"/>
        <v>1.6359711259529111E-4</v>
      </c>
      <c r="Y187" s="59">
        <f t="shared" si="267"/>
        <v>1.822409019959328E-4</v>
      </c>
      <c r="Z187" s="78">
        <f t="shared" si="267"/>
        <v>4.1268092313186838E-5</v>
      </c>
      <c r="AA187" s="59">
        <f t="shared" si="267"/>
        <v>1.4441676022856098E-4</v>
      </c>
      <c r="AB187" s="59">
        <f t="shared" si="267"/>
        <v>1.1716395841989617E-4</v>
      </c>
      <c r="AC187" s="59">
        <f t="shared" si="267"/>
        <v>1.2878348391903664E-4</v>
      </c>
      <c r="AD187" s="59">
        <f t="shared" si="267"/>
        <v>1.5089053452462092E-4</v>
      </c>
      <c r="AE187" s="78">
        <f t="shared" si="267"/>
        <v>3.3513399002465815E-5</v>
      </c>
      <c r="AF187" s="59">
        <f t="shared" si="267"/>
        <v>1.1582807679061297E-4</v>
      </c>
      <c r="AG187" s="59">
        <f t="shared" si="267"/>
        <v>8.7621294832446523E-5</v>
      </c>
      <c r="AH187" s="59">
        <f t="shared" si="267"/>
        <v>9.4072766907146935E-5</v>
      </c>
      <c r="AI187" s="59">
        <f t="shared" si="267"/>
        <v>1.2626938842770922E-4</v>
      </c>
      <c r="AJ187" s="78">
        <f t="shared" si="267"/>
        <v>2.5911098695965524E-5</v>
      </c>
      <c r="AK187" s="59">
        <f t="shared" si="267"/>
        <v>1.0681499688712778E-4</v>
      </c>
      <c r="AL187" s="59">
        <f t="shared" si="267"/>
        <v>7.7419741030533741E-5</v>
      </c>
      <c r="AM187" s="59">
        <f t="shared" si="267"/>
        <v>9.121147393298909E-5</v>
      </c>
      <c r="AN187" s="59">
        <f t="shared" si="267"/>
        <v>1.1162562564497119E-4</v>
      </c>
      <c r="AO187" s="78"/>
      <c r="AP187" s="59">
        <f t="shared" si="267"/>
        <v>1.0140536251748983E-4</v>
      </c>
      <c r="AQ187" s="59">
        <f t="shared" si="267"/>
        <v>7.2643363446394415E-5</v>
      </c>
      <c r="AR187" s="59">
        <f t="shared" si="267"/>
        <v>9.3278558021460091E-5</v>
      </c>
      <c r="AS187" s="59">
        <f t="shared" si="267"/>
        <v>1.1657873787324762E-4</v>
      </c>
      <c r="AT187" s="794">
        <f>+AT167/(AT$169-AT$168)</f>
        <v>5.5864589955499047E-2</v>
      </c>
      <c r="AU187" s="795">
        <f t="shared" ref="AU187:CM187" si="268">+AU167/(AU$169-AU$168)</f>
        <v>2.5744759102611253E-3</v>
      </c>
      <c r="AV187" s="795">
        <f t="shared" si="268"/>
        <v>8.7255711533168176E-2</v>
      </c>
      <c r="AW187" s="795">
        <f t="shared" si="268"/>
        <v>7.3308270676691725E-2</v>
      </c>
      <c r="AX187" s="795">
        <f t="shared" si="268"/>
        <v>4.3022820800598577E-2</v>
      </c>
      <c r="AY187" s="794">
        <f t="shared" si="268"/>
        <v>5.5087173610542689E-2</v>
      </c>
      <c r="AZ187" s="795">
        <f t="shared" si="268"/>
        <v>1.6660630206446939E-2</v>
      </c>
      <c r="BA187" s="795">
        <f t="shared" si="268"/>
        <v>8.5631349782293184E-2</v>
      </c>
      <c r="BB187" s="795">
        <f t="shared" si="268"/>
        <v>9.4870935300033529E-2</v>
      </c>
      <c r="BC187" s="795">
        <f t="shared" si="268"/>
        <v>3.8511466897446993E-2</v>
      </c>
      <c r="BD187" s="794">
        <f t="shared" si="268"/>
        <v>6.2E-2</v>
      </c>
      <c r="BE187" s="795">
        <f t="shared" si="268"/>
        <v>3.8802660753880266E-2</v>
      </c>
      <c r="BF187" s="795">
        <f t="shared" si="268"/>
        <v>8.1308130813081303E-2</v>
      </c>
      <c r="BG187" s="795">
        <f>+BG167/(BG$169-BG$168)</f>
        <v>7.0054945054945056E-2</v>
      </c>
      <c r="BH187" s="795">
        <f t="shared" si="268"/>
        <v>2.2530329289428077E-2</v>
      </c>
      <c r="BI187" s="794">
        <f t="shared" si="268"/>
        <v>5.6132871480593302E-2</v>
      </c>
      <c r="BJ187" s="795">
        <f t="shared" si="268"/>
        <v>1.8779342723004695E-2</v>
      </c>
      <c r="BK187" s="795">
        <f t="shared" si="268"/>
        <v>2.7261462205700124E-2</v>
      </c>
      <c r="BL187" s="795">
        <f t="shared" si="268"/>
        <v>4.3010752688172043E-3</v>
      </c>
      <c r="BM187" s="795">
        <f t="shared" si="268"/>
        <v>-4.5567522783761388E-3</v>
      </c>
      <c r="BN187" s="794">
        <f t="shared" si="268"/>
        <v>1.2468147069530396E-2</v>
      </c>
      <c r="BO187" s="795">
        <f t="shared" si="268"/>
        <v>-3.8328861632809506E-3</v>
      </c>
      <c r="BP187" s="795">
        <f t="shared" si="268"/>
        <v>-1.6745325250633891E-3</v>
      </c>
      <c r="BQ187" s="795">
        <f t="shared" si="268"/>
        <v>-1.2816938894512791E-3</v>
      </c>
      <c r="BR187" s="795">
        <f t="shared" si="268"/>
        <v>-1.5869932631402905E-3</v>
      </c>
      <c r="BS187" s="794">
        <f t="shared" si="268"/>
        <v>-2.0418399668220488E-3</v>
      </c>
      <c r="BT187" s="795">
        <f t="shared" si="268"/>
        <v>-5.8514979771733314E-4</v>
      </c>
      <c r="BU187" s="795">
        <f t="shared" si="268"/>
        <v>6.6899109600517372E-4</v>
      </c>
      <c r="BV187" s="795">
        <f t="shared" si="268"/>
        <v>7.425630450127971E-4</v>
      </c>
      <c r="BW187" s="795">
        <f t="shared" si="268"/>
        <v>-2.9270115995467215E-4</v>
      </c>
      <c r="BX187" s="794">
        <f t="shared" si="268"/>
        <v>1.8116364872707569E-4</v>
      </c>
      <c r="BY187" s="795">
        <f t="shared" si="268"/>
        <v>2.3949277104481827E-3</v>
      </c>
      <c r="BZ187" s="795">
        <f t="shared" si="268"/>
        <v>2.8255392840966179E-3</v>
      </c>
      <c r="CA187" s="795">
        <f t="shared" si="268"/>
        <v>2.5983708829870594E-3</v>
      </c>
      <c r="CB187" s="795">
        <f t="shared" si="268"/>
        <v>8.90199200999848E-4</v>
      </c>
      <c r="CC187" s="794">
        <f t="shared" si="268"/>
        <v>2.21938953186414E-3</v>
      </c>
      <c r="CD187" s="795">
        <f t="shared" si="268"/>
        <v>5.089896480124409E-3</v>
      </c>
      <c r="CE187" s="795">
        <f t="shared" si="268"/>
        <v>4.7836004270211353E-3</v>
      </c>
      <c r="CF187" s="795">
        <f t="shared" si="268"/>
        <v>4.2766505333978518E-3</v>
      </c>
      <c r="CG187" s="795">
        <f t="shared" si="268"/>
        <v>1.9612439450234359E-3</v>
      </c>
      <c r="CH187" s="794">
        <f t="shared" si="268"/>
        <v>4.0652156789513921E-3</v>
      </c>
      <c r="CI187" s="795">
        <f t="shared" si="268"/>
        <v>7.3880805559170979E-3</v>
      </c>
      <c r="CJ187" s="795">
        <f t="shared" si="268"/>
        <v>6.4631849751074022E-3</v>
      </c>
      <c r="CK187" s="795">
        <f t="shared" si="268"/>
        <v>5.7127519684683293E-3</v>
      </c>
      <c r="CL187" s="795">
        <f t="shared" si="268"/>
        <v>2.8757703378171238E-3</v>
      </c>
      <c r="CM187" s="794">
        <f t="shared" si="268"/>
        <v>5.6438080225598777E-3</v>
      </c>
    </row>
    <row r="188" spans="1:91" x14ac:dyDescent="0.2">
      <c r="A188" s="47"/>
      <c r="B188" s="53"/>
      <c r="C188" s="53"/>
      <c r="D188" s="53"/>
      <c r="E188" s="53"/>
      <c r="F188" s="65"/>
      <c r="G188" s="53"/>
      <c r="H188" s="53"/>
      <c r="I188" s="53"/>
      <c r="J188" s="53"/>
      <c r="K188" s="65"/>
      <c r="L188" s="106"/>
      <c r="M188" s="106"/>
      <c r="N188" s="106"/>
      <c r="O188" s="106"/>
      <c r="P188" s="107"/>
      <c r="Q188" s="53"/>
      <c r="R188" s="53"/>
      <c r="S188" s="53"/>
      <c r="T188" s="53"/>
      <c r="U188" s="65"/>
      <c r="V188" s="59"/>
      <c r="W188" s="59"/>
      <c r="X188" s="59"/>
      <c r="Y188" s="59"/>
      <c r="Z188" s="78"/>
      <c r="AA188" s="177"/>
      <c r="AB188" s="177"/>
      <c r="AC188" s="177"/>
      <c r="AD188" s="177"/>
      <c r="AE188" s="178"/>
      <c r="AF188" s="177"/>
      <c r="AG188" s="177"/>
      <c r="AH188" s="177"/>
      <c r="AI188" s="177"/>
      <c r="AJ188" s="178"/>
      <c r="AK188" s="177"/>
      <c r="AL188" s="177"/>
      <c r="AM188" s="177"/>
      <c r="AN188" s="177"/>
      <c r="AO188" s="178"/>
      <c r="AP188" s="59"/>
      <c r="AQ188" s="59"/>
      <c r="AR188" s="59"/>
      <c r="AS188" s="177"/>
      <c r="AT188" s="178"/>
      <c r="AU188" s="59"/>
      <c r="AV188" s="59"/>
      <c r="AW188" s="59"/>
      <c r="AX188" s="59"/>
      <c r="AY188" s="78"/>
      <c r="AZ188" s="59"/>
      <c r="BA188" s="59"/>
      <c r="BB188" s="59"/>
      <c r="BC188" s="59"/>
      <c r="BD188" s="78"/>
      <c r="BE188" s="59"/>
      <c r="BF188" s="59"/>
      <c r="BG188" s="59"/>
      <c r="BH188" s="59"/>
      <c r="BI188" s="78"/>
      <c r="BJ188" s="59"/>
      <c r="BK188" s="59"/>
      <c r="BL188" s="59"/>
      <c r="BM188" s="59"/>
      <c r="BN188" s="78"/>
      <c r="BO188" s="59"/>
      <c r="BP188" s="59"/>
      <c r="BQ188" s="59"/>
      <c r="BR188" s="59"/>
      <c r="BS188" s="78"/>
      <c r="BT188" s="59"/>
      <c r="BU188" s="59"/>
      <c r="BV188" s="59"/>
      <c r="BW188" s="59"/>
      <c r="BX188" s="78"/>
      <c r="BY188" s="59"/>
      <c r="BZ188" s="59"/>
      <c r="CA188" s="59"/>
      <c r="CB188" s="59"/>
      <c r="CC188" s="78"/>
      <c r="CD188" s="59"/>
      <c r="CE188" s="59"/>
      <c r="CF188" s="59"/>
      <c r="CG188" s="59"/>
      <c r="CH188" s="78"/>
      <c r="CI188" s="59"/>
      <c r="CJ188" s="59"/>
      <c r="CK188" s="59"/>
      <c r="CL188" s="59"/>
      <c r="CM188" s="78"/>
    </row>
    <row r="189" spans="1:91" x14ac:dyDescent="0.2">
      <c r="A189" s="52" t="s">
        <v>32</v>
      </c>
      <c r="B189" s="50"/>
      <c r="C189" s="50"/>
      <c r="D189" s="50"/>
      <c r="E189" s="46"/>
      <c r="F189" s="100"/>
      <c r="G189" s="57"/>
      <c r="H189" s="57"/>
      <c r="I189" s="57"/>
      <c r="J189" s="57"/>
      <c r="K189" s="110"/>
      <c r="L189" s="50"/>
      <c r="M189" s="50"/>
      <c r="N189" s="55"/>
      <c r="O189" s="55"/>
      <c r="P189" s="100"/>
      <c r="Q189" s="55"/>
      <c r="R189" s="55"/>
      <c r="S189" s="50"/>
      <c r="T189" s="50"/>
      <c r="U189" s="67"/>
      <c r="V189" s="50"/>
      <c r="W189" s="50"/>
      <c r="X189" s="50"/>
      <c r="Y189" s="50"/>
      <c r="Z189" s="67"/>
      <c r="AA189" s="50"/>
      <c r="AB189" s="50"/>
      <c r="AC189" s="50"/>
      <c r="AD189" s="50"/>
      <c r="AE189" s="67"/>
      <c r="AF189" s="50"/>
      <c r="AG189" s="50"/>
      <c r="AH189" s="50"/>
      <c r="AI189" s="50"/>
      <c r="AJ189" s="67"/>
      <c r="AK189" s="50"/>
      <c r="AL189" s="50"/>
      <c r="AM189" s="50"/>
      <c r="AN189" s="50"/>
      <c r="AO189" s="67"/>
      <c r="AP189" s="50"/>
      <c r="AQ189" s="50"/>
      <c r="AR189" s="50"/>
      <c r="AS189" s="50"/>
      <c r="AT189" s="67"/>
      <c r="AU189" s="50"/>
      <c r="AV189" s="50"/>
      <c r="AW189" s="50"/>
      <c r="AX189" s="50"/>
      <c r="AY189" s="67"/>
      <c r="AZ189" s="50"/>
      <c r="BA189" s="50"/>
      <c r="BB189" s="50"/>
      <c r="BC189" s="50"/>
      <c r="BD189" s="67"/>
      <c r="BE189" s="50"/>
      <c r="BF189" s="50"/>
      <c r="BG189" s="50"/>
      <c r="BH189" s="50"/>
      <c r="BI189" s="67"/>
      <c r="BJ189" s="50"/>
      <c r="BK189" s="50"/>
      <c r="BL189" s="50"/>
      <c r="BM189" s="50"/>
      <c r="BN189" s="67"/>
      <c r="BO189" s="50"/>
      <c r="BP189" s="50"/>
      <c r="BQ189" s="50"/>
      <c r="BR189" s="50"/>
      <c r="BS189" s="67"/>
      <c r="BT189" s="50"/>
      <c r="BU189" s="50"/>
      <c r="BV189" s="50"/>
      <c r="BW189" s="50"/>
      <c r="BX189" s="67"/>
      <c r="BY189" s="50"/>
      <c r="BZ189" s="50"/>
      <c r="CA189" s="50"/>
      <c r="CB189" s="50"/>
      <c r="CC189" s="67"/>
      <c r="CD189" s="50"/>
      <c r="CE189" s="50"/>
      <c r="CF189" s="50"/>
      <c r="CG189" s="50"/>
      <c r="CH189" s="67"/>
      <c r="CI189" s="50"/>
      <c r="CJ189" s="50"/>
      <c r="CK189" s="50"/>
      <c r="CL189" s="50"/>
      <c r="CM189" s="67"/>
    </row>
    <row r="190" spans="1:91" x14ac:dyDescent="0.2">
      <c r="A190" s="727" t="str">
        <f>+A181</f>
        <v>Europe, Middle East, Africa</v>
      </c>
      <c r="B190" s="50"/>
      <c r="C190" s="50"/>
      <c r="D190" s="50"/>
      <c r="E190" s="46"/>
      <c r="F190" s="100"/>
      <c r="G190" s="57"/>
      <c r="H190" s="57"/>
      <c r="I190" s="57"/>
      <c r="J190" s="57"/>
      <c r="K190" s="110"/>
      <c r="L190" s="50"/>
      <c r="M190" s="50"/>
      <c r="N190" s="55"/>
      <c r="O190" s="55"/>
      <c r="P190" s="100"/>
      <c r="Q190" s="55"/>
      <c r="R190" s="55"/>
      <c r="S190" s="50"/>
      <c r="T190" s="50"/>
      <c r="U190" s="67"/>
      <c r="V190" s="50"/>
      <c r="W190" s="50"/>
      <c r="X190" s="50"/>
      <c r="Y190" s="50"/>
      <c r="Z190" s="67"/>
      <c r="AA190" s="50"/>
      <c r="AB190" s="50"/>
      <c r="AC190" s="50"/>
      <c r="AD190" s="50"/>
      <c r="AE190" s="67"/>
      <c r="AF190" s="50"/>
      <c r="AG190" s="50"/>
      <c r="AH190" s="50"/>
      <c r="AI190" s="50"/>
      <c r="AJ190" s="67"/>
      <c r="AK190" s="50"/>
      <c r="AL190" s="50"/>
      <c r="AM190" s="50"/>
      <c r="AN190" s="50"/>
      <c r="AO190" s="67"/>
      <c r="AP190" s="50"/>
      <c r="AQ190" s="50"/>
      <c r="AR190" s="50"/>
      <c r="AS190" s="50"/>
      <c r="AT190" s="186">
        <f>+AT159/AT17</f>
        <v>0.49462763986661729</v>
      </c>
      <c r="AU190" s="796">
        <f t="shared" ref="AU190:BD190" si="269">+AU159/AU17</f>
        <v>0.52383393131727318</v>
      </c>
      <c r="AV190" s="796">
        <f t="shared" si="269"/>
        <v>0.51368970013037807</v>
      </c>
      <c r="AW190" s="796">
        <f t="shared" si="269"/>
        <v>0.47708138447146864</v>
      </c>
      <c r="AX190" s="796">
        <f t="shared" si="269"/>
        <v>0.45255863539445629</v>
      </c>
      <c r="AY190" s="186">
        <f t="shared" si="269"/>
        <v>0.49274135010887976</v>
      </c>
      <c r="AZ190" s="796">
        <f t="shared" si="269"/>
        <v>0.53837837837837843</v>
      </c>
      <c r="BA190" s="796">
        <f t="shared" si="269"/>
        <v>0.53225035833731482</v>
      </c>
      <c r="BB190" s="796">
        <f t="shared" si="269"/>
        <v>0.48060010346611487</v>
      </c>
      <c r="BC190" s="796">
        <f t="shared" si="269"/>
        <v>0.48334307422559908</v>
      </c>
      <c r="BD190" s="186">
        <f t="shared" si="269"/>
        <v>0.5095558191643601</v>
      </c>
      <c r="BE190" s="796">
        <f>+BE159/BE17</f>
        <v>0.53142857142857147</v>
      </c>
      <c r="BF190" s="796">
        <f>+BF159/BF17</f>
        <v>0.52043328409650413</v>
      </c>
      <c r="BG190" s="796">
        <f>+BG159/BG17</f>
        <v>0.49460043196544279</v>
      </c>
      <c r="BH190" s="796">
        <f>+BH159/BH17</f>
        <v>0.48936170212765956</v>
      </c>
      <c r="BI190" s="27">
        <f>BI159/BI17</f>
        <v>0.50948062654575432</v>
      </c>
      <c r="BJ190" s="796">
        <f t="shared" ref="BJ190:BO190" si="270">+BJ159/BJ17</f>
        <v>0.52818627450980393</v>
      </c>
      <c r="BK190" s="796">
        <f t="shared" si="270"/>
        <v>0.52528227785959747</v>
      </c>
      <c r="BL190" s="796">
        <f t="shared" si="270"/>
        <v>0.47881572230729963</v>
      </c>
      <c r="BM190" s="796">
        <f t="shared" si="270"/>
        <v>0.44730813287514321</v>
      </c>
      <c r="BN190" s="27">
        <f t="shared" si="270"/>
        <v>0.49511798209926772</v>
      </c>
      <c r="BO190" s="796">
        <f t="shared" si="270"/>
        <v>0.49755567626290059</v>
      </c>
      <c r="BP190" s="36">
        <f t="shared" ref="BP190:BR193" si="271">BK190+BP203/10000</f>
        <v>0.50028227785959745</v>
      </c>
      <c r="BQ190" s="36">
        <f t="shared" si="271"/>
        <v>0.49681572230729965</v>
      </c>
      <c r="BR190" s="36">
        <f t="shared" si="271"/>
        <v>0.47230813287514323</v>
      </c>
      <c r="BS190" s="27">
        <f>BS159/BS17</f>
        <v>0.49223642121432754</v>
      </c>
      <c r="BT190" s="36">
        <f t="shared" ref="BT190:BW193" si="272">BO190+BT203/10000</f>
        <v>0.50555567626290054</v>
      </c>
      <c r="BU190" s="36">
        <f t="shared" si="272"/>
        <v>0.50828227785959745</v>
      </c>
      <c r="BV190" s="36">
        <f t="shared" si="272"/>
        <v>0.50481572230729965</v>
      </c>
      <c r="BW190" s="36">
        <f t="shared" si="272"/>
        <v>0.48030813287514323</v>
      </c>
      <c r="BX190" s="27">
        <f>BX159/BX17</f>
        <v>0.50022678976517176</v>
      </c>
      <c r="BY190" s="36">
        <f t="shared" ref="BY190:CB193" si="273">BT190+BY203/10000</f>
        <v>0.51355567626290055</v>
      </c>
      <c r="BZ190" s="36">
        <f t="shared" si="273"/>
        <v>0.51628227785959746</v>
      </c>
      <c r="CA190" s="36">
        <f t="shared" si="273"/>
        <v>0.51281572230729966</v>
      </c>
      <c r="CB190" s="36">
        <f t="shared" si="273"/>
        <v>0.48830813287514324</v>
      </c>
      <c r="CC190" s="27">
        <f>CC159/CC17</f>
        <v>0.50822678976517188</v>
      </c>
      <c r="CD190" s="36">
        <f t="shared" ref="CD190:CG193" si="274">BY190+CD203/10000</f>
        <v>0.52155567626290056</v>
      </c>
      <c r="CE190" s="36">
        <f t="shared" si="274"/>
        <v>0.52428227785959747</v>
      </c>
      <c r="CF190" s="36">
        <f t="shared" si="274"/>
        <v>0.52081572230729967</v>
      </c>
      <c r="CG190" s="36">
        <f t="shared" si="274"/>
        <v>0.49630813287514325</v>
      </c>
      <c r="CH190" s="27">
        <f>CH159/CH17</f>
        <v>0.51622678976517189</v>
      </c>
      <c r="CI190" s="36">
        <f t="shared" ref="CI190:CL193" si="275">CD190+CI203/10000</f>
        <v>0.52905567626290051</v>
      </c>
      <c r="CJ190" s="36">
        <f t="shared" si="275"/>
        <v>0.53178227785959742</v>
      </c>
      <c r="CK190" s="36">
        <f t="shared" si="275"/>
        <v>0.52831572230729962</v>
      </c>
      <c r="CL190" s="36">
        <f t="shared" si="275"/>
        <v>0.50380813287514326</v>
      </c>
      <c r="CM190" s="27">
        <f>CM159/CM17</f>
        <v>0.52372678976517184</v>
      </c>
    </row>
    <row r="191" spans="1:91" hidden="1" x14ac:dyDescent="0.2">
      <c r="A191" s="47" t="s">
        <v>182</v>
      </c>
      <c r="B191" s="36" t="s">
        <v>169</v>
      </c>
      <c r="C191" s="36" t="s">
        <v>169</v>
      </c>
      <c r="D191" s="36" t="s">
        <v>169</v>
      </c>
      <c r="E191" s="36" t="s">
        <v>169</v>
      </c>
      <c r="F191" s="27" t="s">
        <v>169</v>
      </c>
      <c r="G191" s="36">
        <f t="shared" ref="G191:AL191" si="276">G160/G31</f>
        <v>0.35922330097087379</v>
      </c>
      <c r="H191" s="36">
        <f t="shared" si="276"/>
        <v>0.36475409836065575</v>
      </c>
      <c r="I191" s="36">
        <f t="shared" si="276"/>
        <v>0.25727069351230425</v>
      </c>
      <c r="J191" s="36">
        <f t="shared" si="276"/>
        <v>0.33698030634573306</v>
      </c>
      <c r="K191" s="27">
        <f t="shared" si="276"/>
        <v>0.32982261640798227</v>
      </c>
      <c r="L191" s="36">
        <f t="shared" si="276"/>
        <v>0.375</v>
      </c>
      <c r="M191" s="36">
        <f t="shared" si="276"/>
        <v>0.401980198019802</v>
      </c>
      <c r="N191" s="36">
        <f t="shared" si="276"/>
        <v>0.32461873638344224</v>
      </c>
      <c r="O191" s="36">
        <f t="shared" si="276"/>
        <v>0.34862385321100919</v>
      </c>
      <c r="P191" s="27">
        <f t="shared" si="276"/>
        <v>0.36269963936115407</v>
      </c>
      <c r="Q191" s="36">
        <f t="shared" si="276"/>
        <v>0.43653846153846154</v>
      </c>
      <c r="R191" s="36">
        <f t="shared" si="276"/>
        <v>0.44758735440931779</v>
      </c>
      <c r="S191" s="36">
        <f t="shared" si="276"/>
        <v>0.33333333333333331</v>
      </c>
      <c r="T191" s="36">
        <f t="shared" si="276"/>
        <v>0.33544303797468356</v>
      </c>
      <c r="U191" s="27">
        <f t="shared" si="276"/>
        <v>0.3911007025761124</v>
      </c>
      <c r="V191" s="36">
        <f t="shared" si="276"/>
        <v>0.45196506550218341</v>
      </c>
      <c r="W191" s="36">
        <f t="shared" si="276"/>
        <v>0.45054945054945056</v>
      </c>
      <c r="X191" s="36">
        <f t="shared" si="276"/>
        <v>0.39569892473118279</v>
      </c>
      <c r="Y191" s="36">
        <f t="shared" si="276"/>
        <v>0.34842519685039369</v>
      </c>
      <c r="Z191" s="27">
        <f t="shared" si="276"/>
        <v>0.41173495194739507</v>
      </c>
      <c r="AA191" s="36">
        <f t="shared" si="276"/>
        <v>0.42468239564428312</v>
      </c>
      <c r="AB191" s="36">
        <f t="shared" si="276"/>
        <v>0.44499178981937604</v>
      </c>
      <c r="AC191" s="36">
        <f t="shared" si="276"/>
        <v>0.37074829931972791</v>
      </c>
      <c r="AD191" s="36">
        <f t="shared" si="276"/>
        <v>0.34020618556701032</v>
      </c>
      <c r="AE191" s="27">
        <f t="shared" si="276"/>
        <v>0.39527896995708156</v>
      </c>
      <c r="AF191" s="36">
        <f t="shared" si="276"/>
        <v>0.40909090909090912</v>
      </c>
      <c r="AG191" s="36">
        <f t="shared" si="276"/>
        <v>0.42368045649072755</v>
      </c>
      <c r="AH191" s="36">
        <f t="shared" si="276"/>
        <v>0.36472346786248133</v>
      </c>
      <c r="AI191" s="36">
        <f t="shared" si="276"/>
        <v>0.36900958466453676</v>
      </c>
      <c r="AJ191" s="27">
        <f t="shared" si="276"/>
        <v>0.39189189189189189</v>
      </c>
      <c r="AK191" s="36">
        <f t="shared" si="276"/>
        <v>0.43252032520325201</v>
      </c>
      <c r="AL191" s="36">
        <f t="shared" si="276"/>
        <v>0.40659340659340659</v>
      </c>
      <c r="AM191" s="36">
        <f>AM160/AM31</f>
        <v>0.34957020057306593</v>
      </c>
      <c r="AN191" s="36">
        <f>AN160/AN31</f>
        <v>0.41463414634146339</v>
      </c>
      <c r="AO191" s="27">
        <f t="shared" ref="AO191:BC191" si="277">AO160/AO28</f>
        <v>0.39970337411939194</v>
      </c>
      <c r="AP191" s="36">
        <f t="shared" si="277"/>
        <v>0.42451420029895365</v>
      </c>
      <c r="AQ191" s="36">
        <f t="shared" si="277"/>
        <v>0.43398692810457518</v>
      </c>
      <c r="AR191" s="36">
        <f t="shared" si="277"/>
        <v>0.3452914798206278</v>
      </c>
      <c r="AS191" s="36">
        <f t="shared" si="277"/>
        <v>0.36666666666666664</v>
      </c>
      <c r="AT191" s="27">
        <f>AT160/AT28</f>
        <v>0.39413680781758959</v>
      </c>
      <c r="AU191" s="36">
        <f t="shared" si="277"/>
        <v>0.46048632218844987</v>
      </c>
      <c r="AV191" s="36">
        <f t="shared" si="277"/>
        <v>0.39617486338797814</v>
      </c>
      <c r="AW191" s="36">
        <f t="shared" si="277"/>
        <v>0.3751763046544429</v>
      </c>
      <c r="AX191" s="36">
        <f t="shared" si="277"/>
        <v>0.3977812995245642</v>
      </c>
      <c r="AY191" s="27">
        <f>AY160/AY28</f>
        <v>0.40659340659340659</v>
      </c>
      <c r="AZ191" s="36">
        <f t="shared" si="277"/>
        <v>0.4561128526645768</v>
      </c>
      <c r="BA191" s="36">
        <f t="shared" si="277"/>
        <v>0.42249240121580545</v>
      </c>
      <c r="BB191" s="36">
        <f t="shared" si="277"/>
        <v>0.34660033167495852</v>
      </c>
      <c r="BC191" s="36">
        <f t="shared" si="277"/>
        <v>0.4017857142857143</v>
      </c>
      <c r="BD191" s="27">
        <f t="shared" ref="BD191:BI191" si="278">BD160/BD28</f>
        <v>0.40788938592923951</v>
      </c>
      <c r="BE191" s="36">
        <f t="shared" si="278"/>
        <v>0.43040293040293043</v>
      </c>
      <c r="BF191" s="36">
        <f t="shared" si="278"/>
        <v>0.40096618357487923</v>
      </c>
      <c r="BG191" s="36">
        <f t="shared" ca="1" si="278"/>
        <v>0.40096618357487923</v>
      </c>
      <c r="BH191" s="36">
        <f t="shared" ca="1" si="278"/>
        <v>0.40096618357487923</v>
      </c>
      <c r="BI191" s="27">
        <f t="shared" ca="1" si="278"/>
        <v>0.40808900048576818</v>
      </c>
      <c r="BJ191" s="36">
        <f t="shared" ref="BJ191:BK191" ca="1" si="279">BJ160/BJ28</f>
        <v>0.40096618357487923</v>
      </c>
      <c r="BK191" s="36">
        <f t="shared" ca="1" si="279"/>
        <v>0.40096618357487923</v>
      </c>
      <c r="BL191" s="36">
        <f t="shared" ref="BL191:BO191" ca="1" si="280">BL160/BL28</f>
        <v>0.40096618357487923</v>
      </c>
      <c r="BM191" s="36">
        <f t="shared" ca="1" si="280"/>
        <v>0.40096618357487923</v>
      </c>
      <c r="BN191" s="27">
        <f t="shared" ca="1" si="280"/>
        <v>0.40096618357487923</v>
      </c>
      <c r="BO191" s="36">
        <f t="shared" ca="1" si="280"/>
        <v>0.40096618357487923</v>
      </c>
      <c r="BP191" s="36">
        <f t="shared" ca="1" si="271"/>
        <v>0.40146618357487923</v>
      </c>
      <c r="BQ191" s="36">
        <f t="shared" ca="1" si="271"/>
        <v>0.40146618357487923</v>
      </c>
      <c r="BR191" s="36">
        <f t="shared" ca="1" si="271"/>
        <v>0.40146618357487923</v>
      </c>
      <c r="BS191" s="27">
        <f ca="1">BS160/BS28</f>
        <v>0.40134180841571931</v>
      </c>
      <c r="BT191" s="36">
        <f t="shared" ca="1" si="272"/>
        <v>0.40946618357487924</v>
      </c>
      <c r="BU191" s="36">
        <f t="shared" ca="1" si="272"/>
        <v>0.40996618357487924</v>
      </c>
      <c r="BV191" s="36">
        <f t="shared" ca="1" si="272"/>
        <v>0.40996618357487924</v>
      </c>
      <c r="BW191" s="36">
        <f t="shared" ca="1" si="272"/>
        <v>0.40996618357487924</v>
      </c>
      <c r="BX191" s="27">
        <f ca="1">BX160/BX28</f>
        <v>0.40984324342328343</v>
      </c>
      <c r="BY191" s="36">
        <f t="shared" ca="1" si="273"/>
        <v>0.41796618357487925</v>
      </c>
      <c r="BZ191" s="36">
        <f t="shared" ca="1" si="273"/>
        <v>0.41846618357487925</v>
      </c>
      <c r="CA191" s="36">
        <f t="shared" ca="1" si="273"/>
        <v>0.41846618357487925</v>
      </c>
      <c r="CB191" s="36">
        <f t="shared" ca="1" si="273"/>
        <v>0.41846618357487925</v>
      </c>
      <c r="CC191" s="27">
        <f ca="1">CC160/CC28</f>
        <v>0.41834324342328338</v>
      </c>
      <c r="CD191" s="36">
        <f t="shared" ca="1" si="274"/>
        <v>0.42596618357487925</v>
      </c>
      <c r="CE191" s="36">
        <f t="shared" ca="1" si="274"/>
        <v>0.42646618357487925</v>
      </c>
      <c r="CF191" s="36">
        <f t="shared" ca="1" si="274"/>
        <v>0.42646618357487925</v>
      </c>
      <c r="CG191" s="36">
        <f t="shared" ca="1" si="274"/>
        <v>0.42646618357487925</v>
      </c>
      <c r="CH191" s="27">
        <f ca="1">CH160/CH28</f>
        <v>0.42634324342328334</v>
      </c>
      <c r="CI191" s="36">
        <f t="shared" ca="1" si="275"/>
        <v>0.43346618357487926</v>
      </c>
      <c r="CJ191" s="36">
        <f t="shared" ca="1" si="275"/>
        <v>0.43396618357487926</v>
      </c>
      <c r="CK191" s="36">
        <f t="shared" ca="1" si="275"/>
        <v>0.43396618357487926</v>
      </c>
      <c r="CL191" s="36">
        <f t="shared" ca="1" si="275"/>
        <v>0.43396618357487926</v>
      </c>
      <c r="CM191" s="27">
        <f ca="1">CM160/CM28</f>
        <v>0.4338432434232834</v>
      </c>
    </row>
    <row r="192" spans="1:91" hidden="1" x14ac:dyDescent="0.2">
      <c r="A192" s="727" t="s">
        <v>183</v>
      </c>
      <c r="B192" s="36" t="s">
        <v>169</v>
      </c>
      <c r="C192" s="36" t="s">
        <v>169</v>
      </c>
      <c r="D192" s="36" t="s">
        <v>169</v>
      </c>
      <c r="E192" s="36" t="s">
        <v>169</v>
      </c>
      <c r="F192" s="27" t="s">
        <v>169</v>
      </c>
      <c r="G192" s="36">
        <f t="shared" ref="G192:AL192" si="281">G161/G62</f>
        <v>0.51973684210526316</v>
      </c>
      <c r="H192" s="36">
        <f t="shared" si="281"/>
        <v>0.56443104747550865</v>
      </c>
      <c r="I192" s="36">
        <f t="shared" si="281"/>
        <v>0.51934984520123839</v>
      </c>
      <c r="J192" s="36">
        <f t="shared" si="281"/>
        <v>0.48087954110898662</v>
      </c>
      <c r="K192" s="27">
        <f t="shared" si="281"/>
        <v>0.52370548394144634</v>
      </c>
      <c r="L192" s="36">
        <f t="shared" si="281"/>
        <v>0.66425619834710747</v>
      </c>
      <c r="M192" s="36">
        <f t="shared" si="281"/>
        <v>0.67783701447067779</v>
      </c>
      <c r="N192" s="36">
        <f t="shared" si="281"/>
        <v>0.62169312169312174</v>
      </c>
      <c r="O192" s="36">
        <f t="shared" si="281"/>
        <v>0.57926829268292679</v>
      </c>
      <c r="P192" s="27">
        <f t="shared" si="281"/>
        <v>0.63143692376883287</v>
      </c>
      <c r="Q192" s="36">
        <f t="shared" si="281"/>
        <v>0.65449688334817457</v>
      </c>
      <c r="R192" s="36">
        <f t="shared" si="281"/>
        <v>0.70360110803324105</v>
      </c>
      <c r="S192" s="36">
        <f t="shared" si="281"/>
        <v>0.63730984787830269</v>
      </c>
      <c r="T192" s="36">
        <f t="shared" si="281"/>
        <v>0.64809081527347778</v>
      </c>
      <c r="U192" s="27">
        <f t="shared" si="281"/>
        <v>0.6635318704284221</v>
      </c>
      <c r="V192" s="36">
        <f t="shared" si="281"/>
        <v>0.70612244897959187</v>
      </c>
      <c r="W192" s="36">
        <f t="shared" si="281"/>
        <v>0.7118084227910817</v>
      </c>
      <c r="X192" s="36">
        <f t="shared" si="281"/>
        <v>0.68249780123131043</v>
      </c>
      <c r="Y192" s="36">
        <f t="shared" si="281"/>
        <v>0.63571428571428568</v>
      </c>
      <c r="Z192" s="27">
        <f t="shared" si="281"/>
        <v>0.68546889507892295</v>
      </c>
      <c r="AA192" s="36">
        <f t="shared" si="281"/>
        <v>0.71566731141199225</v>
      </c>
      <c r="AB192" s="36">
        <f t="shared" si="281"/>
        <v>0.74583002382843522</v>
      </c>
      <c r="AC192" s="36">
        <f t="shared" si="281"/>
        <v>0.68202348690153569</v>
      </c>
      <c r="AD192" s="36">
        <f t="shared" si="281"/>
        <v>0.578125</v>
      </c>
      <c r="AE192" s="27">
        <f t="shared" si="281"/>
        <v>0.68399638336347202</v>
      </c>
      <c r="AF192" s="36">
        <f t="shared" si="281"/>
        <v>0.66697761194029848</v>
      </c>
      <c r="AG192" s="36">
        <f t="shared" si="281"/>
        <v>0.67427385892116187</v>
      </c>
      <c r="AH192" s="36">
        <f t="shared" si="281"/>
        <v>0.6727423363711682</v>
      </c>
      <c r="AI192" s="36">
        <f t="shared" si="281"/>
        <v>0.58269961977186313</v>
      </c>
      <c r="AJ192" s="27">
        <f t="shared" si="281"/>
        <v>0.6520828972158258</v>
      </c>
      <c r="AK192" s="36">
        <f t="shared" si="281"/>
        <v>0.65844402277039848</v>
      </c>
      <c r="AL192" s="36">
        <f t="shared" si="281"/>
        <v>0.68112633181126336</v>
      </c>
      <c r="AM192" s="36">
        <f>AM161/AM62</f>
        <v>0.62099644128113884</v>
      </c>
      <c r="AN192" s="36">
        <f>AN161/AN62</f>
        <v>0.67745197168857429</v>
      </c>
      <c r="AO192" s="27">
        <f>AO161/AO59</f>
        <v>0.57720085887175487</v>
      </c>
      <c r="AP192" s="36">
        <f t="shared" ref="AP192:BE192" si="282">AP161/AP59</f>
        <v>0.58028887000849616</v>
      </c>
      <c r="AQ192" s="36">
        <f t="shared" si="282"/>
        <v>0.57356948228882831</v>
      </c>
      <c r="AR192" s="36">
        <f t="shared" si="282"/>
        <v>0.52323943661971828</v>
      </c>
      <c r="AS192" s="36">
        <f t="shared" si="282"/>
        <v>0.51063829787234039</v>
      </c>
      <c r="AT192" s="27">
        <f>AT161/AT59</f>
        <v>0.54668166479190106</v>
      </c>
      <c r="AU192" s="36">
        <f t="shared" si="282"/>
        <v>0.5560711523588554</v>
      </c>
      <c r="AV192" s="36">
        <f t="shared" si="282"/>
        <v>0.56851497769279791</v>
      </c>
      <c r="AW192" s="36">
        <f t="shared" si="282"/>
        <v>0.52764170748775363</v>
      </c>
      <c r="AX192" s="36">
        <f t="shared" si="282"/>
        <v>0.48032128514056227</v>
      </c>
      <c r="AY192" s="27">
        <f>AY161/AY59</f>
        <v>0.53522398843930641</v>
      </c>
      <c r="AZ192" s="36">
        <f t="shared" si="282"/>
        <v>0.58168316831683164</v>
      </c>
      <c r="BA192" s="36">
        <f t="shared" si="282"/>
        <v>0.58257839721254356</v>
      </c>
      <c r="BB192" s="36">
        <f t="shared" si="282"/>
        <v>0.54135338345864659</v>
      </c>
      <c r="BC192" s="36">
        <f t="shared" si="282"/>
        <v>0.52302345786272808</v>
      </c>
      <c r="BD192" s="27">
        <f>BD161/BD59</f>
        <v>0.55830733229329177</v>
      </c>
      <c r="BE192" s="36">
        <f t="shared" si="282"/>
        <v>0.5772425249169435</v>
      </c>
      <c r="BF192" s="36">
        <f t="shared" ref="BF192:BG192" si="283">BF161/BF59</f>
        <v>0.57304964539007097</v>
      </c>
      <c r="BG192" s="36">
        <f t="shared" ca="1" si="283"/>
        <v>0.57304964539007097</v>
      </c>
      <c r="BH192" s="36">
        <f t="shared" ref="BH192:BJ192" ca="1" si="284">BH161/BH59</f>
        <v>0.57304964539007097</v>
      </c>
      <c r="BI192" s="27">
        <f ca="1">BI161/BI59</f>
        <v>0.57402611651992597</v>
      </c>
      <c r="BJ192" s="36">
        <f t="shared" ca="1" si="284"/>
        <v>0.57304964539007097</v>
      </c>
      <c r="BK192" s="36">
        <f t="shared" ref="BK192:BM192" ca="1" si="285">BK161/BK59</f>
        <v>0.57304964539007097</v>
      </c>
      <c r="BL192" s="36">
        <f t="shared" ca="1" si="285"/>
        <v>0.57304964539007097</v>
      </c>
      <c r="BM192" s="36">
        <f t="shared" ca="1" si="285"/>
        <v>0.57304964539007097</v>
      </c>
      <c r="BN192" s="27">
        <f ca="1">BN161/BN59</f>
        <v>0.57304964539007097</v>
      </c>
      <c r="BO192" s="36">
        <f t="shared" ref="BO192" ca="1" si="286">BO161/BO59</f>
        <v>0.57304964539007097</v>
      </c>
      <c r="BP192" s="36">
        <f t="shared" ca="1" si="271"/>
        <v>0.57354964539007092</v>
      </c>
      <c r="BQ192" s="36">
        <f t="shared" ca="1" si="271"/>
        <v>0.57354964539007092</v>
      </c>
      <c r="BR192" s="36">
        <f t="shared" ca="1" si="271"/>
        <v>0.57354964539007092</v>
      </c>
      <c r="BS192" s="27">
        <f ca="1">BS161/BS59</f>
        <v>0.57343292185827099</v>
      </c>
      <c r="BT192" s="36">
        <f t="shared" ca="1" si="272"/>
        <v>0.58154964539007092</v>
      </c>
      <c r="BU192" s="36">
        <f t="shared" ca="1" si="272"/>
        <v>0.58204964539007087</v>
      </c>
      <c r="BV192" s="36">
        <f t="shared" ca="1" si="272"/>
        <v>0.58204964539007087</v>
      </c>
      <c r="BW192" s="36">
        <f t="shared" ca="1" si="272"/>
        <v>0.58204964539007087</v>
      </c>
      <c r="BX192" s="27">
        <f ca="1">BX161/BX59</f>
        <v>0.58193328764092156</v>
      </c>
      <c r="BY192" s="36">
        <f t="shared" ca="1" si="273"/>
        <v>0.59004964539007088</v>
      </c>
      <c r="BZ192" s="36">
        <f t="shared" ca="1" si="273"/>
        <v>0.59054964539007082</v>
      </c>
      <c r="CA192" s="36">
        <f t="shared" ca="1" si="273"/>
        <v>0.59054964539007082</v>
      </c>
      <c r="CB192" s="36">
        <f t="shared" ca="1" si="273"/>
        <v>0.59054964539007082</v>
      </c>
      <c r="CC192" s="27">
        <f ca="1">CC161/CC59</f>
        <v>0.5904332876409214</v>
      </c>
      <c r="CD192" s="36">
        <f t="shared" ca="1" si="274"/>
        <v>0.59804964539007088</v>
      </c>
      <c r="CE192" s="36">
        <f t="shared" ca="1" si="274"/>
        <v>0.59854964539007083</v>
      </c>
      <c r="CF192" s="36">
        <f t="shared" ca="1" si="274"/>
        <v>0.59854964539007083</v>
      </c>
      <c r="CG192" s="36">
        <f t="shared" ca="1" si="274"/>
        <v>0.59854964539007083</v>
      </c>
      <c r="CH192" s="27">
        <f ca="1">CH161/CH59</f>
        <v>0.59843328764092141</v>
      </c>
      <c r="CI192" s="36">
        <f t="shared" ca="1" si="275"/>
        <v>0.60554964539007083</v>
      </c>
      <c r="CJ192" s="36">
        <f t="shared" ca="1" si="275"/>
        <v>0.60604964539007078</v>
      </c>
      <c r="CK192" s="36">
        <f t="shared" ca="1" si="275"/>
        <v>0.60604964539007078</v>
      </c>
      <c r="CL192" s="36">
        <f t="shared" ca="1" si="275"/>
        <v>0.60604964539007078</v>
      </c>
      <c r="CM192" s="27">
        <f ca="1">CM161/CM59</f>
        <v>0.60593328764092136</v>
      </c>
    </row>
    <row r="193" spans="1:91" x14ac:dyDescent="0.2">
      <c r="A193" s="47" t="s">
        <v>14</v>
      </c>
      <c r="B193" s="36">
        <f t="shared" ref="B193:AG193" si="287">B162/B74</f>
        <v>0.56767676767676767</v>
      </c>
      <c r="C193" s="36">
        <f t="shared" si="287"/>
        <v>0.56952380952380954</v>
      </c>
      <c r="D193" s="36">
        <f t="shared" si="287"/>
        <v>0.54296160877513711</v>
      </c>
      <c r="E193" s="36">
        <f t="shared" si="287"/>
        <v>0.51269035532994922</v>
      </c>
      <c r="F193" s="27">
        <f t="shared" si="287"/>
        <v>0.5468025949953661</v>
      </c>
      <c r="G193" s="36">
        <f t="shared" si="287"/>
        <v>0.5787728026533997</v>
      </c>
      <c r="H193" s="36">
        <f t="shared" si="287"/>
        <v>0.5562700964630225</v>
      </c>
      <c r="I193" s="36">
        <f t="shared" si="287"/>
        <v>0.53975535168195721</v>
      </c>
      <c r="J193" s="36">
        <f t="shared" si="287"/>
        <v>0.52917232021709637</v>
      </c>
      <c r="K193" s="27">
        <f t="shared" si="287"/>
        <v>0.54969418960244654</v>
      </c>
      <c r="L193" s="36">
        <f t="shared" si="287"/>
        <v>0.60939794419970628</v>
      </c>
      <c r="M193" s="36">
        <f t="shared" si="287"/>
        <v>0.54821664464993392</v>
      </c>
      <c r="N193" s="36">
        <f t="shared" si="287"/>
        <v>0.56005056890012639</v>
      </c>
      <c r="O193" s="36">
        <f t="shared" si="287"/>
        <v>0.58571428571428574</v>
      </c>
      <c r="P193" s="27">
        <f t="shared" si="287"/>
        <v>0.57510589768654286</v>
      </c>
      <c r="Q193" s="36">
        <f t="shared" si="287"/>
        <v>0.59952606635071093</v>
      </c>
      <c r="R193" s="36">
        <f t="shared" si="287"/>
        <v>0.59197324414715724</v>
      </c>
      <c r="S193" s="36">
        <f t="shared" si="287"/>
        <v>0.5662285136501517</v>
      </c>
      <c r="T193" s="36">
        <f t="shared" si="287"/>
        <v>0.61254199328107506</v>
      </c>
      <c r="U193" s="27">
        <f t="shared" si="287"/>
        <v>0.591774772288159</v>
      </c>
      <c r="V193" s="36">
        <f t="shared" si="287"/>
        <v>0.54830917874396135</v>
      </c>
      <c r="W193" s="36">
        <f t="shared" si="287"/>
        <v>0.54819976771196288</v>
      </c>
      <c r="X193" s="36">
        <f t="shared" si="287"/>
        <v>0.58020833333333333</v>
      </c>
      <c r="Y193" s="36">
        <f t="shared" si="287"/>
        <v>0.5318744053282588</v>
      </c>
      <c r="Z193" s="27">
        <f t="shared" si="287"/>
        <v>0.55189189189189192</v>
      </c>
      <c r="AA193" s="36">
        <f t="shared" si="287"/>
        <v>0.64661654135338342</v>
      </c>
      <c r="AB193" s="36">
        <f t="shared" si="287"/>
        <v>0.60993657505285415</v>
      </c>
      <c r="AC193" s="36">
        <f t="shared" si="287"/>
        <v>0.62348178137651822</v>
      </c>
      <c r="AD193" s="36">
        <f t="shared" si="287"/>
        <v>0.60098522167487689</v>
      </c>
      <c r="AE193" s="27">
        <f t="shared" si="287"/>
        <v>0.61984536082474229</v>
      </c>
      <c r="AF193" s="36">
        <f t="shared" si="287"/>
        <v>0.66173752310536049</v>
      </c>
      <c r="AG193" s="36">
        <f t="shared" si="287"/>
        <v>0.63439849624060152</v>
      </c>
      <c r="AH193" s="36">
        <f t="shared" ref="AH193:AN193" si="288">AH162/AH74</f>
        <v>0.66695352839931155</v>
      </c>
      <c r="AI193" s="36">
        <f t="shared" si="288"/>
        <v>0.59634703196347028</v>
      </c>
      <c r="AJ193" s="27">
        <f t="shared" si="288"/>
        <v>0.64024528730411079</v>
      </c>
      <c r="AK193" s="36">
        <f t="shared" si="288"/>
        <v>0.66015971606033719</v>
      </c>
      <c r="AL193" s="36">
        <f t="shared" si="288"/>
        <v>0.63342566943674972</v>
      </c>
      <c r="AM193" s="36">
        <f t="shared" si="288"/>
        <v>0.62681468830059783</v>
      </c>
      <c r="AN193" s="36">
        <f t="shared" si="288"/>
        <v>0.60644614079728587</v>
      </c>
      <c r="AO193" s="27">
        <f t="shared" ref="AO193:BD193" si="289">AO162/AO71</f>
        <v>0.5959428689712275</v>
      </c>
      <c r="AP193" s="36">
        <f t="shared" si="289"/>
        <v>0.62133550488599354</v>
      </c>
      <c r="AQ193" s="36">
        <f t="shared" si="289"/>
        <v>0.59753086419753088</v>
      </c>
      <c r="AR193" s="36">
        <f t="shared" si="289"/>
        <v>0.58943089430894313</v>
      </c>
      <c r="AS193" s="36">
        <f t="shared" si="289"/>
        <v>0.55213270142180093</v>
      </c>
      <c r="AT193" s="27">
        <f>AT162/AT71</f>
        <v>0.58979550516298851</v>
      </c>
      <c r="AU193" s="36">
        <f t="shared" si="289"/>
        <v>0.60126012601260126</v>
      </c>
      <c r="AV193" s="36">
        <f t="shared" si="289"/>
        <v>0.5661896243291592</v>
      </c>
      <c r="AW193" s="36">
        <f t="shared" si="289"/>
        <v>0.55480033984706878</v>
      </c>
      <c r="AX193" s="36">
        <f t="shared" si="289"/>
        <v>0.52517985611510787</v>
      </c>
      <c r="AY193" s="27">
        <f t="shared" ref="AY193" si="290">AY162/AY71</f>
        <v>0.56066136998067428</v>
      </c>
      <c r="AZ193" s="36">
        <f t="shared" si="289"/>
        <v>0.57317073170731703</v>
      </c>
      <c r="BA193" s="36">
        <f t="shared" si="289"/>
        <v>0.54265159301130528</v>
      </c>
      <c r="BB193" s="36">
        <f t="shared" si="289"/>
        <v>0.53557312252964429</v>
      </c>
      <c r="BC193" s="36">
        <f t="shared" si="289"/>
        <v>0.5161290322580645</v>
      </c>
      <c r="BD193" s="27">
        <f t="shared" si="289"/>
        <v>0.54221894943544424</v>
      </c>
      <c r="BE193" s="36">
        <f>BE162/BE71</f>
        <v>0.55935828877005345</v>
      </c>
      <c r="BF193" s="36">
        <f>BF162/BF71</f>
        <v>0.54535752401280679</v>
      </c>
      <c r="BG193" s="36">
        <f>BG162/BG71</f>
        <v>0.52849740932642486</v>
      </c>
      <c r="BH193" s="36">
        <f>BH162/BH71</f>
        <v>0.48981670061099797</v>
      </c>
      <c r="BI193" s="27">
        <f t="shared" ref="BI193" si="291">BI162/BI71</f>
        <v>0.53024351924587587</v>
      </c>
      <c r="BJ193" s="36">
        <f>BJ162/BJ71</f>
        <v>0.54535637149028082</v>
      </c>
      <c r="BK193" s="36">
        <f>BK162/BK71</f>
        <v>0.58947368421052626</v>
      </c>
      <c r="BL193" s="36">
        <f>BL162/BL71</f>
        <v>0.54589371980676327</v>
      </c>
      <c r="BM193" s="36">
        <f>BM162/BM71</f>
        <v>0.53220035778175312</v>
      </c>
      <c r="BN193" s="27">
        <f t="shared" ref="BN193" si="292">BN162/BN71</f>
        <v>0.55224621494167292</v>
      </c>
      <c r="BO193" s="36">
        <f>BO162/BO71</f>
        <v>0.57515030060120242</v>
      </c>
      <c r="BP193" s="36">
        <f t="shared" si="271"/>
        <v>0.55947368421052623</v>
      </c>
      <c r="BQ193" s="36">
        <f t="shared" si="271"/>
        <v>0.54489371980676327</v>
      </c>
      <c r="BR193" s="36">
        <f t="shared" si="271"/>
        <v>0.52220035778175311</v>
      </c>
      <c r="BS193" s="27">
        <f>BS162/BS71</f>
        <v>0.54886697372660198</v>
      </c>
      <c r="BT193" s="36">
        <f t="shared" si="272"/>
        <v>0.58315030060120243</v>
      </c>
      <c r="BU193" s="36">
        <f t="shared" si="272"/>
        <v>0.56747368421052624</v>
      </c>
      <c r="BV193" s="36">
        <f t="shared" si="272"/>
        <v>0.55289371980676327</v>
      </c>
      <c r="BW193" s="36">
        <f t="shared" si="272"/>
        <v>0.53020035778175312</v>
      </c>
      <c r="BX193" s="27">
        <f t="shared" ref="BX193" si="293">BX162/BX71</f>
        <v>0.55680505358121257</v>
      </c>
      <c r="BY193" s="36">
        <f t="shared" si="273"/>
        <v>0.59115030060120244</v>
      </c>
      <c r="BZ193" s="36">
        <f t="shared" si="273"/>
        <v>0.57547368421052625</v>
      </c>
      <c r="CA193" s="36">
        <f t="shared" si="273"/>
        <v>0.56089371980676328</v>
      </c>
      <c r="CB193" s="36">
        <f t="shared" si="273"/>
        <v>0.53820035778175312</v>
      </c>
      <c r="CC193" s="27">
        <f t="shared" ref="CC193" si="294">CC162/CC71</f>
        <v>0.56480505358121269</v>
      </c>
      <c r="CD193" s="36">
        <f t="shared" si="274"/>
        <v>0.59915030060120245</v>
      </c>
      <c r="CE193" s="36">
        <f t="shared" si="274"/>
        <v>0.58347368421052626</v>
      </c>
      <c r="CF193" s="36">
        <f t="shared" si="274"/>
        <v>0.56889371980676329</v>
      </c>
      <c r="CG193" s="36">
        <f t="shared" si="274"/>
        <v>0.54620035778175313</v>
      </c>
      <c r="CH193" s="27">
        <f t="shared" ref="CH193" si="295">CH162/CH71</f>
        <v>0.57280505358121259</v>
      </c>
      <c r="CI193" s="36">
        <f t="shared" si="275"/>
        <v>0.6066503006012024</v>
      </c>
      <c r="CJ193" s="36">
        <f t="shared" si="275"/>
        <v>0.59097368421052621</v>
      </c>
      <c r="CK193" s="36">
        <f t="shared" si="275"/>
        <v>0.57639371980676324</v>
      </c>
      <c r="CL193" s="36">
        <f t="shared" si="275"/>
        <v>0.55370035778175308</v>
      </c>
      <c r="CM193" s="27">
        <f t="shared" ref="CM193" si="296">CM162/CM71</f>
        <v>0.58030505358121243</v>
      </c>
    </row>
    <row r="194" spans="1:91" hidden="1" outlineLevel="1" x14ac:dyDescent="0.2">
      <c r="A194" s="47" t="s">
        <v>361</v>
      </c>
      <c r="B194" s="36">
        <f t="shared" ref="B194:AG194" si="297">B163/B85</f>
        <v>0.21269633507853403</v>
      </c>
      <c r="C194" s="36">
        <f t="shared" si="297"/>
        <v>0.25915492957746478</v>
      </c>
      <c r="D194" s="36">
        <f t="shared" si="297"/>
        <v>0.23724928366762177</v>
      </c>
      <c r="E194" s="36">
        <f t="shared" si="297"/>
        <v>0.22481572481572482</v>
      </c>
      <c r="F194" s="27">
        <f t="shared" si="297"/>
        <v>0.23442180946674657</v>
      </c>
      <c r="G194" s="36">
        <f t="shared" si="297"/>
        <v>0.23586626139817629</v>
      </c>
      <c r="H194" s="36">
        <f t="shared" si="297"/>
        <v>0.25825039287585122</v>
      </c>
      <c r="I194" s="36">
        <f t="shared" si="297"/>
        <v>0.21171918186843561</v>
      </c>
      <c r="J194" s="36">
        <f t="shared" si="297"/>
        <v>0.25150060024009602</v>
      </c>
      <c r="K194" s="27">
        <f t="shared" si="297"/>
        <v>0.23943661971830985</v>
      </c>
      <c r="L194" s="36">
        <f t="shared" si="297"/>
        <v>0.20840840840840841</v>
      </c>
      <c r="M194" s="36">
        <f t="shared" si="297"/>
        <v>0.24248302618816683</v>
      </c>
      <c r="N194" s="36">
        <f t="shared" si="297"/>
        <v>0.20694444444444443</v>
      </c>
      <c r="O194" s="36">
        <f t="shared" si="297"/>
        <v>0.21985058697972251</v>
      </c>
      <c r="P194" s="27">
        <f t="shared" si="297"/>
        <v>0.21981703388738566</v>
      </c>
      <c r="Q194" s="36">
        <f t="shared" si="297"/>
        <v>0.17303609341825901</v>
      </c>
      <c r="R194" s="36">
        <f t="shared" si="297"/>
        <v>0.20580357142857142</v>
      </c>
      <c r="S194" s="36">
        <f t="shared" si="297"/>
        <v>0.18641686182669789</v>
      </c>
      <c r="T194" s="36">
        <f t="shared" si="297"/>
        <v>0.21120246659815006</v>
      </c>
      <c r="U194" s="27">
        <f t="shared" si="297"/>
        <v>0.19451553930530163</v>
      </c>
      <c r="V194" s="36">
        <f t="shared" si="297"/>
        <v>0.21183953033268102</v>
      </c>
      <c r="W194" s="36">
        <f t="shared" si="297"/>
        <v>0.2130694891854579</v>
      </c>
      <c r="X194" s="36">
        <f t="shared" si="297"/>
        <v>0.20596590909090909</v>
      </c>
      <c r="Y194" s="36">
        <f t="shared" si="297"/>
        <v>0.21428571428571427</v>
      </c>
      <c r="Z194" s="27">
        <f t="shared" si="297"/>
        <v>0.21120742278110122</v>
      </c>
      <c r="AA194" s="36">
        <f t="shared" si="297"/>
        <v>0.22378716744913929</v>
      </c>
      <c r="AB194" s="36">
        <f t="shared" si="297"/>
        <v>0.22699115044247786</v>
      </c>
      <c r="AC194" s="36">
        <f t="shared" si="297"/>
        <v>0.23205187586845763</v>
      </c>
      <c r="AD194" s="36">
        <f t="shared" si="297"/>
        <v>0.10636969192339717</v>
      </c>
      <c r="AE194" s="27">
        <f t="shared" si="297"/>
        <v>0.17540394973070017</v>
      </c>
      <c r="AF194" s="36">
        <f t="shared" si="297"/>
        <v>0.11870196413321947</v>
      </c>
      <c r="AG194" s="36">
        <f t="shared" si="297"/>
        <v>0.15192867540029112</v>
      </c>
      <c r="AH194" s="36">
        <f t="shared" ref="AH194:BD194" si="298">AH163/AH85</f>
        <v>0.14609244477445701</v>
      </c>
      <c r="AI194" s="36">
        <f t="shared" si="298"/>
        <v>0.12840544871794871</v>
      </c>
      <c r="AJ194" s="27">
        <f t="shared" si="298"/>
        <v>0.13711756408385622</v>
      </c>
      <c r="AK194" s="36">
        <f t="shared" si="298"/>
        <v>0.10311165344722392</v>
      </c>
      <c r="AL194" s="36">
        <f t="shared" si="298"/>
        <v>0.14372084988771808</v>
      </c>
      <c r="AM194" s="36">
        <f t="shared" si="298"/>
        <v>0.14182395484212384</v>
      </c>
      <c r="AN194" s="36">
        <f t="shared" si="298"/>
        <v>0.13478260869565217</v>
      </c>
      <c r="AO194" s="27">
        <f t="shared" si="298"/>
        <v>0.13182552504038772</v>
      </c>
      <c r="AP194" s="36">
        <f t="shared" si="298"/>
        <v>0.10055293876715134</v>
      </c>
      <c r="AQ194" s="36">
        <f t="shared" si="298"/>
        <v>0.14488437281009109</v>
      </c>
      <c r="AR194" s="36">
        <f t="shared" si="298"/>
        <v>0.1452318460192476</v>
      </c>
      <c r="AS194" s="36">
        <f t="shared" si="298"/>
        <v>0.11958997722095673</v>
      </c>
      <c r="AT194" s="27">
        <f t="shared" si="298"/>
        <v>0.12876610735144156</v>
      </c>
      <c r="AU194" s="658">
        <f t="shared" si="298"/>
        <v>9.3945720250521919E-2</v>
      </c>
      <c r="AV194" s="658">
        <f t="shared" si="298"/>
        <v>0.14816112084063046</v>
      </c>
      <c r="AW194" s="658">
        <f t="shared" si="298"/>
        <v>0.1467119370979271</v>
      </c>
      <c r="AX194" s="658">
        <f t="shared" si="298"/>
        <v>0.12523294819232203</v>
      </c>
      <c r="AY194" s="659">
        <f t="shared" ref="AY194" si="299">AY163/AY85</f>
        <v>0.12995061038113875</v>
      </c>
      <c r="AZ194" s="658">
        <f t="shared" si="298"/>
        <v>0.11143810084363351</v>
      </c>
      <c r="BA194" s="658">
        <f t="shared" si="298"/>
        <v>0.15378108611064117</v>
      </c>
      <c r="BB194" s="658">
        <f t="shared" si="298"/>
        <v>0.15066548358473825</v>
      </c>
      <c r="BC194" s="658">
        <f t="shared" si="298"/>
        <v>0.10639953316475394</v>
      </c>
      <c r="BD194" s="659">
        <f t="shared" si="298"/>
        <v>0.13188578773411677</v>
      </c>
      <c r="BE194" s="699"/>
      <c r="BF194" s="699"/>
      <c r="BG194" s="699"/>
      <c r="BH194" s="699"/>
      <c r="BI194" s="659">
        <f t="shared" ref="BI194" si="300">BI163/BI85</f>
        <v>0</v>
      </c>
      <c r="BJ194" s="699"/>
      <c r="BK194" s="699"/>
      <c r="BL194" s="699"/>
      <c r="BM194" s="699"/>
      <c r="BN194" s="659">
        <f t="shared" ref="BN194" si="301">BN163/BN85</f>
        <v>0</v>
      </c>
      <c r="BO194" s="699"/>
      <c r="BP194" s="658"/>
      <c r="BQ194" s="658"/>
      <c r="BR194" s="658"/>
      <c r="BS194" s="659">
        <f t="shared" ref="BS194" si="302">BS163/BS85</f>
        <v>0</v>
      </c>
      <c r="BT194" s="658"/>
      <c r="BU194" s="658"/>
      <c r="BV194" s="658"/>
      <c r="BW194" s="658"/>
      <c r="BX194" s="659">
        <f t="shared" ref="BX194" si="303">BX163/BX85</f>
        <v>0</v>
      </c>
      <c r="BY194" s="658"/>
      <c r="BZ194" s="658"/>
      <c r="CA194" s="658"/>
      <c r="CB194" s="658"/>
      <c r="CC194" s="659">
        <f t="shared" ref="CC194" si="304">CC163/CC85</f>
        <v>0</v>
      </c>
      <c r="CD194" s="658"/>
      <c r="CE194" s="658"/>
      <c r="CF194" s="658"/>
      <c r="CG194" s="658"/>
      <c r="CH194" s="659">
        <f t="shared" ref="CH194" si="305">CH163/CH85</f>
        <v>0</v>
      </c>
      <c r="CI194" s="658"/>
      <c r="CJ194" s="658"/>
      <c r="CK194" s="658"/>
      <c r="CL194" s="658"/>
      <c r="CM194" s="659">
        <f t="shared" ref="CM194" si="306">CM163/CM85</f>
        <v>0</v>
      </c>
    </row>
    <row r="195" spans="1:91" collapsed="1" x14ac:dyDescent="0.2">
      <c r="A195" s="727" t="s">
        <v>13</v>
      </c>
      <c r="B195" s="36"/>
      <c r="C195" s="36"/>
      <c r="D195" s="36"/>
      <c r="E195" s="36"/>
      <c r="F195" s="27"/>
      <c r="G195" s="36"/>
      <c r="H195" s="36"/>
      <c r="I195" s="36"/>
      <c r="J195" s="36"/>
      <c r="K195" s="27"/>
      <c r="L195" s="36"/>
      <c r="M195" s="36"/>
      <c r="N195" s="36"/>
      <c r="O195" s="36"/>
      <c r="P195" s="27"/>
      <c r="Q195" s="36"/>
      <c r="R195" s="36"/>
      <c r="S195" s="36"/>
      <c r="T195" s="36"/>
      <c r="U195" s="27"/>
      <c r="V195" s="36"/>
      <c r="W195" s="36"/>
      <c r="X195" s="36"/>
      <c r="Y195" s="36"/>
      <c r="Z195" s="27"/>
      <c r="AA195" s="36"/>
      <c r="AB195" s="36"/>
      <c r="AC195" s="36"/>
      <c r="AD195" s="36"/>
      <c r="AE195" s="27"/>
      <c r="AF195" s="36"/>
      <c r="AG195" s="36"/>
      <c r="AH195" s="36"/>
      <c r="AI195" s="36"/>
      <c r="AJ195" s="27"/>
      <c r="AK195" s="36"/>
      <c r="AL195" s="36"/>
      <c r="AM195" s="36"/>
      <c r="AN195" s="36"/>
      <c r="AO195" s="27"/>
      <c r="AP195" s="36"/>
      <c r="AQ195" s="36"/>
      <c r="AR195" s="36"/>
      <c r="AS195" s="36"/>
      <c r="AT195" s="27">
        <f t="shared" ref="AT195:BD195" si="307">AT164/AT93</f>
        <v>0.25860010851871945</v>
      </c>
      <c r="AU195" s="36">
        <f t="shared" si="307"/>
        <v>0.22222222222222221</v>
      </c>
      <c r="AV195" s="36">
        <f t="shared" si="307"/>
        <v>0.26339105920257755</v>
      </c>
      <c r="AW195" s="36">
        <f t="shared" si="307"/>
        <v>0.26532291238173589</v>
      </c>
      <c r="AX195" s="36">
        <f t="shared" si="307"/>
        <v>0.2691637630662021</v>
      </c>
      <c r="AY195" s="27">
        <f t="shared" ref="AY195" si="308">AY164/AY93</f>
        <v>0.25617516988458633</v>
      </c>
      <c r="AZ195" s="36">
        <f t="shared" si="307"/>
        <v>0.24471299093655588</v>
      </c>
      <c r="BA195" s="36">
        <f t="shared" si="307"/>
        <v>0.28102602791399472</v>
      </c>
      <c r="BB195" s="36">
        <f t="shared" si="307"/>
        <v>0.25426356589147286</v>
      </c>
      <c r="BC195" s="36">
        <f t="shared" si="307"/>
        <v>0.24040139616055847</v>
      </c>
      <c r="BD195" s="27">
        <f t="shared" si="307"/>
        <v>0.25599593495934958</v>
      </c>
      <c r="BE195" s="36">
        <f>BE164/BE93</f>
        <v>0.2523285351397121</v>
      </c>
      <c r="BF195" s="36">
        <f>BF164/BF93</f>
        <v>0.27229004809470958</v>
      </c>
      <c r="BG195" s="36">
        <f>BG164/BG93</f>
        <v>0.26268320180383314</v>
      </c>
      <c r="BH195" s="36">
        <f>BH164/BH93</f>
        <v>0.25871857258718572</v>
      </c>
      <c r="BI195" s="27">
        <f t="shared" ref="BI195" si="309">BI164/BI93</f>
        <v>0.26187205651491363</v>
      </c>
      <c r="BJ195" s="36">
        <f>BJ164/BJ93</f>
        <v>0.24782788580885395</v>
      </c>
      <c r="BK195" s="36">
        <f>BK164/BK93</f>
        <v>0.27523251808473992</v>
      </c>
      <c r="BL195" s="36">
        <f>BL164/BL93</f>
        <v>0.25206760158216468</v>
      </c>
      <c r="BM195" s="36">
        <f>BM164/BM93</f>
        <v>0.2714231785579464</v>
      </c>
      <c r="BN195" s="27">
        <f t="shared" ref="BN195" si="310">BN164/BN93</f>
        <v>0.26213953488372094</v>
      </c>
      <c r="BO195" s="36">
        <f>BO164/BO93</f>
        <v>0.21044776119402986</v>
      </c>
      <c r="BP195" s="36">
        <f t="shared" ref="BP195:BR196" si="311">BK195+BP208/10000</f>
        <v>0.27023251808473991</v>
      </c>
      <c r="BQ195" s="36">
        <f t="shared" si="311"/>
        <v>0.26406760158216469</v>
      </c>
      <c r="BR195" s="36">
        <f t="shared" si="311"/>
        <v>0.28142317855794641</v>
      </c>
      <c r="BS195" s="27">
        <f>BS164/BS93</f>
        <v>0.25819843660754566</v>
      </c>
      <c r="BT195" s="36">
        <f t="shared" ref="BT195:BW196" si="312">BO195+BT208/10000</f>
        <v>0.21844776119402987</v>
      </c>
      <c r="BU195" s="36">
        <f t="shared" si="312"/>
        <v>0.27823251808473992</v>
      </c>
      <c r="BV195" s="36">
        <f t="shared" si="312"/>
        <v>0.2720676015821647</v>
      </c>
      <c r="BW195" s="36">
        <f t="shared" si="312"/>
        <v>0.28942317855794641</v>
      </c>
      <c r="BX195" s="27">
        <f t="shared" ref="BX195" si="313">BX164/BX93</f>
        <v>0.26620213087971178</v>
      </c>
      <c r="BY195" s="36">
        <f t="shared" ref="BY195:CB196" si="314">BT195+BY208/10000</f>
        <v>0.22644776119402987</v>
      </c>
      <c r="BZ195" s="36">
        <f t="shared" si="314"/>
        <v>0.28623251808473993</v>
      </c>
      <c r="CA195" s="36">
        <f t="shared" si="314"/>
        <v>0.2800676015821647</v>
      </c>
      <c r="CB195" s="36">
        <f t="shared" si="314"/>
        <v>0.29742317855794642</v>
      </c>
      <c r="CC195" s="27">
        <f t="shared" ref="CC195" si="315">CC164/CC93</f>
        <v>0.27420213087971174</v>
      </c>
      <c r="CD195" s="36">
        <f t="shared" ref="CD195:CG196" si="316">BY195+CD208/10000</f>
        <v>0.23444776119402988</v>
      </c>
      <c r="CE195" s="36">
        <f t="shared" si="316"/>
        <v>0.29423251808473994</v>
      </c>
      <c r="CF195" s="36">
        <f t="shared" si="316"/>
        <v>0.28806760158216471</v>
      </c>
      <c r="CG195" s="36">
        <f t="shared" si="316"/>
        <v>0.30542317855794643</v>
      </c>
      <c r="CH195" s="27">
        <f t="shared" ref="CH195" si="317">CH164/CH93</f>
        <v>0.2822021308797118</v>
      </c>
      <c r="CI195" s="36">
        <f t="shared" ref="CI195:CL196" si="318">CD195+CI208/10000</f>
        <v>0.24194776119402989</v>
      </c>
      <c r="CJ195" s="36">
        <f t="shared" si="318"/>
        <v>0.30173251808473994</v>
      </c>
      <c r="CK195" s="36">
        <f t="shared" si="318"/>
        <v>0.29556760158216472</v>
      </c>
      <c r="CL195" s="36">
        <f t="shared" si="318"/>
        <v>0.31292317855794644</v>
      </c>
      <c r="CM195" s="27">
        <f t="shared" ref="CM195" si="319">CM164/CM93</f>
        <v>0.28970213087971181</v>
      </c>
    </row>
    <row r="196" spans="1:91" x14ac:dyDescent="0.2">
      <c r="A196" s="47" t="s">
        <v>184</v>
      </c>
      <c r="B196" s="36">
        <f t="shared" ref="B196:AG196" si="320">B165/B107</f>
        <v>0.46639089968976216</v>
      </c>
      <c r="C196" s="36">
        <f t="shared" si="320"/>
        <v>0.47562018819503848</v>
      </c>
      <c r="D196" s="36">
        <f t="shared" si="320"/>
        <v>0.38715432649420162</v>
      </c>
      <c r="E196" s="36">
        <f t="shared" si="320"/>
        <v>0.46062992125984253</v>
      </c>
      <c r="F196" s="27">
        <f t="shared" si="320"/>
        <v>0.44675871752866836</v>
      </c>
      <c r="G196" s="36">
        <f t="shared" si="320"/>
        <v>0.41309255079006774</v>
      </c>
      <c r="H196" s="36">
        <f t="shared" si="320"/>
        <v>0.45783132530120479</v>
      </c>
      <c r="I196" s="36">
        <f t="shared" si="320"/>
        <v>0.38447971781305113</v>
      </c>
      <c r="J196" s="36">
        <f t="shared" si="320"/>
        <v>0.40824337585868498</v>
      </c>
      <c r="K196" s="27">
        <f t="shared" si="320"/>
        <v>0.41573579407479361</v>
      </c>
      <c r="L196" s="36">
        <f t="shared" si="320"/>
        <v>0.41059602649006621</v>
      </c>
      <c r="M196" s="36">
        <f t="shared" si="320"/>
        <v>0.48424068767908307</v>
      </c>
      <c r="N196" s="36">
        <f t="shared" si="320"/>
        <v>0.38454627133872415</v>
      </c>
      <c r="O196" s="36">
        <f t="shared" si="320"/>
        <v>0.40347293156281921</v>
      </c>
      <c r="P196" s="27">
        <f t="shared" si="320"/>
        <v>0.42581936452339253</v>
      </c>
      <c r="Q196" s="36">
        <f t="shared" si="320"/>
        <v>0.4249726177437021</v>
      </c>
      <c r="R196" s="36">
        <f t="shared" si="320"/>
        <v>0.49225753871230643</v>
      </c>
      <c r="S196" s="36">
        <f t="shared" si="320"/>
        <v>0.41191275167785235</v>
      </c>
      <c r="T196" s="36">
        <f t="shared" si="320"/>
        <v>0.36549707602339182</v>
      </c>
      <c r="U196" s="27">
        <f t="shared" si="320"/>
        <v>0.42634235888022026</v>
      </c>
      <c r="V196" s="36">
        <f t="shared" si="320"/>
        <v>0.43594646271510518</v>
      </c>
      <c r="W196" s="36">
        <f t="shared" si="320"/>
        <v>0.48097165991902835</v>
      </c>
      <c r="X196" s="36">
        <f t="shared" si="320"/>
        <v>0.37478849407783416</v>
      </c>
      <c r="Y196" s="36">
        <f t="shared" si="320"/>
        <v>0.36915887850467288</v>
      </c>
      <c r="Z196" s="27">
        <f t="shared" si="320"/>
        <v>0.41650121332450918</v>
      </c>
      <c r="AA196" s="36">
        <f t="shared" si="320"/>
        <v>0.446524064171123</v>
      </c>
      <c r="AB196" s="36">
        <f t="shared" si="320"/>
        <v>0.49725490196078431</v>
      </c>
      <c r="AC196" s="36">
        <f t="shared" si="320"/>
        <v>0.4152777777777778</v>
      </c>
      <c r="AD196" s="36">
        <f t="shared" si="320"/>
        <v>0.33583333333333332</v>
      </c>
      <c r="AE196" s="27">
        <f t="shared" si="320"/>
        <v>0.42406194163192379</v>
      </c>
      <c r="AF196" s="36">
        <f t="shared" si="320"/>
        <v>0.46706586826347307</v>
      </c>
      <c r="AG196" s="36">
        <f t="shared" si="320"/>
        <v>0.49321266968325794</v>
      </c>
      <c r="AH196" s="36">
        <f t="shared" ref="AH196:AN196" si="321">AH165/AH107</f>
        <v>0.40671400903808907</v>
      </c>
      <c r="AI196" s="36">
        <f t="shared" si="321"/>
        <v>0.2996894409937888</v>
      </c>
      <c r="AJ196" s="27">
        <f t="shared" si="321"/>
        <v>0.41869259859535385</v>
      </c>
      <c r="AK196" s="36">
        <f t="shared" si="321"/>
        <v>0.45954198473282443</v>
      </c>
      <c r="AL196" s="36">
        <f t="shared" si="321"/>
        <v>0.53195374315276933</v>
      </c>
      <c r="AM196" s="36">
        <f t="shared" si="321"/>
        <v>0.41700680272108842</v>
      </c>
      <c r="AN196" s="36">
        <f t="shared" si="321"/>
        <v>0.34049323786793956</v>
      </c>
      <c r="AO196" s="27">
        <f>AO165/AO104</f>
        <v>0.39901712111604309</v>
      </c>
      <c r="AP196" s="36">
        <f t="shared" ref="AP196:BE196" si="322">AP165/AP104</f>
        <v>0.43884892086330934</v>
      </c>
      <c r="AQ196" s="36">
        <f t="shared" si="322"/>
        <v>0.49248554913294795</v>
      </c>
      <c r="AR196" s="36">
        <f t="shared" si="322"/>
        <v>0.42981283422459893</v>
      </c>
      <c r="AS196" s="36">
        <f t="shared" si="322"/>
        <v>0.37909018355945728</v>
      </c>
      <c r="AT196" s="27">
        <f t="shared" si="322"/>
        <v>0.43959788720395299</v>
      </c>
      <c r="AU196" s="36">
        <f t="shared" si="322"/>
        <v>0.42889733840304184</v>
      </c>
      <c r="AV196" s="36">
        <f t="shared" si="322"/>
        <v>0.49158444573418458</v>
      </c>
      <c r="AW196" s="36">
        <f t="shared" si="322"/>
        <v>0.40634920634920635</v>
      </c>
      <c r="AX196" s="36">
        <f t="shared" si="322"/>
        <v>0.38305383936451898</v>
      </c>
      <c r="AY196" s="27">
        <f t="shared" ref="AY196" si="323">AY165/AY104</f>
        <v>0.43247476505395055</v>
      </c>
      <c r="AZ196" s="36">
        <f t="shared" si="322"/>
        <v>0.42101167315175098</v>
      </c>
      <c r="BA196" s="36">
        <f t="shared" si="322"/>
        <v>0.47657713928794504</v>
      </c>
      <c r="BB196" s="36">
        <f t="shared" si="322"/>
        <v>0.40753911806543386</v>
      </c>
      <c r="BC196" s="36">
        <f t="shared" si="322"/>
        <v>0.32916666666666666</v>
      </c>
      <c r="BD196" s="27">
        <f t="shared" si="322"/>
        <v>0.41755521706016757</v>
      </c>
      <c r="BE196" s="36">
        <f t="shared" si="322"/>
        <v>0.44696356275303645</v>
      </c>
      <c r="BF196" s="36">
        <f t="shared" ref="BF196:BG196" si="324">BF165/BF104</f>
        <v>0.48589743589743589</v>
      </c>
      <c r="BG196" s="36">
        <f t="shared" si="324"/>
        <v>0.39931506849315068</v>
      </c>
      <c r="BH196" s="36">
        <f t="shared" ref="BH196:BJ196" si="325">BH165/BH104</f>
        <v>0.31953801732435033</v>
      </c>
      <c r="BI196" s="27">
        <f t="shared" ref="BI196" si="326">BI165/BI104</f>
        <v>0.42028711749149983</v>
      </c>
      <c r="BJ196" s="36">
        <f t="shared" si="325"/>
        <v>0.44867549668874174</v>
      </c>
      <c r="BK196" s="36">
        <f t="shared" ref="BK196:BO196" si="327">BK165/BK104</f>
        <v>0.47179827471798275</v>
      </c>
      <c r="BL196" s="36">
        <f t="shared" si="327"/>
        <v>0.40083798882681565</v>
      </c>
      <c r="BM196" s="36">
        <f t="shared" si="327"/>
        <v>0.32069970845481049</v>
      </c>
      <c r="BN196" s="27">
        <f t="shared" si="327"/>
        <v>0.41673106646058733</v>
      </c>
      <c r="BO196" s="36">
        <f t="shared" si="327"/>
        <v>0.46387520525451559</v>
      </c>
      <c r="BP196" s="36">
        <f t="shared" si="311"/>
        <v>0.47679827471798275</v>
      </c>
      <c r="BQ196" s="36">
        <f t="shared" si="311"/>
        <v>0.40583798882681565</v>
      </c>
      <c r="BR196" s="36">
        <f t="shared" si="311"/>
        <v>0.3256997084548105</v>
      </c>
      <c r="BS196" s="27">
        <f>BS165/BS104</f>
        <v>0.42472842534345678</v>
      </c>
      <c r="BT196" s="36">
        <f t="shared" si="312"/>
        <v>0.4718752052545156</v>
      </c>
      <c r="BU196" s="36">
        <f t="shared" si="312"/>
        <v>0.48479827471798276</v>
      </c>
      <c r="BV196" s="36">
        <f t="shared" si="312"/>
        <v>0.41383798882681566</v>
      </c>
      <c r="BW196" s="36">
        <f t="shared" si="312"/>
        <v>0.33369970845481051</v>
      </c>
      <c r="BX196" s="27">
        <f t="shared" ref="BX196" si="328">BX165/BX104</f>
        <v>0.43271429484818125</v>
      </c>
      <c r="BY196" s="36">
        <f t="shared" si="314"/>
        <v>0.4798752052545156</v>
      </c>
      <c r="BZ196" s="36">
        <f t="shared" si="314"/>
        <v>0.49279827471798276</v>
      </c>
      <c r="CA196" s="36">
        <f t="shared" si="314"/>
        <v>0.42183798882681567</v>
      </c>
      <c r="CB196" s="36">
        <f t="shared" si="314"/>
        <v>0.34169970845481051</v>
      </c>
      <c r="CC196" s="27">
        <f t="shared" ref="CC196" si="329">CC165/CC104</f>
        <v>0.44071429484818136</v>
      </c>
      <c r="CD196" s="36">
        <f t="shared" si="316"/>
        <v>0.48787520525451561</v>
      </c>
      <c r="CE196" s="36">
        <f t="shared" si="316"/>
        <v>0.50079827471798277</v>
      </c>
      <c r="CF196" s="36">
        <f t="shared" si="316"/>
        <v>0.42983798882681568</v>
      </c>
      <c r="CG196" s="36">
        <f t="shared" si="316"/>
        <v>0.34969970845481052</v>
      </c>
      <c r="CH196" s="27">
        <f t="shared" ref="CH196" si="330">CH165/CH104</f>
        <v>0.44871429484818137</v>
      </c>
      <c r="CI196" s="36">
        <f t="shared" si="318"/>
        <v>0.49537520525451562</v>
      </c>
      <c r="CJ196" s="36">
        <f t="shared" si="318"/>
        <v>0.50829827471798272</v>
      </c>
      <c r="CK196" s="36">
        <f t="shared" si="318"/>
        <v>0.43733798882681568</v>
      </c>
      <c r="CL196" s="36">
        <f t="shared" si="318"/>
        <v>0.35719970845481053</v>
      </c>
      <c r="CM196" s="27">
        <f t="shared" ref="CM196" si="331">CM165/CM104</f>
        <v>0.45621429484818132</v>
      </c>
    </row>
    <row r="197" spans="1:91" hidden="1" outlineLevel="1" x14ac:dyDescent="0.2">
      <c r="A197" s="47" t="s">
        <v>360</v>
      </c>
      <c r="B197" s="36">
        <f t="shared" ref="B197:AG197" si="332">B166/B118</f>
        <v>-5.7291666666666664E-2</v>
      </c>
      <c r="C197" s="36">
        <f t="shared" si="332"/>
        <v>4.3159609120521171E-2</v>
      </c>
      <c r="D197" s="36">
        <f t="shared" si="332"/>
        <v>8.1595648232094288E-3</v>
      </c>
      <c r="E197" s="36">
        <f t="shared" si="332"/>
        <v>-4.1194644696189497E-2</v>
      </c>
      <c r="F197" s="27">
        <f t="shared" si="332"/>
        <v>-7.7428437353355235E-3</v>
      </c>
      <c r="G197" s="36">
        <f t="shared" si="332"/>
        <v>-1.5259409969481181E-2</v>
      </c>
      <c r="H197" s="36">
        <f t="shared" si="332"/>
        <v>6.6967644845748686E-2</v>
      </c>
      <c r="I197" s="36">
        <f t="shared" si="332"/>
        <v>4.4272663387210122E-2</v>
      </c>
      <c r="J197" s="36">
        <f t="shared" si="332"/>
        <v>-2.4464831804281346E-2</v>
      </c>
      <c r="K197" s="27">
        <f t="shared" si="332"/>
        <v>2.0820939916716241E-2</v>
      </c>
      <c r="L197" s="36">
        <f t="shared" si="332"/>
        <v>2.7835768963117608E-3</v>
      </c>
      <c r="M197" s="36">
        <f t="shared" si="332"/>
        <v>4.8252092565238797E-2</v>
      </c>
      <c r="N197" s="36">
        <f t="shared" si="332"/>
        <v>3.5714285714285712E-2</v>
      </c>
      <c r="O197" s="36">
        <f t="shared" si="332"/>
        <v>1.2464046021093002E-2</v>
      </c>
      <c r="P197" s="27">
        <f t="shared" si="332"/>
        <v>2.6420079260237782E-2</v>
      </c>
      <c r="Q197" s="36">
        <f t="shared" si="332"/>
        <v>8.2244799225931302E-3</v>
      </c>
      <c r="R197" s="36">
        <f t="shared" si="332"/>
        <v>6.3266871165644167E-2</v>
      </c>
      <c r="S197" s="36">
        <f t="shared" si="332"/>
        <v>3.4605146406388641E-2</v>
      </c>
      <c r="T197" s="36">
        <f t="shared" si="332"/>
        <v>2.5527192008879023E-2</v>
      </c>
      <c r="U197" s="27">
        <f t="shared" si="332"/>
        <v>3.5047531783300882E-2</v>
      </c>
      <c r="V197" s="36">
        <f t="shared" si="332"/>
        <v>-2.2271714922048997E-3</v>
      </c>
      <c r="W197" s="36">
        <f t="shared" si="332"/>
        <v>6.708975521305531E-2</v>
      </c>
      <c r="X197" s="36">
        <f t="shared" si="332"/>
        <v>4.641544117647059E-2</v>
      </c>
      <c r="Y197" s="36">
        <f t="shared" si="332"/>
        <v>3.7220843672456573E-2</v>
      </c>
      <c r="Z197" s="27">
        <f t="shared" si="332"/>
        <v>3.9057732210423531E-2</v>
      </c>
      <c r="AA197" s="36">
        <f t="shared" si="332"/>
        <v>1.9979508196721313E-2</v>
      </c>
      <c r="AB197" s="36">
        <f t="shared" si="332"/>
        <v>6.4572425828970326E-2</v>
      </c>
      <c r="AC197" s="36">
        <f t="shared" si="332"/>
        <v>4.2213883677298308E-2</v>
      </c>
      <c r="AD197" s="36">
        <f t="shared" si="332"/>
        <v>3.9130434782608699E-2</v>
      </c>
      <c r="AE197" s="27">
        <f t="shared" si="332"/>
        <v>4.2478091528724442E-2</v>
      </c>
      <c r="AF197" s="36">
        <f t="shared" si="332"/>
        <v>1.6949152542372881E-2</v>
      </c>
      <c r="AG197" s="36">
        <f t="shared" si="332"/>
        <v>5.2479338842975204E-2</v>
      </c>
      <c r="AH197" s="36">
        <f t="shared" ref="AH197:BD197" si="333">AH166/AH118</f>
        <v>4.1071428571428571E-2</v>
      </c>
      <c r="AI197" s="36">
        <f t="shared" si="333"/>
        <v>4.0962621607782898E-2</v>
      </c>
      <c r="AJ197" s="27">
        <f t="shared" si="333"/>
        <v>3.8936595694624161E-2</v>
      </c>
      <c r="AK197" s="36">
        <f t="shared" si="333"/>
        <v>1.4395393474088292E-2</v>
      </c>
      <c r="AL197" s="36">
        <f t="shared" si="333"/>
        <v>5.2100161550888528E-2</v>
      </c>
      <c r="AM197" s="36">
        <f t="shared" si="333"/>
        <v>2.7956003666361137E-2</v>
      </c>
      <c r="AN197" s="36">
        <f t="shared" si="333"/>
        <v>4.3583535108958835E-2</v>
      </c>
      <c r="AO197" s="27">
        <f t="shared" si="333"/>
        <v>3.519927330532531E-2</v>
      </c>
      <c r="AP197" s="36">
        <f t="shared" si="333"/>
        <v>3.3696729435084241E-2</v>
      </c>
      <c r="AQ197" s="36">
        <f t="shared" si="333"/>
        <v>6.4923354373309289E-2</v>
      </c>
      <c r="AR197" s="36">
        <f t="shared" si="333"/>
        <v>3.2578685808945337E-2</v>
      </c>
      <c r="AS197" s="36">
        <f t="shared" si="333"/>
        <v>2.3855577047066409E-2</v>
      </c>
      <c r="AT197" s="27">
        <f t="shared" si="333"/>
        <v>4.0536983416688599E-2</v>
      </c>
      <c r="AU197" s="658">
        <f t="shared" si="333"/>
        <v>9.0525045262522634E-3</v>
      </c>
      <c r="AV197" s="658">
        <f t="shared" si="333"/>
        <v>6.1214495592556317E-2</v>
      </c>
      <c r="AW197" s="658">
        <f t="shared" si="333"/>
        <v>3.2150776053215077E-2</v>
      </c>
      <c r="AX197" s="658">
        <f t="shared" si="333"/>
        <v>4.1524846834581346E-2</v>
      </c>
      <c r="AY197" s="659">
        <f t="shared" ref="AY197" si="334">AY166/AY118</f>
        <v>3.7148594377510037E-2</v>
      </c>
      <c r="AZ197" s="658">
        <f t="shared" si="333"/>
        <v>2.7027027027027029E-2</v>
      </c>
      <c r="BA197" s="658">
        <f t="shared" si="333"/>
        <v>6.8335941575378201E-2</v>
      </c>
      <c r="BB197" s="658">
        <f t="shared" si="333"/>
        <v>5.1933064050778993E-2</v>
      </c>
      <c r="BC197" s="658">
        <f t="shared" si="333"/>
        <v>6.8032187271397218E-2</v>
      </c>
      <c r="BD197" s="659">
        <f t="shared" si="333"/>
        <v>5.3726429212810539E-2</v>
      </c>
      <c r="BE197" s="699"/>
      <c r="BF197" s="699"/>
      <c r="BG197" s="699"/>
      <c r="BH197" s="699"/>
      <c r="BI197" s="659">
        <f t="shared" ref="BI197" si="335">BI166/BI118</f>
        <v>0</v>
      </c>
      <c r="BJ197" s="699"/>
      <c r="BK197" s="699"/>
      <c r="BL197" s="699"/>
      <c r="BM197" s="699"/>
      <c r="BN197" s="659">
        <f t="shared" ref="BN197" si="336">BN166/BN118</f>
        <v>0</v>
      </c>
      <c r="BO197" s="699"/>
      <c r="BP197" s="658"/>
      <c r="BQ197" s="658"/>
      <c r="BR197" s="658"/>
      <c r="BS197" s="659">
        <f t="shared" ref="BS197" si="337">BS166/BS118</f>
        <v>0</v>
      </c>
      <c r="BT197" s="658"/>
      <c r="BU197" s="658"/>
      <c r="BV197" s="658"/>
      <c r="BW197" s="658"/>
      <c r="BX197" s="659">
        <f t="shared" ref="BX197" si="338">BX166/BX118</f>
        <v>0</v>
      </c>
      <c r="BY197" s="658"/>
      <c r="BZ197" s="658"/>
      <c r="CA197" s="658"/>
      <c r="CB197" s="658"/>
      <c r="CC197" s="659">
        <f t="shared" ref="CC197" si="339">CC166/CC118</f>
        <v>0</v>
      </c>
      <c r="CD197" s="658"/>
      <c r="CE197" s="658"/>
      <c r="CF197" s="658"/>
      <c r="CG197" s="658"/>
      <c r="CH197" s="659">
        <f t="shared" ref="CH197" si="340">CH166/CH118</f>
        <v>0</v>
      </c>
      <c r="CI197" s="658"/>
      <c r="CJ197" s="658"/>
      <c r="CK197" s="658"/>
      <c r="CL197" s="658"/>
      <c r="CM197" s="659">
        <f t="shared" ref="CM197" si="341">CM166/CM118</f>
        <v>0</v>
      </c>
    </row>
    <row r="198" spans="1:91" collapsed="1" x14ac:dyDescent="0.2">
      <c r="A198" s="47" t="s">
        <v>185</v>
      </c>
      <c r="B198" s="36"/>
      <c r="C198" s="36"/>
      <c r="D198" s="36"/>
      <c r="E198" s="36"/>
      <c r="F198" s="27"/>
      <c r="G198" s="36"/>
      <c r="H198" s="36"/>
      <c r="I198" s="36"/>
      <c r="J198" s="36"/>
      <c r="K198" s="27"/>
      <c r="L198" s="36"/>
      <c r="M198" s="36"/>
      <c r="N198" s="36"/>
      <c r="O198" s="36"/>
      <c r="P198" s="27"/>
      <c r="Q198" s="36"/>
      <c r="R198" s="36"/>
      <c r="S198" s="36"/>
      <c r="T198" s="36"/>
      <c r="U198" s="27"/>
      <c r="V198" s="36"/>
      <c r="W198" s="36"/>
      <c r="X198" s="36"/>
      <c r="Y198" s="36"/>
      <c r="Z198" s="27"/>
      <c r="AA198" s="36"/>
      <c r="AB198" s="36"/>
      <c r="AC198" s="36"/>
      <c r="AD198" s="36"/>
      <c r="AE198" s="27"/>
      <c r="AF198" s="36"/>
      <c r="AG198" s="36"/>
      <c r="AH198" s="36"/>
      <c r="AI198" s="36"/>
      <c r="AJ198" s="27"/>
      <c r="AK198" s="36"/>
      <c r="AL198" s="36"/>
      <c r="AM198" s="36"/>
      <c r="AN198" s="36"/>
      <c r="AO198" s="27"/>
      <c r="AP198" s="36"/>
      <c r="AQ198" s="36"/>
      <c r="AR198" s="36"/>
      <c r="AS198" s="36"/>
      <c r="AT198" s="27">
        <f t="shared" ref="AT198:BD198" si="342">AT167/AT125</f>
        <v>2.8906250000000001E-2</v>
      </c>
      <c r="AU198" s="36">
        <f t="shared" si="342"/>
        <v>1.3028103480364787E-3</v>
      </c>
      <c r="AV198" s="36">
        <f t="shared" si="342"/>
        <v>4.8957528957528959E-2</v>
      </c>
      <c r="AW198" s="36">
        <f t="shared" si="342"/>
        <v>3.7888601036269433E-2</v>
      </c>
      <c r="AX198" s="36">
        <f t="shared" si="342"/>
        <v>2.043717789230496E-2</v>
      </c>
      <c r="AY198" s="27">
        <f t="shared" ref="AY198" si="343">AY167/AY125</f>
        <v>2.8455456428903639E-2</v>
      </c>
      <c r="AZ198" s="36">
        <f t="shared" si="342"/>
        <v>8.3167600795516182E-3</v>
      </c>
      <c r="BA198" s="36">
        <f t="shared" si="342"/>
        <v>4.6202036021926393E-2</v>
      </c>
      <c r="BB198" s="36">
        <f t="shared" si="342"/>
        <v>4.7579018157363817E-2</v>
      </c>
      <c r="BC198" s="36">
        <f t="shared" si="342"/>
        <v>1.7118676668590113E-2</v>
      </c>
      <c r="BD198" s="27">
        <f t="shared" si="342"/>
        <v>3.0915318909075142E-2</v>
      </c>
      <c r="BE198" s="36">
        <f>BE167/BE125</f>
        <v>1.984126984126984E-2</v>
      </c>
      <c r="BF198" s="36">
        <f>BF167/BF125</f>
        <v>4.8263579697239538E-2</v>
      </c>
      <c r="BG198" s="36">
        <f>BG167/BG125</f>
        <v>4.2148760330578509E-2</v>
      </c>
      <c r="BH198" s="36">
        <f>BH167/BH125</f>
        <v>1.2566457225712905E-2</v>
      </c>
      <c r="BI198" s="27">
        <f t="shared" ref="BI198" si="344">BI167/BI125</f>
        <v>3.178275081719889E-2</v>
      </c>
      <c r="BJ198" s="36">
        <f>BJ167/BJ125</f>
        <v>1.251303441084463E-2</v>
      </c>
      <c r="BK198" s="36">
        <f>BK167/BK125</f>
        <v>2.9352901934623081E-2</v>
      </c>
      <c r="BL198" s="36">
        <f>BL167/BL125</f>
        <v>5.016722408026756E-3</v>
      </c>
      <c r="BM198" s="36">
        <f>BM167/BM125</f>
        <v>-8.9141004862236632E-3</v>
      </c>
      <c r="BN198" s="27">
        <f t="shared" ref="BN198" si="345">BN167/BN125</f>
        <v>1.3097514340344169E-2</v>
      </c>
      <c r="BO198" s="36">
        <f>BO167/BO125</f>
        <v>-9.5147478591817315E-3</v>
      </c>
      <c r="BP198" s="36">
        <f t="shared" ref="BP198:BR199" si="346">BK198+BP211/10000</f>
        <v>-5.6470980653769223E-3</v>
      </c>
      <c r="BQ198" s="36">
        <f t="shared" si="346"/>
        <v>-4.9832775919732442E-3</v>
      </c>
      <c r="BR198" s="36">
        <f t="shared" si="346"/>
        <v>-9.9141004862236641E-3</v>
      </c>
      <c r="BS198" s="27">
        <f>BS167/BS125</f>
        <v>-7.3220869024353931E-3</v>
      </c>
      <c r="BT198" s="36">
        <f t="shared" ref="BT198:BW199" si="347">BO198+BT211/10000</f>
        <v>-1.5147478591817313E-3</v>
      </c>
      <c r="BU198" s="36">
        <f t="shared" si="347"/>
        <v>2.3529019346230778E-3</v>
      </c>
      <c r="BV198" s="36">
        <f t="shared" si="347"/>
        <v>3.0167224080267559E-3</v>
      </c>
      <c r="BW198" s="36">
        <f t="shared" si="347"/>
        <v>-1.9141004862236639E-3</v>
      </c>
      <c r="BX198" s="27">
        <f t="shared" ref="BX198" si="348">BX167/BX125</f>
        <v>6.7849479338339769E-4</v>
      </c>
      <c r="BY198" s="36">
        <f t="shared" ref="BY198:CB199" si="349">BT198+BY211/10000</f>
        <v>6.4852521408182689E-3</v>
      </c>
      <c r="BZ198" s="36">
        <f t="shared" si="349"/>
        <v>1.0352901934623078E-2</v>
      </c>
      <c r="CA198" s="36">
        <f t="shared" si="349"/>
        <v>1.1016722408026756E-2</v>
      </c>
      <c r="CB198" s="36">
        <f t="shared" si="349"/>
        <v>6.0858995137763362E-3</v>
      </c>
      <c r="CC198" s="27">
        <f t="shared" ref="CC198" si="350">CC167/CC125</f>
        <v>8.678494793383399E-3</v>
      </c>
      <c r="CD198" s="36">
        <f t="shared" ref="CD198:CG199" si="351">BY198+CD211/10000</f>
        <v>1.4485252140818269E-2</v>
      </c>
      <c r="CE198" s="36">
        <f t="shared" si="351"/>
        <v>1.8352901934623078E-2</v>
      </c>
      <c r="CF198" s="36">
        <f t="shared" si="351"/>
        <v>1.9016722408026758E-2</v>
      </c>
      <c r="CG198" s="36">
        <f t="shared" si="351"/>
        <v>1.4085899513776336E-2</v>
      </c>
      <c r="CH198" s="27">
        <f t="shared" ref="CH198" si="352">CH167/CH125</f>
        <v>1.6678494793383399E-2</v>
      </c>
      <c r="CI198" s="36">
        <f t="shared" ref="CI198:CL199" si="353">CD198+CI211/10000</f>
        <v>2.1985252140818271E-2</v>
      </c>
      <c r="CJ198" s="36">
        <f t="shared" si="353"/>
        <v>2.5852901934623078E-2</v>
      </c>
      <c r="CK198" s="36">
        <f t="shared" si="353"/>
        <v>2.6516722408026758E-2</v>
      </c>
      <c r="CL198" s="36">
        <f t="shared" si="353"/>
        <v>2.1585899513776336E-2</v>
      </c>
      <c r="CM198" s="27">
        <f t="shared" ref="CM198" si="354">CM167/CM125</f>
        <v>2.4178494793383395E-2</v>
      </c>
    </row>
    <row r="199" spans="1:91" x14ac:dyDescent="0.2">
      <c r="A199" s="47" t="s">
        <v>202</v>
      </c>
      <c r="B199" s="36">
        <f t="shared" ref="B199:AG199" si="355">-B168/B7</f>
        <v>4.8597771801767192E-2</v>
      </c>
      <c r="C199" s="36">
        <f t="shared" si="355"/>
        <v>4.5483359746434235E-2</v>
      </c>
      <c r="D199" s="36">
        <f t="shared" si="355"/>
        <v>4.4227265197946002E-2</v>
      </c>
      <c r="E199" s="36">
        <f t="shared" si="355"/>
        <v>8.2687803999279413E-2</v>
      </c>
      <c r="F199" s="27">
        <f t="shared" si="355"/>
        <v>5.4795706371191133E-2</v>
      </c>
      <c r="G199" s="36">
        <f t="shared" si="355"/>
        <v>5.1664753157290473E-2</v>
      </c>
      <c r="H199" s="36">
        <f t="shared" si="355"/>
        <v>4.3082149474984559E-2</v>
      </c>
      <c r="I199" s="36">
        <f t="shared" si="355"/>
        <v>4.9581654787728538E-2</v>
      </c>
      <c r="J199" s="36">
        <f t="shared" si="355"/>
        <v>7.8219824679703301E-2</v>
      </c>
      <c r="K199" s="27">
        <f t="shared" si="355"/>
        <v>5.5338757887744935E-2</v>
      </c>
      <c r="L199" s="36">
        <f t="shared" si="355"/>
        <v>5.0139275766016712E-2</v>
      </c>
      <c r="M199" s="36">
        <f t="shared" si="355"/>
        <v>3.8148196042932882E-2</v>
      </c>
      <c r="N199" s="36">
        <f t="shared" si="355"/>
        <v>4.317295188556567E-2</v>
      </c>
      <c r="O199" s="36">
        <f t="shared" si="355"/>
        <v>5.9064247715182101E-2</v>
      </c>
      <c r="P199" s="27">
        <f t="shared" si="355"/>
        <v>4.7336868004297053E-2</v>
      </c>
      <c r="Q199" s="36">
        <f t="shared" si="355"/>
        <v>3.3473370375389618E-2</v>
      </c>
      <c r="R199" s="36">
        <f t="shared" si="355"/>
        <v>2.841034711474685E-2</v>
      </c>
      <c r="S199" s="36">
        <f t="shared" si="355"/>
        <v>3.2050518289050402E-2</v>
      </c>
      <c r="T199" s="36">
        <f t="shared" si="355"/>
        <v>4.9396575919169239E-2</v>
      </c>
      <c r="U199" s="27">
        <f t="shared" si="355"/>
        <v>3.5217881292261458E-2</v>
      </c>
      <c r="V199" s="36">
        <f t="shared" si="355"/>
        <v>3.947551959827033E-2</v>
      </c>
      <c r="W199" s="36">
        <f t="shared" si="355"/>
        <v>3.326478771017298E-2</v>
      </c>
      <c r="X199" s="36">
        <f t="shared" si="355"/>
        <v>3.704624564893088E-2</v>
      </c>
      <c r="Y199" s="36">
        <f t="shared" si="355"/>
        <v>4.6205059920106525E-2</v>
      </c>
      <c r="Z199" s="27">
        <f t="shared" si="355"/>
        <v>3.8818973862536299E-2</v>
      </c>
      <c r="AA199" s="36">
        <f t="shared" si="355"/>
        <v>3.5348837209302326E-2</v>
      </c>
      <c r="AB199" s="36">
        <f t="shared" si="355"/>
        <v>2.7784182614710631E-2</v>
      </c>
      <c r="AC199" s="36">
        <f t="shared" si="355"/>
        <v>3.9639211962971752E-2</v>
      </c>
      <c r="AD199" s="36">
        <f t="shared" si="355"/>
        <v>3.5353535353535352E-2</v>
      </c>
      <c r="AE199" s="27">
        <f t="shared" si="355"/>
        <v>3.4511233235570489E-2</v>
      </c>
      <c r="AF199" s="36">
        <f t="shared" si="355"/>
        <v>2.8923660502607872E-2</v>
      </c>
      <c r="AG199" s="36">
        <f t="shared" si="355"/>
        <v>2.5202166915286175E-2</v>
      </c>
      <c r="AH199" s="36">
        <f t="shared" ref="AH199:BF199" si="356">-AH168/AH7</f>
        <v>3.0874785591766724E-2</v>
      </c>
      <c r="AI199" s="36">
        <f t="shared" si="356"/>
        <v>3.3514492753623192E-2</v>
      </c>
      <c r="AJ199" s="27">
        <f t="shared" si="356"/>
        <v>2.9507140556211748E-2</v>
      </c>
      <c r="AK199" s="36">
        <f t="shared" si="356"/>
        <v>2.5051629702792493E-2</v>
      </c>
      <c r="AL199" s="36">
        <f t="shared" si="356"/>
        <v>2.2852338734332008E-2</v>
      </c>
      <c r="AM199" s="36">
        <f t="shared" si="356"/>
        <v>2.9488010369410241E-2</v>
      </c>
      <c r="AN199" s="36">
        <f t="shared" si="356"/>
        <v>3.5355739851593189E-2</v>
      </c>
      <c r="AO199" s="27">
        <f t="shared" si="356"/>
        <v>2.8050812161599332E-2</v>
      </c>
      <c r="AP199" s="36">
        <f t="shared" si="356"/>
        <v>2.6098776619845946E-2</v>
      </c>
      <c r="AQ199" s="36">
        <f t="shared" ca="1" si="356"/>
        <v>2.3923444976076555E-2</v>
      </c>
      <c r="AR199" s="36">
        <f t="shared" ca="1" si="356"/>
        <v>3.1837073981712385E-2</v>
      </c>
      <c r="AS199" s="36">
        <f t="shared" si="356"/>
        <v>3.1521739130434781E-2</v>
      </c>
      <c r="AT199" s="27">
        <f t="shared" ca="1" si="356"/>
        <v>2.8257992914158876E-2</v>
      </c>
      <c r="AU199" s="36">
        <f t="shared" si="356"/>
        <v>2.4583963691376703E-2</v>
      </c>
      <c r="AV199" s="36">
        <f t="shared" si="356"/>
        <v>2.4415460473993955E-2</v>
      </c>
      <c r="AW199" s="36">
        <f t="shared" si="356"/>
        <v>2.9392117568470273E-2</v>
      </c>
      <c r="AX199" s="36">
        <f t="shared" si="356"/>
        <v>3.164091243561442E-2</v>
      </c>
      <c r="AY199" s="27">
        <f t="shared" si="356"/>
        <v>2.7457715552850124E-2</v>
      </c>
      <c r="AZ199" s="36">
        <f t="shared" si="356"/>
        <v>2.3620576976939596E-2</v>
      </c>
      <c r="BA199" s="36">
        <f t="shared" si="356"/>
        <v>2.3938795656465943E-2</v>
      </c>
      <c r="BB199" s="36">
        <f t="shared" si="356"/>
        <v>2.4328345147457776E-2</v>
      </c>
      <c r="BC199" s="36">
        <f t="shared" si="356"/>
        <v>3.0499999999999999E-2</v>
      </c>
      <c r="BD199" s="27">
        <f t="shared" si="356"/>
        <v>2.5443626676299274E-2</v>
      </c>
      <c r="BE199" s="36">
        <f t="shared" si="356"/>
        <v>2.5075031464807822E-2</v>
      </c>
      <c r="BF199" s="36">
        <f t="shared" si="356"/>
        <v>2.4557445331482124E-2</v>
      </c>
      <c r="BG199" s="36">
        <f t="shared" ref="BG199:BH199" si="357">-BG168/BG7</f>
        <v>4.0466779597214377E-2</v>
      </c>
      <c r="BH199" s="36">
        <f t="shared" si="357"/>
        <v>3.5093333333333331E-2</v>
      </c>
      <c r="BI199" s="27">
        <f>-BI168/BI7</f>
        <v>3.1084245233430497E-2</v>
      </c>
      <c r="BJ199" s="36">
        <f t="shared" ref="BJ199:BK199" si="358">-BJ168/BJ7</f>
        <v>3.3340644878262778E-2</v>
      </c>
      <c r="BK199" s="36">
        <f t="shared" si="358"/>
        <v>3.3910533910533912E-2</v>
      </c>
      <c r="BL199" s="36">
        <f t="shared" ref="BL199:BM199" si="359">-BL168/BL7</f>
        <v>3.8224278475435115E-2</v>
      </c>
      <c r="BM199" s="36">
        <f t="shared" si="359"/>
        <v>6.2650602409638559E-2</v>
      </c>
      <c r="BN199" s="27">
        <f>-BN168/BN7</f>
        <v>4.0940963582899795E-2</v>
      </c>
      <c r="BO199" s="36">
        <f t="shared" ref="BO199" si="360">-BO168/BO7</f>
        <v>3.5676810073452254E-2</v>
      </c>
      <c r="BP199" s="36">
        <f t="shared" si="346"/>
        <v>3.991053391053391E-2</v>
      </c>
      <c r="BQ199" s="36">
        <f t="shared" si="346"/>
        <v>4.2224278475435112E-2</v>
      </c>
      <c r="BR199" s="36">
        <f t="shared" si="346"/>
        <v>6.6650602409638562E-2</v>
      </c>
      <c r="BS199" s="27">
        <f>-BS168/BS7</f>
        <v>4.5625058170348398E-2</v>
      </c>
      <c r="BT199" s="36">
        <f t="shared" si="347"/>
        <v>3.6176810073452255E-2</v>
      </c>
      <c r="BU199" s="36">
        <f t="shared" si="347"/>
        <v>4.0410533910533911E-2</v>
      </c>
      <c r="BV199" s="36">
        <f t="shared" si="347"/>
        <v>4.2724278475435112E-2</v>
      </c>
      <c r="BW199" s="36">
        <f t="shared" si="347"/>
        <v>6.7150602409638563E-2</v>
      </c>
      <c r="BX199" s="27">
        <f>-BX168/BX7</f>
        <v>4.6146665714319239E-2</v>
      </c>
      <c r="BY199" s="36">
        <f t="shared" si="349"/>
        <v>3.6676810073452255E-2</v>
      </c>
      <c r="BZ199" s="36">
        <f t="shared" si="349"/>
        <v>4.0910533910533911E-2</v>
      </c>
      <c r="CA199" s="36">
        <f t="shared" si="349"/>
        <v>4.3224278475435113E-2</v>
      </c>
      <c r="CB199" s="36">
        <f t="shared" si="349"/>
        <v>6.7650602409638563E-2</v>
      </c>
      <c r="CC199" s="27">
        <f>-CC168/CC7</f>
        <v>4.6659198411818856E-2</v>
      </c>
      <c r="CD199" s="36">
        <f t="shared" si="351"/>
        <v>3.7176810073452256E-2</v>
      </c>
      <c r="CE199" s="36">
        <f t="shared" si="351"/>
        <v>4.1410533910533912E-2</v>
      </c>
      <c r="CF199" s="36">
        <f t="shared" si="351"/>
        <v>4.3724278475435113E-2</v>
      </c>
      <c r="CG199" s="36">
        <f t="shared" si="351"/>
        <v>6.8150602409638564E-2</v>
      </c>
      <c r="CH199" s="27">
        <f>-CH168/CH7</f>
        <v>4.7173483363169851E-2</v>
      </c>
      <c r="CI199" s="36">
        <f t="shared" si="353"/>
        <v>3.7676810073452256E-2</v>
      </c>
      <c r="CJ199" s="36">
        <f t="shared" si="353"/>
        <v>4.1910533910533912E-2</v>
      </c>
      <c r="CK199" s="36">
        <f t="shared" si="353"/>
        <v>4.4224278475435114E-2</v>
      </c>
      <c r="CL199" s="36">
        <f t="shared" si="353"/>
        <v>6.8650602409638564E-2</v>
      </c>
      <c r="CM199" s="27">
        <f>-CM168/CM7</f>
        <v>4.7684985052504833E-2</v>
      </c>
    </row>
    <row r="200" spans="1:91" x14ac:dyDescent="0.2">
      <c r="A200" s="71" t="s">
        <v>198</v>
      </c>
      <c r="B200" s="37">
        <f t="shared" ref="B200:AG200" si="361">B169/B7</f>
        <v>0.27064925086438724</v>
      </c>
      <c r="C200" s="37">
        <f t="shared" si="361"/>
        <v>0.30586370839936611</v>
      </c>
      <c r="D200" s="37">
        <f t="shared" si="361"/>
        <v>0.26188504223952297</v>
      </c>
      <c r="E200" s="37">
        <f t="shared" si="361"/>
        <v>0.22644568546207891</v>
      </c>
      <c r="F200" s="89">
        <f t="shared" si="361"/>
        <v>0.26735630193905818</v>
      </c>
      <c r="G200" s="37">
        <f t="shared" si="361"/>
        <v>0.27554535017221582</v>
      </c>
      <c r="H200" s="37">
        <f t="shared" si="361"/>
        <v>0.31964175416924029</v>
      </c>
      <c r="I200" s="37">
        <f t="shared" si="361"/>
        <v>0.2635574837310195</v>
      </c>
      <c r="J200" s="37">
        <f t="shared" si="361"/>
        <v>0.23364801078894135</v>
      </c>
      <c r="K200" s="89">
        <f t="shared" si="361"/>
        <v>0.27387080704085021</v>
      </c>
      <c r="L200" s="37">
        <f t="shared" si="361"/>
        <v>0.26822873996395213</v>
      </c>
      <c r="M200" s="37">
        <f t="shared" si="361"/>
        <v>0.29975429975429974</v>
      </c>
      <c r="N200" s="37">
        <f t="shared" si="361"/>
        <v>0.24863459037711313</v>
      </c>
      <c r="O200" s="37">
        <f t="shared" si="361"/>
        <v>0.22534442777247307</v>
      </c>
      <c r="P200" s="89">
        <f t="shared" si="361"/>
        <v>0.26056069584502894</v>
      </c>
      <c r="Q200" s="37">
        <f t="shared" si="361"/>
        <v>0.26453448976826127</v>
      </c>
      <c r="R200" s="37">
        <f t="shared" si="361"/>
        <v>0.30831306654875085</v>
      </c>
      <c r="S200" s="37">
        <f t="shared" si="361"/>
        <v>0.26617419277969739</v>
      </c>
      <c r="T200" s="37">
        <f t="shared" si="361"/>
        <v>0.25456076340162787</v>
      </c>
      <c r="U200" s="89">
        <f t="shared" si="361"/>
        <v>0.27513774104683197</v>
      </c>
      <c r="V200" s="37">
        <f t="shared" si="361"/>
        <v>0.27270191100571906</v>
      </c>
      <c r="W200" s="37">
        <f t="shared" si="361"/>
        <v>0.30361678964557881</v>
      </c>
      <c r="X200" s="37">
        <f t="shared" si="361"/>
        <v>0.27324714072600698</v>
      </c>
      <c r="Y200" s="37">
        <f t="shared" si="361"/>
        <v>0.2504660452729694</v>
      </c>
      <c r="Z200" s="89">
        <f t="shared" si="361"/>
        <v>0.27570183930300096</v>
      </c>
      <c r="AA200" s="37">
        <f t="shared" si="361"/>
        <v>0.30285714285714288</v>
      </c>
      <c r="AB200" s="37">
        <f t="shared" si="361"/>
        <v>0.32753055107216972</v>
      </c>
      <c r="AC200" s="37">
        <f t="shared" si="361"/>
        <v>0.29005459292665559</v>
      </c>
      <c r="AD200" s="37">
        <f t="shared" si="361"/>
        <v>0.19201448446731464</v>
      </c>
      <c r="AE200" s="89">
        <f t="shared" si="361"/>
        <v>0.27275833594350635</v>
      </c>
      <c r="AF200" s="37">
        <f t="shared" si="361"/>
        <v>0.23736367946894263</v>
      </c>
      <c r="AG200" s="37">
        <f t="shared" si="361"/>
        <v>0.26309177985396875</v>
      </c>
      <c r="AH200" s="37">
        <f t="shared" ref="AH200:BK200" si="362">AH169/AH7</f>
        <v>0.24193416646246835</v>
      </c>
      <c r="AI200" s="37">
        <f t="shared" si="362"/>
        <v>0.2023550724637681</v>
      </c>
      <c r="AJ200" s="89">
        <f t="shared" si="362"/>
        <v>0.23730269515730698</v>
      </c>
      <c r="AK200" s="37">
        <f t="shared" si="362"/>
        <v>0.23022357906078836</v>
      </c>
      <c r="AL200" s="37">
        <f t="shared" si="362"/>
        <v>0.2608529501681443</v>
      </c>
      <c r="AM200" s="37">
        <f t="shared" si="362"/>
        <v>0.22602073882047957</v>
      </c>
      <c r="AN200" s="37">
        <f t="shared" si="362"/>
        <v>0.2167612396333479</v>
      </c>
      <c r="AO200" s="89">
        <f t="shared" si="362"/>
        <v>0.23427738442315701</v>
      </c>
      <c r="AP200" s="37">
        <f t="shared" si="362"/>
        <v>0.23661078386950612</v>
      </c>
      <c r="AQ200" s="37">
        <f t="shared" ca="1" si="362"/>
        <v>0.26809945878108088</v>
      </c>
      <c r="AR200" s="37">
        <f t="shared" ca="1" si="362"/>
        <v>0.23674147963424771</v>
      </c>
      <c r="AS200" s="37">
        <f t="shared" si="362"/>
        <v>0.21585144927536232</v>
      </c>
      <c r="AT200" s="89">
        <f t="shared" ca="1" si="362"/>
        <v>0.24032099714005209</v>
      </c>
      <c r="AU200" s="37">
        <f t="shared" si="362"/>
        <v>0.23250756429652042</v>
      </c>
      <c r="AV200" s="37">
        <f t="shared" si="362"/>
        <v>0.26451407666613647</v>
      </c>
      <c r="AW200" s="37">
        <f t="shared" si="362"/>
        <v>0.23714094856379425</v>
      </c>
      <c r="AX200" s="37">
        <f t="shared" si="362"/>
        <v>0.21422001471670346</v>
      </c>
      <c r="AY200" s="89">
        <f t="shared" si="362"/>
        <v>0.23814078872994479</v>
      </c>
      <c r="AZ200" s="37">
        <f t="shared" si="362"/>
        <v>0.23415180655400988</v>
      </c>
      <c r="BA200" s="37">
        <f t="shared" si="362"/>
        <v>0.25946034879894703</v>
      </c>
      <c r="BB200" s="37">
        <f t="shared" si="362"/>
        <v>0.23672004900673843</v>
      </c>
      <c r="BC200" s="37">
        <f t="shared" si="362"/>
        <v>0.2006</v>
      </c>
      <c r="BD200" s="89">
        <f t="shared" si="362"/>
        <v>0.23418521695940758</v>
      </c>
      <c r="BE200" s="37">
        <f t="shared" si="362"/>
        <v>0.23690579920611871</v>
      </c>
      <c r="BF200" s="37">
        <f t="shared" si="362"/>
        <v>0.2646650468587296</v>
      </c>
      <c r="BG200" s="37">
        <f t="shared" ref="BG200:BH200" si="363">BG169/BG7</f>
        <v>0.23357801618671184</v>
      </c>
      <c r="BH200" s="37">
        <f t="shared" si="363"/>
        <v>0.21109333333333333</v>
      </c>
      <c r="BI200" s="89">
        <f t="shared" si="362"/>
        <v>0.23792230133320591</v>
      </c>
      <c r="BJ200" s="37">
        <f t="shared" si="362"/>
        <v>0.24698398771660451</v>
      </c>
      <c r="BK200" s="37">
        <f t="shared" si="362"/>
        <v>0.29880437023294165</v>
      </c>
      <c r="BL200" s="37">
        <f t="shared" ref="BL200:BO200" si="364">BL169/BL7</f>
        <v>0.26911213923771754</v>
      </c>
      <c r="BM200" s="37">
        <f t="shared" si="364"/>
        <v>0.26050870147255689</v>
      </c>
      <c r="BN200" s="89">
        <f t="shared" si="364"/>
        <v>0.26973535399230941</v>
      </c>
      <c r="BO200" s="37">
        <f t="shared" si="364"/>
        <v>0.30653200419727178</v>
      </c>
      <c r="BP200" s="37">
        <f t="shared" ref="BP200:CM200" si="365">BP169/BP7</f>
        <v>0.33042490670327551</v>
      </c>
      <c r="BQ200" s="37">
        <f t="shared" si="365"/>
        <v>0.31844400115275229</v>
      </c>
      <c r="BR200" s="37">
        <f t="shared" si="365"/>
        <v>0.29631697173143157</v>
      </c>
      <c r="BS200" s="89">
        <f t="shared" si="365"/>
        <v>0.31381002373338712</v>
      </c>
      <c r="BT200" s="37">
        <f t="shared" si="365"/>
        <v>0.31625562477693975</v>
      </c>
      <c r="BU200" s="37">
        <f t="shared" si="365"/>
        <v>0.34010449437230494</v>
      </c>
      <c r="BV200" s="37">
        <f t="shared" si="365"/>
        <v>0.32819181582657259</v>
      </c>
      <c r="BW200" s="37">
        <f t="shared" si="365"/>
        <v>0.30603240673177856</v>
      </c>
      <c r="BX200" s="89">
        <f t="shared" si="365"/>
        <v>0.323520518755741</v>
      </c>
      <c r="BY200" s="37">
        <f t="shared" si="365"/>
        <v>0.32648466900359702</v>
      </c>
      <c r="BZ200" s="37">
        <f t="shared" si="365"/>
        <v>0.34971734378589869</v>
      </c>
      <c r="CA200" s="37">
        <f t="shared" si="365"/>
        <v>0.33786500829073757</v>
      </c>
      <c r="CB200" s="37">
        <f t="shared" si="365"/>
        <v>0.31566395693358296</v>
      </c>
      <c r="CC200" s="89">
        <f t="shared" si="365"/>
        <v>0.33328835208668373</v>
      </c>
      <c r="CD200" s="37">
        <f t="shared" si="365"/>
        <v>0.33681913169689609</v>
      </c>
      <c r="CE200" s="37">
        <f t="shared" si="365"/>
        <v>0.35942838278475947</v>
      </c>
      <c r="CF200" s="37">
        <f t="shared" si="365"/>
        <v>0.34753915967766058</v>
      </c>
      <c r="CG200" s="37">
        <f t="shared" si="365"/>
        <v>0.32522218622552085</v>
      </c>
      <c r="CH200" s="89">
        <f t="shared" si="365"/>
        <v>0.34309062790807654</v>
      </c>
      <c r="CI200" s="37">
        <f t="shared" si="365"/>
        <v>0.34619627953199883</v>
      </c>
      <c r="CJ200" s="37">
        <f t="shared" si="365"/>
        <v>0.36829210885994917</v>
      </c>
      <c r="CK200" s="37">
        <f t="shared" si="365"/>
        <v>0.3563290132807409</v>
      </c>
      <c r="CL200" s="37">
        <f t="shared" si="365"/>
        <v>0.33387532533205805</v>
      </c>
      <c r="CM200" s="89">
        <f t="shared" si="365"/>
        <v>0.35199890816366841</v>
      </c>
    </row>
    <row r="201" spans="1:91" x14ac:dyDescent="0.2">
      <c r="A201" s="52"/>
      <c r="B201" s="56"/>
      <c r="C201" s="56"/>
      <c r="D201" s="56"/>
      <c r="E201" s="117"/>
      <c r="F201" s="111"/>
      <c r="G201" s="56"/>
      <c r="H201" s="56"/>
      <c r="I201" s="56"/>
      <c r="J201" s="117"/>
      <c r="K201" s="139"/>
      <c r="L201" s="56"/>
      <c r="M201" s="56"/>
      <c r="N201" s="56"/>
      <c r="O201" s="117"/>
      <c r="P201" s="139"/>
      <c r="Q201" s="56"/>
      <c r="R201" s="56"/>
      <c r="S201" s="56"/>
      <c r="T201" s="117"/>
      <c r="U201" s="139"/>
      <c r="V201" s="56"/>
      <c r="W201" s="56"/>
      <c r="X201" s="56"/>
      <c r="Y201" s="117"/>
      <c r="Z201" s="139"/>
      <c r="AA201" s="145"/>
      <c r="AB201" s="56"/>
      <c r="AC201" s="56"/>
      <c r="AD201" s="117"/>
      <c r="AE201" s="111"/>
      <c r="AF201" s="50"/>
      <c r="AG201" s="160"/>
      <c r="AH201" s="160"/>
      <c r="AI201" s="160"/>
      <c r="AJ201" s="161"/>
      <c r="AK201" s="170"/>
      <c r="AL201" s="170"/>
      <c r="AM201" s="170"/>
      <c r="AN201" s="170"/>
      <c r="AO201" s="169"/>
      <c r="AP201" s="160"/>
      <c r="AQ201" s="160"/>
      <c r="AR201" s="160"/>
      <c r="AS201" s="170"/>
      <c r="AT201" s="169"/>
      <c r="AU201" s="56"/>
      <c r="AV201" s="56"/>
      <c r="AW201" s="56"/>
      <c r="AX201" s="117"/>
      <c r="AY201" s="169"/>
      <c r="AZ201" s="117"/>
      <c r="BA201" s="56"/>
      <c r="BB201" s="554"/>
      <c r="BC201" s="555"/>
      <c r="BD201" s="556"/>
      <c r="BE201" s="554"/>
      <c r="BF201" s="554"/>
      <c r="BG201" s="554"/>
      <c r="BH201" s="554"/>
      <c r="BI201" s="556"/>
      <c r="BJ201" s="56"/>
      <c r="BK201" s="56"/>
      <c r="BL201" s="56"/>
      <c r="BM201" s="117"/>
      <c r="BN201" s="556"/>
      <c r="BO201" s="56"/>
      <c r="BP201" s="56"/>
      <c r="BQ201" s="56"/>
      <c r="BR201" s="117"/>
      <c r="BS201" s="556"/>
      <c r="BT201" s="56"/>
      <c r="BU201" s="56"/>
      <c r="BV201" s="56"/>
      <c r="BW201" s="117"/>
      <c r="BX201" s="556"/>
      <c r="BY201" s="56"/>
      <c r="BZ201" s="56"/>
      <c r="CA201" s="56"/>
      <c r="CB201" s="117"/>
      <c r="CC201" s="556"/>
      <c r="CD201" s="56"/>
      <c r="CE201" s="56"/>
      <c r="CF201" s="56"/>
      <c r="CG201" s="117"/>
      <c r="CH201" s="556"/>
      <c r="CI201" s="56"/>
      <c r="CJ201" s="56"/>
      <c r="CK201" s="56"/>
      <c r="CL201" s="117"/>
      <c r="CM201" s="111"/>
    </row>
    <row r="202" spans="1:91" x14ac:dyDescent="0.2">
      <c r="A202" s="52" t="s">
        <v>200</v>
      </c>
      <c r="B202" s="73"/>
      <c r="C202" s="73"/>
      <c r="D202" s="73"/>
      <c r="E202" s="46"/>
      <c r="F202" s="93"/>
      <c r="G202" s="36"/>
      <c r="H202" s="36"/>
      <c r="I202" s="36"/>
      <c r="J202" s="36"/>
      <c r="K202" s="93"/>
      <c r="L202" s="73"/>
      <c r="M202" s="73"/>
      <c r="N202" s="38"/>
      <c r="O202" s="38"/>
      <c r="P202" s="93"/>
      <c r="Q202" s="38"/>
      <c r="R202" s="38"/>
      <c r="S202" s="73"/>
      <c r="T202" s="73"/>
      <c r="U202" s="88"/>
      <c r="V202" s="38"/>
      <c r="W202" s="73"/>
      <c r="X202" s="73"/>
      <c r="Y202" s="73"/>
      <c r="Z202" s="88"/>
      <c r="AA202" s="38"/>
      <c r="AB202" s="73"/>
      <c r="AC202" s="73"/>
      <c r="AD202" s="137"/>
      <c r="AE202" s="88"/>
      <c r="AF202" s="153"/>
      <c r="AG202" s="73"/>
      <c r="AH202" s="73"/>
      <c r="AI202" s="73"/>
      <c r="AJ202" s="158"/>
      <c r="AK202" s="170"/>
      <c r="AL202" s="170"/>
      <c r="AM202" s="170"/>
      <c r="AN202" s="170"/>
      <c r="AO202" s="169"/>
      <c r="AP202" s="38"/>
      <c r="AQ202" s="73"/>
      <c r="AR202" s="73"/>
      <c r="AS202" s="170"/>
      <c r="AT202" s="169"/>
      <c r="AU202" s="38"/>
      <c r="AV202" s="73"/>
      <c r="AW202" s="199"/>
      <c r="AX202" s="198"/>
      <c r="AY202" s="169"/>
      <c r="AZ202" s="198"/>
      <c r="BA202" s="73"/>
      <c r="BB202" s="73"/>
      <c r="BC202" s="73"/>
      <c r="BD202" s="88"/>
      <c r="BE202" s="38"/>
      <c r="BF202" s="38"/>
      <c r="BG202" s="38"/>
      <c r="BH202" s="73"/>
      <c r="BI202" s="88"/>
      <c r="BJ202" s="38"/>
      <c r="BK202" s="73"/>
      <c r="BL202" s="73"/>
      <c r="BM202" s="73"/>
      <c r="BN202" s="88"/>
      <c r="BO202" s="38"/>
      <c r="BP202" s="73"/>
      <c r="BQ202" s="73"/>
      <c r="BR202" s="73"/>
      <c r="BS202" s="88"/>
      <c r="BT202" s="38"/>
      <c r="BU202" s="73"/>
      <c r="BV202" s="73"/>
      <c r="BW202" s="73"/>
      <c r="BX202" s="88"/>
      <c r="BY202" s="38"/>
      <c r="BZ202" s="73"/>
      <c r="CA202" s="73"/>
      <c r="CB202" s="73"/>
      <c r="CC202" s="88"/>
      <c r="CD202" s="38"/>
      <c r="CE202" s="73"/>
      <c r="CF202" s="73"/>
      <c r="CG202" s="73"/>
      <c r="CH202" s="88"/>
      <c r="CI202" s="38"/>
      <c r="CJ202" s="73"/>
      <c r="CK202" s="73"/>
      <c r="CL202" s="73"/>
      <c r="CM202" s="88"/>
    </row>
    <row r="203" spans="1:91" x14ac:dyDescent="0.2">
      <c r="A203" s="727" t="str">
        <f>+A190</f>
        <v>Europe, Middle East, Africa</v>
      </c>
      <c r="B203" s="73"/>
      <c r="C203" s="73"/>
      <c r="D203" s="73"/>
      <c r="E203" s="46"/>
      <c r="F203" s="93"/>
      <c r="G203" s="36"/>
      <c r="H203" s="36"/>
      <c r="I203" s="36"/>
      <c r="J203" s="36"/>
      <c r="K203" s="93"/>
      <c r="L203" s="73"/>
      <c r="M203" s="73"/>
      <c r="N203" s="38"/>
      <c r="O203" s="38"/>
      <c r="P203" s="93"/>
      <c r="Q203" s="38"/>
      <c r="R203" s="38"/>
      <c r="S203" s="73"/>
      <c r="T203" s="73"/>
      <c r="U203" s="88"/>
      <c r="V203" s="38"/>
      <c r="W203" s="73"/>
      <c r="X203" s="73"/>
      <c r="Y203" s="73"/>
      <c r="Z203" s="88"/>
      <c r="AA203" s="38"/>
      <c r="AB203" s="73"/>
      <c r="AC203" s="73"/>
      <c r="AD203" s="137"/>
      <c r="AE203" s="88"/>
      <c r="AF203" s="153"/>
      <c r="AG203" s="73"/>
      <c r="AH203" s="73"/>
      <c r="AI203" s="73"/>
      <c r="AJ203" s="158"/>
      <c r="AK203" s="170"/>
      <c r="AL203" s="170"/>
      <c r="AM203" s="170"/>
      <c r="AN203" s="170"/>
      <c r="AO203" s="169"/>
      <c r="AP203" s="38"/>
      <c r="AQ203" s="73"/>
      <c r="AR203" s="73"/>
      <c r="AS203" s="170"/>
      <c r="AT203" s="169"/>
      <c r="AU203" s="38"/>
      <c r="AV203" s="73"/>
      <c r="AW203" s="199"/>
      <c r="AX203" s="198"/>
      <c r="AY203" s="94">
        <f t="shared" ref="AY203:BL206" si="366">(AY190-AT190)*10000</f>
        <v>-18.86289757737525</v>
      </c>
      <c r="AZ203" s="122">
        <f t="shared" si="366"/>
        <v>145.44447061105248</v>
      </c>
      <c r="BA203" s="122">
        <f t="shared" si="366"/>
        <v>185.60658206936753</v>
      </c>
      <c r="BB203" s="122">
        <f t="shared" si="366"/>
        <v>35.187189946462304</v>
      </c>
      <c r="BC203" s="122">
        <f t="shared" si="366"/>
        <v>307.84438831142791</v>
      </c>
      <c r="BD203" s="94">
        <f t="shared" si="366"/>
        <v>168.14469055480342</v>
      </c>
      <c r="BE203" s="122">
        <f t="shared" si="366"/>
        <v>-69.498069498069583</v>
      </c>
      <c r="BF203" s="122">
        <f t="shared" si="366"/>
        <v>-118.17074240810688</v>
      </c>
      <c r="BG203" s="122">
        <f t="shared" si="366"/>
        <v>140.00328499327918</v>
      </c>
      <c r="BH203" s="122">
        <f t="shared" si="366"/>
        <v>60.186279020604807</v>
      </c>
      <c r="BI203" s="94">
        <f>(BI190-BD190)*10000</f>
        <v>-0.75192618605779415</v>
      </c>
      <c r="BJ203" s="122">
        <f t="shared" si="366"/>
        <v>-32.422969187675399</v>
      </c>
      <c r="BK203" s="122">
        <f t="shared" si="366"/>
        <v>48.489937630933341</v>
      </c>
      <c r="BL203" s="122">
        <f t="shared" si="366"/>
        <v>-157.8470965814316</v>
      </c>
      <c r="BM203" s="122">
        <f t="shared" ref="BM203:BM206" si="367">(BM190-BH190)*10000</f>
        <v>-420.53569252516354</v>
      </c>
      <c r="BN203" s="94">
        <f>(BN190-BI190)*10000</f>
        <v>-143.62644446486604</v>
      </c>
      <c r="BO203" s="122">
        <f t="shared" ref="BO203:BO206" si="368">(BO190-BJ190)*10000</f>
        <v>-306.30598246903338</v>
      </c>
      <c r="BP203" s="824">
        <v>-250</v>
      </c>
      <c r="BQ203" s="824">
        <v>180</v>
      </c>
      <c r="BR203" s="824">
        <v>250</v>
      </c>
      <c r="BS203" s="94">
        <f>(BS190-BN190)*10000</f>
        <v>-28.815608849401819</v>
      </c>
      <c r="BT203" s="122">
        <f t="shared" ref="BT203" si="369">BX203</f>
        <v>80</v>
      </c>
      <c r="BU203" s="122">
        <f t="shared" ref="BU203" si="370">BT203</f>
        <v>80</v>
      </c>
      <c r="BV203" s="122">
        <f t="shared" ref="BV203" si="371">BU203</f>
        <v>80</v>
      </c>
      <c r="BW203" s="122">
        <f t="shared" ref="BW203" si="372">BV203</f>
        <v>80</v>
      </c>
      <c r="BX203" s="127">
        <v>80</v>
      </c>
      <c r="BY203" s="122">
        <f t="shared" ref="BY203" si="373">CC203</f>
        <v>80</v>
      </c>
      <c r="BZ203" s="122">
        <f t="shared" ref="BZ203" si="374">BY203</f>
        <v>80</v>
      </c>
      <c r="CA203" s="122">
        <f t="shared" ref="CA203" si="375">BZ203</f>
        <v>80</v>
      </c>
      <c r="CB203" s="122">
        <f t="shared" ref="CB203" si="376">CA203</f>
        <v>80</v>
      </c>
      <c r="CC203" s="127">
        <v>80</v>
      </c>
      <c r="CD203" s="122">
        <f t="shared" ref="CD203" si="377">CH203</f>
        <v>80</v>
      </c>
      <c r="CE203" s="122">
        <f t="shared" ref="CE203" si="378">CD203</f>
        <v>80</v>
      </c>
      <c r="CF203" s="122">
        <f t="shared" ref="CF203" si="379">CE203</f>
        <v>80</v>
      </c>
      <c r="CG203" s="122">
        <f t="shared" ref="CG203" si="380">CF203</f>
        <v>80</v>
      </c>
      <c r="CH203" s="127">
        <v>80</v>
      </c>
      <c r="CI203" s="122">
        <f t="shared" ref="CI203" si="381">CM203</f>
        <v>75</v>
      </c>
      <c r="CJ203" s="122">
        <f t="shared" ref="CJ203" si="382">CI203</f>
        <v>75</v>
      </c>
      <c r="CK203" s="122">
        <f t="shared" ref="CK203" si="383">CJ203</f>
        <v>75</v>
      </c>
      <c r="CL203" s="122">
        <f t="shared" ref="CL203" si="384">CK203</f>
        <v>75</v>
      </c>
      <c r="CM203" s="127">
        <v>75</v>
      </c>
    </row>
    <row r="204" spans="1:91" hidden="1" x14ac:dyDescent="0.2">
      <c r="A204" s="47" t="s">
        <v>182</v>
      </c>
      <c r="B204" s="38" t="s">
        <v>169</v>
      </c>
      <c r="C204" s="38" t="s">
        <v>169</v>
      </c>
      <c r="D204" s="38" t="s">
        <v>169</v>
      </c>
      <c r="E204" s="38" t="s">
        <v>169</v>
      </c>
      <c r="F204" s="88" t="s">
        <v>169</v>
      </c>
      <c r="G204" s="38" t="s">
        <v>169</v>
      </c>
      <c r="H204" s="38" t="s">
        <v>169</v>
      </c>
      <c r="I204" s="38" t="s">
        <v>169</v>
      </c>
      <c r="J204" s="38" t="s">
        <v>169</v>
      </c>
      <c r="K204" s="88" t="s">
        <v>169</v>
      </c>
      <c r="L204" s="122">
        <f t="shared" ref="L204:AH204" si="385">(L191-G191)*10000</f>
        <v>157.76699029126206</v>
      </c>
      <c r="M204" s="122">
        <f t="shared" si="385"/>
        <v>372.26099659146251</v>
      </c>
      <c r="N204" s="122">
        <f t="shared" si="385"/>
        <v>673.48042871137989</v>
      </c>
      <c r="O204" s="122">
        <f t="shared" si="385"/>
        <v>116.43546865276133</v>
      </c>
      <c r="P204" s="94">
        <f t="shared" si="385"/>
        <v>328.77022953171797</v>
      </c>
      <c r="Q204" s="122">
        <f t="shared" si="385"/>
        <v>615.38461538461547</v>
      </c>
      <c r="R204" s="122">
        <f t="shared" si="385"/>
        <v>456.07156389515791</v>
      </c>
      <c r="S204" s="122">
        <f t="shared" si="385"/>
        <v>87.145969498910731</v>
      </c>
      <c r="T204" s="122">
        <f t="shared" si="385"/>
        <v>-131.80815236325637</v>
      </c>
      <c r="U204" s="94">
        <f t="shared" si="385"/>
        <v>284.01063214958333</v>
      </c>
      <c r="V204" s="122">
        <f t="shared" si="385"/>
        <v>154.26603963721863</v>
      </c>
      <c r="W204" s="122">
        <f t="shared" si="385"/>
        <v>29.620961401327641</v>
      </c>
      <c r="X204" s="122">
        <f t="shared" si="385"/>
        <v>623.65591397849471</v>
      </c>
      <c r="Y204" s="122">
        <f t="shared" si="385"/>
        <v>129.82158875710138</v>
      </c>
      <c r="Z204" s="94">
        <f t="shared" si="385"/>
        <v>206.34249371282664</v>
      </c>
      <c r="AA204" s="122">
        <f t="shared" si="385"/>
        <v>-272.82669857900288</v>
      </c>
      <c r="AB204" s="122">
        <f t="shared" si="385"/>
        <v>-55.576607300745209</v>
      </c>
      <c r="AC204" s="122">
        <f t="shared" si="385"/>
        <v>-249.50625411454874</v>
      </c>
      <c r="AD204" s="122">
        <f t="shared" si="385"/>
        <v>-82.190112833833709</v>
      </c>
      <c r="AE204" s="94">
        <f>(AE191-Z191)*10000</f>
        <v>-164.55981990313506</v>
      </c>
      <c r="AF204" s="122">
        <f t="shared" si="385"/>
        <v>-155.91486553374</v>
      </c>
      <c r="AG204" s="122">
        <f t="shared" si="385"/>
        <v>-213.11333328648485</v>
      </c>
      <c r="AH204" s="122">
        <f t="shared" si="385"/>
        <v>-60.248314572465823</v>
      </c>
      <c r="AI204" s="122">
        <f t="shared" ref="AI204:AX207" si="386">(AI191-AD191)*10000</f>
        <v>288.03399097526437</v>
      </c>
      <c r="AJ204" s="94">
        <f t="shared" si="386"/>
        <v>-33.870780651896752</v>
      </c>
      <c r="AK204" s="122">
        <f t="shared" si="386"/>
        <v>234.29416112342892</v>
      </c>
      <c r="AL204" s="122">
        <f t="shared" si="386"/>
        <v>-170.87049897320961</v>
      </c>
      <c r="AM204" s="122">
        <f t="shared" si="386"/>
        <v>-151.53267289415408</v>
      </c>
      <c r="AN204" s="122">
        <f t="shared" si="386"/>
        <v>456.24561676926635</v>
      </c>
      <c r="AO204" s="94">
        <f t="shared" si="386"/>
        <v>78.114822275000549</v>
      </c>
      <c r="AP204" s="122">
        <f t="shared" si="386"/>
        <v>-80.061249042983619</v>
      </c>
      <c r="AQ204" s="122">
        <f t="shared" si="386"/>
        <v>273.93521511168586</v>
      </c>
      <c r="AR204" s="122">
        <f t="shared" si="386"/>
        <v>-42.787207524381252</v>
      </c>
      <c r="AS204" s="122">
        <f t="shared" si="386"/>
        <v>-479.67479674796755</v>
      </c>
      <c r="AT204" s="94">
        <f t="shared" si="386"/>
        <v>-55.665663018023558</v>
      </c>
      <c r="AU204" s="122">
        <f t="shared" si="386"/>
        <v>359.72121889496225</v>
      </c>
      <c r="AV204" s="122">
        <f t="shared" si="386"/>
        <v>-378.12064716597035</v>
      </c>
      <c r="AW204" s="122">
        <f t="shared" si="386"/>
        <v>298.84824833815105</v>
      </c>
      <c r="AX204" s="122">
        <f t="shared" si="386"/>
        <v>311.14632857897561</v>
      </c>
      <c r="AY204" s="94">
        <f t="shared" si="366"/>
        <v>124.56598775817007</v>
      </c>
      <c r="AZ204" s="122">
        <f t="shared" si="366"/>
        <v>-43.734695238730751</v>
      </c>
      <c r="BA204" s="122">
        <f t="shared" si="366"/>
        <v>263.17537827827312</v>
      </c>
      <c r="BB204" s="122">
        <f t="shared" si="366"/>
        <v>-285.75972979484385</v>
      </c>
      <c r="BC204" s="122">
        <f t="shared" si="366"/>
        <v>40.044147611500989</v>
      </c>
      <c r="BD204" s="94">
        <f t="shared" si="366"/>
        <v>12.959793358329197</v>
      </c>
      <c r="BE204" s="122">
        <f t="shared" si="366"/>
        <v>-257.09922261646369</v>
      </c>
      <c r="BF204" s="122">
        <f t="shared" si="366"/>
        <v>-215.26217640926214</v>
      </c>
      <c r="BG204" s="122">
        <f t="shared" ca="1" si="366"/>
        <v>543.6585189992071</v>
      </c>
      <c r="BH204" s="122">
        <f t="shared" ca="1" si="366"/>
        <v>-8.1953071083507023</v>
      </c>
      <c r="BI204" s="94">
        <f ca="1">(BI191-BD191)*10000</f>
        <v>1.9961455652867111</v>
      </c>
      <c r="BJ204" s="122">
        <f t="shared" ca="1" si="366"/>
        <v>-294.36746828051196</v>
      </c>
      <c r="BK204" s="122">
        <f t="shared" ca="1" si="366"/>
        <v>0</v>
      </c>
      <c r="BL204" s="122">
        <f t="shared" ca="1" si="366"/>
        <v>0</v>
      </c>
      <c r="BM204" s="122">
        <f t="shared" ca="1" si="367"/>
        <v>0</v>
      </c>
      <c r="BN204" s="94">
        <f ca="1">(BN191-BI191)*10000</f>
        <v>-71.228169108889517</v>
      </c>
      <c r="BO204" s="122">
        <f t="shared" ca="1" si="368"/>
        <v>0</v>
      </c>
      <c r="BP204" s="824">
        <v>5</v>
      </c>
      <c r="BQ204" s="824">
        <v>5</v>
      </c>
      <c r="BR204" s="824">
        <v>5</v>
      </c>
      <c r="BS204" s="94">
        <f ca="1">(BS191-BN191)*10000</f>
        <v>3.7562484084008307</v>
      </c>
      <c r="BT204" s="122">
        <f t="shared" ref="BT204:BT212" si="387">BX204</f>
        <v>85</v>
      </c>
      <c r="BU204" s="122">
        <f t="shared" ref="BU204:BW212" si="388">BT204</f>
        <v>85</v>
      </c>
      <c r="BV204" s="122">
        <f t="shared" si="388"/>
        <v>85</v>
      </c>
      <c r="BW204" s="122">
        <f t="shared" si="388"/>
        <v>85</v>
      </c>
      <c r="BX204" s="127">
        <v>85</v>
      </c>
      <c r="BY204" s="122">
        <f t="shared" ref="BY204:BY212" si="389">CC204</f>
        <v>85</v>
      </c>
      <c r="BZ204" s="122">
        <f t="shared" ref="BZ204:CB212" si="390">BY204</f>
        <v>85</v>
      </c>
      <c r="CA204" s="122">
        <f t="shared" si="390"/>
        <v>85</v>
      </c>
      <c r="CB204" s="122">
        <f t="shared" si="390"/>
        <v>85</v>
      </c>
      <c r="CC204" s="127">
        <v>85</v>
      </c>
      <c r="CD204" s="122">
        <f t="shared" ref="CD204:CD212" si="391">CH204</f>
        <v>80</v>
      </c>
      <c r="CE204" s="122">
        <f t="shared" ref="CE204:CG212" si="392">CD204</f>
        <v>80</v>
      </c>
      <c r="CF204" s="122">
        <f t="shared" si="392"/>
        <v>80</v>
      </c>
      <c r="CG204" s="122">
        <f t="shared" si="392"/>
        <v>80</v>
      </c>
      <c r="CH204" s="127">
        <v>80</v>
      </c>
      <c r="CI204" s="122">
        <f t="shared" ref="CI204:CI212" si="393">CM204</f>
        <v>75</v>
      </c>
      <c r="CJ204" s="122">
        <f t="shared" ref="CJ204:CL212" si="394">CI204</f>
        <v>75</v>
      </c>
      <c r="CK204" s="122">
        <f t="shared" si="394"/>
        <v>75</v>
      </c>
      <c r="CL204" s="122">
        <f t="shared" si="394"/>
        <v>75</v>
      </c>
      <c r="CM204" s="127">
        <v>75</v>
      </c>
    </row>
    <row r="205" spans="1:91" hidden="1" x14ac:dyDescent="0.2">
      <c r="A205" s="47" t="s">
        <v>183</v>
      </c>
      <c r="B205" s="38" t="s">
        <v>169</v>
      </c>
      <c r="C205" s="38" t="s">
        <v>169</v>
      </c>
      <c r="D205" s="38" t="s">
        <v>169</v>
      </c>
      <c r="E205" s="38" t="s">
        <v>169</v>
      </c>
      <c r="F205" s="88" t="s">
        <v>169</v>
      </c>
      <c r="G205" s="38" t="s">
        <v>169</v>
      </c>
      <c r="H205" s="38" t="s">
        <v>169</v>
      </c>
      <c r="I205" s="38" t="s">
        <v>169</v>
      </c>
      <c r="J205" s="38" t="s">
        <v>169</v>
      </c>
      <c r="K205" s="88" t="s">
        <v>169</v>
      </c>
      <c r="L205" s="122">
        <f t="shared" ref="L205:U207" si="395">(L192-G192)*10000</f>
        <v>1445.1935624184432</v>
      </c>
      <c r="M205" s="122">
        <f t="shared" si="395"/>
        <v>1134.0596699516914</v>
      </c>
      <c r="N205" s="122">
        <f t="shared" si="395"/>
        <v>1023.4327649188335</v>
      </c>
      <c r="O205" s="122">
        <f t="shared" si="395"/>
        <v>983.88751573940169</v>
      </c>
      <c r="P205" s="94">
        <f t="shared" si="395"/>
        <v>1077.3143982738654</v>
      </c>
      <c r="Q205" s="122">
        <f t="shared" si="395"/>
        <v>-97.593149989328992</v>
      </c>
      <c r="R205" s="122">
        <f t="shared" si="395"/>
        <v>257.64093562563261</v>
      </c>
      <c r="S205" s="122">
        <f t="shared" si="395"/>
        <v>156.16726185180951</v>
      </c>
      <c r="T205" s="122">
        <f t="shared" si="395"/>
        <v>688.22522590550989</v>
      </c>
      <c r="U205" s="94">
        <f t="shared" si="395"/>
        <v>320.94946659589232</v>
      </c>
      <c r="V205" s="122">
        <f t="shared" ref="V205:AD207" si="396">(V192-Q192)*10000</f>
        <v>516.25565631417294</v>
      </c>
      <c r="W205" s="122">
        <f t="shared" si="396"/>
        <v>82.073147578406449</v>
      </c>
      <c r="X205" s="122">
        <f t="shared" si="396"/>
        <v>451.87953353007737</v>
      </c>
      <c r="Y205" s="122">
        <f t="shared" si="396"/>
        <v>-123.76529559192106</v>
      </c>
      <c r="Z205" s="94">
        <f t="shared" si="396"/>
        <v>219.37024650500848</v>
      </c>
      <c r="AA205" s="122">
        <f t="shared" si="396"/>
        <v>95.448624324003802</v>
      </c>
      <c r="AB205" s="122">
        <f t="shared" si="396"/>
        <v>340.2160103735352</v>
      </c>
      <c r="AC205" s="122">
        <f t="shared" si="396"/>
        <v>-4.7431432977473875</v>
      </c>
      <c r="AD205" s="122">
        <f t="shared" si="396"/>
        <v>-575.89285714285677</v>
      </c>
      <c r="AE205" s="94">
        <f>(AE192-Z192)*10000</f>
        <v>-14.725117154509304</v>
      </c>
      <c r="AF205" s="122">
        <f t="shared" ref="AF205:AH207" si="397">(AF192-AA192)*10000</f>
        <v>-486.89699471693768</v>
      </c>
      <c r="AG205" s="122">
        <f t="shared" si="397"/>
        <v>-715.56164907273342</v>
      </c>
      <c r="AH205" s="122">
        <f t="shared" si="397"/>
        <v>-92.811505303674878</v>
      </c>
      <c r="AI205" s="122">
        <f t="shared" si="386"/>
        <v>45.746197718631308</v>
      </c>
      <c r="AJ205" s="94">
        <f t="shared" si="386"/>
        <v>-319.13486147646222</v>
      </c>
      <c r="AK205" s="122">
        <f t="shared" si="386"/>
        <v>-85.335891698999916</v>
      </c>
      <c r="AL205" s="122">
        <f t="shared" si="386"/>
        <v>68.52472890101491</v>
      </c>
      <c r="AM205" s="122">
        <f t="shared" si="386"/>
        <v>-517.45895090029364</v>
      </c>
      <c r="AN205" s="122">
        <f t="shared" si="386"/>
        <v>947.52351916711166</v>
      </c>
      <c r="AO205" s="94">
        <f t="shared" si="386"/>
        <v>-748.82038344070918</v>
      </c>
      <c r="AP205" s="122">
        <f t="shared" si="386"/>
        <v>-781.5515276190232</v>
      </c>
      <c r="AQ205" s="122">
        <f t="shared" si="386"/>
        <v>-1075.5684952243505</v>
      </c>
      <c r="AR205" s="122">
        <f t="shared" si="386"/>
        <v>-977.57004661420569</v>
      </c>
      <c r="AS205" s="122">
        <f t="shared" si="386"/>
        <v>-1668.136738162339</v>
      </c>
      <c r="AT205" s="94">
        <f t="shared" si="386"/>
        <v>-305.19194079853816</v>
      </c>
      <c r="AU205" s="122">
        <f t="shared" si="386"/>
        <v>-242.17717649640758</v>
      </c>
      <c r="AV205" s="122">
        <f t="shared" si="386"/>
        <v>-50.545045960304066</v>
      </c>
      <c r="AW205" s="122">
        <f t="shared" si="386"/>
        <v>44.022708680353517</v>
      </c>
      <c r="AX205" s="122">
        <f t="shared" si="386"/>
        <v>-303.17012731778112</v>
      </c>
      <c r="AY205" s="94">
        <f t="shared" si="366"/>
        <v>-114.57676352594648</v>
      </c>
      <c r="AZ205" s="122">
        <f t="shared" si="366"/>
        <v>256.1201595797624</v>
      </c>
      <c r="BA205" s="122">
        <f t="shared" si="366"/>
        <v>140.63419519745656</v>
      </c>
      <c r="BB205" s="122">
        <f t="shared" si="366"/>
        <v>137.11675970892955</v>
      </c>
      <c r="BC205" s="122">
        <f t="shared" si="366"/>
        <v>427.02172722165813</v>
      </c>
      <c r="BD205" s="94">
        <f t="shared" si="366"/>
        <v>230.8334385398536</v>
      </c>
      <c r="BE205" s="122">
        <f t="shared" si="366"/>
        <v>-44.406433998881447</v>
      </c>
      <c r="BF205" s="122">
        <f t="shared" si="366"/>
        <v>-95.287518224725915</v>
      </c>
      <c r="BG205" s="122">
        <f t="shared" ca="1" si="366"/>
        <v>316.96261931424385</v>
      </c>
      <c r="BH205" s="122">
        <f t="shared" ca="1" si="366"/>
        <v>500.26187527342893</v>
      </c>
      <c r="BI205" s="94">
        <f ca="1">(BI192-BD192)*10000</f>
        <v>157.18784226634196</v>
      </c>
      <c r="BJ205" s="122">
        <f t="shared" ca="1" si="366"/>
        <v>-41.928795268725281</v>
      </c>
      <c r="BK205" s="122">
        <f t="shared" ca="1" si="366"/>
        <v>0</v>
      </c>
      <c r="BL205" s="122">
        <f t="shared" ca="1" si="366"/>
        <v>0</v>
      </c>
      <c r="BM205" s="122">
        <f t="shared" ca="1" si="367"/>
        <v>0</v>
      </c>
      <c r="BN205" s="94">
        <f ca="1">(BN192-BI192)*10000</f>
        <v>-9.764711298549944</v>
      </c>
      <c r="BO205" s="122">
        <f t="shared" ca="1" si="368"/>
        <v>0</v>
      </c>
      <c r="BP205" s="824">
        <v>5</v>
      </c>
      <c r="BQ205" s="824">
        <v>5</v>
      </c>
      <c r="BR205" s="824">
        <v>5</v>
      </c>
      <c r="BS205" s="94">
        <f ca="1">(BS192-BN192)*10000</f>
        <v>3.8327646820002226</v>
      </c>
      <c r="BT205" s="122">
        <f t="shared" si="387"/>
        <v>85</v>
      </c>
      <c r="BU205" s="122">
        <f t="shared" si="388"/>
        <v>85</v>
      </c>
      <c r="BV205" s="122">
        <f t="shared" si="388"/>
        <v>85</v>
      </c>
      <c r="BW205" s="122">
        <f t="shared" si="388"/>
        <v>85</v>
      </c>
      <c r="BX205" s="127">
        <v>85</v>
      </c>
      <c r="BY205" s="122">
        <f t="shared" si="389"/>
        <v>85</v>
      </c>
      <c r="BZ205" s="122">
        <f t="shared" si="390"/>
        <v>85</v>
      </c>
      <c r="CA205" s="122">
        <f t="shared" si="390"/>
        <v>85</v>
      </c>
      <c r="CB205" s="122">
        <f t="shared" si="390"/>
        <v>85</v>
      </c>
      <c r="CC205" s="127">
        <v>85</v>
      </c>
      <c r="CD205" s="122">
        <f t="shared" si="391"/>
        <v>80</v>
      </c>
      <c r="CE205" s="122">
        <f t="shared" si="392"/>
        <v>80</v>
      </c>
      <c r="CF205" s="122">
        <f t="shared" si="392"/>
        <v>80</v>
      </c>
      <c r="CG205" s="122">
        <f t="shared" si="392"/>
        <v>80</v>
      </c>
      <c r="CH205" s="127">
        <v>80</v>
      </c>
      <c r="CI205" s="122">
        <f t="shared" si="393"/>
        <v>75</v>
      </c>
      <c r="CJ205" s="122">
        <f t="shared" si="394"/>
        <v>75</v>
      </c>
      <c r="CK205" s="122">
        <f t="shared" si="394"/>
        <v>75</v>
      </c>
      <c r="CL205" s="122">
        <f t="shared" si="394"/>
        <v>75</v>
      </c>
      <c r="CM205" s="127">
        <v>75</v>
      </c>
    </row>
    <row r="206" spans="1:91" x14ac:dyDescent="0.2">
      <c r="A206" s="47" t="s">
        <v>14</v>
      </c>
      <c r="B206" s="38" t="s">
        <v>169</v>
      </c>
      <c r="C206" s="38" t="s">
        <v>169</v>
      </c>
      <c r="D206" s="38" t="s">
        <v>169</v>
      </c>
      <c r="E206" s="38" t="s">
        <v>169</v>
      </c>
      <c r="F206" s="88" t="s">
        <v>169</v>
      </c>
      <c r="G206" s="122">
        <f t="shared" ref="G206:K207" si="398">(G193-B193)*10000</f>
        <v>110.96034976632029</v>
      </c>
      <c r="H206" s="122">
        <f t="shared" si="398"/>
        <v>-132.53713060787044</v>
      </c>
      <c r="I206" s="122">
        <f t="shared" si="398"/>
        <v>-32.062570931798987</v>
      </c>
      <c r="J206" s="122">
        <f t="shared" si="398"/>
        <v>164.81964887147149</v>
      </c>
      <c r="K206" s="94">
        <f t="shared" si="398"/>
        <v>28.915946070804388</v>
      </c>
      <c r="L206" s="122">
        <f t="shared" si="395"/>
        <v>306.25141546306577</v>
      </c>
      <c r="M206" s="122">
        <f t="shared" si="395"/>
        <v>-80.534518130885857</v>
      </c>
      <c r="N206" s="122">
        <f t="shared" si="395"/>
        <v>202.95217218169182</v>
      </c>
      <c r="O206" s="122">
        <f t="shared" si="395"/>
        <v>565.41965497189369</v>
      </c>
      <c r="P206" s="94">
        <f t="shared" si="395"/>
        <v>254.11708084096318</v>
      </c>
      <c r="Q206" s="122">
        <f t="shared" si="395"/>
        <v>-98.718778489953479</v>
      </c>
      <c r="R206" s="122">
        <f t="shared" si="395"/>
        <v>437.56599497223323</v>
      </c>
      <c r="S206" s="122">
        <f t="shared" si="395"/>
        <v>61.779447500253106</v>
      </c>
      <c r="T206" s="122">
        <f t="shared" si="395"/>
        <v>268.27707566789314</v>
      </c>
      <c r="U206" s="94">
        <f t="shared" si="395"/>
        <v>166.68874601616147</v>
      </c>
      <c r="V206" s="122">
        <f t="shared" si="396"/>
        <v>-512.16887606749583</v>
      </c>
      <c r="W206" s="122">
        <f t="shared" si="396"/>
        <v>-437.73476435194357</v>
      </c>
      <c r="X206" s="122">
        <f t="shared" si="396"/>
        <v>139.79819683181626</v>
      </c>
      <c r="Y206" s="122">
        <f t="shared" si="396"/>
        <v>-806.67587952816257</v>
      </c>
      <c r="Z206" s="94">
        <f t="shared" si="396"/>
        <v>-398.82880396267086</v>
      </c>
      <c r="AA206" s="122">
        <f t="shared" si="396"/>
        <v>983.0736260942208</v>
      </c>
      <c r="AB206" s="122">
        <f t="shared" si="396"/>
        <v>617.36807340891266</v>
      </c>
      <c r="AC206" s="122">
        <f t="shared" si="396"/>
        <v>432.73448043184891</v>
      </c>
      <c r="AD206" s="122">
        <f t="shared" si="396"/>
        <v>691.10816346618083</v>
      </c>
      <c r="AE206" s="94">
        <f>(AE193-Z193)*10000</f>
        <v>679.53468932850365</v>
      </c>
      <c r="AF206" s="122">
        <f t="shared" si="397"/>
        <v>151.2098175197707</v>
      </c>
      <c r="AG206" s="122">
        <f t="shared" si="397"/>
        <v>244.6192118774737</v>
      </c>
      <c r="AH206" s="122">
        <f t="shared" si="397"/>
        <v>434.71747022793329</v>
      </c>
      <c r="AI206" s="122">
        <f t="shared" si="386"/>
        <v>-46.381897114066149</v>
      </c>
      <c r="AJ206" s="94">
        <f t="shared" si="386"/>
        <v>203.99926479368503</v>
      </c>
      <c r="AK206" s="122">
        <f t="shared" si="386"/>
        <v>-15.77807045023305</v>
      </c>
      <c r="AL206" s="122">
        <f t="shared" si="386"/>
        <v>-9.7282680385180065</v>
      </c>
      <c r="AM206" s="122">
        <f t="shared" si="386"/>
        <v>-401.38840098713712</v>
      </c>
      <c r="AN206" s="122">
        <f t="shared" si="386"/>
        <v>100.99108833815595</v>
      </c>
      <c r="AO206" s="94">
        <f t="shared" si="386"/>
        <v>-443.02418332883286</v>
      </c>
      <c r="AP206" s="122">
        <f t="shared" si="386"/>
        <v>-388.24211174343645</v>
      </c>
      <c r="AQ206" s="122">
        <f t="shared" si="386"/>
        <v>-358.9480523921884</v>
      </c>
      <c r="AR206" s="122">
        <f t="shared" si="386"/>
        <v>-373.83793991654699</v>
      </c>
      <c r="AS206" s="122">
        <f t="shared" si="386"/>
        <v>-543.13439375484938</v>
      </c>
      <c r="AT206" s="94">
        <f t="shared" si="386"/>
        <v>-61.473638082389925</v>
      </c>
      <c r="AU206" s="122">
        <f t="shared" si="386"/>
        <v>-200.75378873392279</v>
      </c>
      <c r="AV206" s="122">
        <f t="shared" si="386"/>
        <v>-313.41239868371673</v>
      </c>
      <c r="AW206" s="122">
        <f t="shared" si="386"/>
        <v>-346.30554461874351</v>
      </c>
      <c r="AX206" s="122">
        <f t="shared" si="386"/>
        <v>-269.52845306693064</v>
      </c>
      <c r="AY206" s="94">
        <f t="shared" si="366"/>
        <v>-291.34135182314225</v>
      </c>
      <c r="AZ206" s="122">
        <f t="shared" si="366"/>
        <v>-280.8939430528423</v>
      </c>
      <c r="BA206" s="122">
        <f t="shared" si="366"/>
        <v>-235.38031317853924</v>
      </c>
      <c r="BB206" s="122">
        <f t="shared" si="366"/>
        <v>-192.27217317424495</v>
      </c>
      <c r="BC206" s="122">
        <f t="shared" si="366"/>
        <v>-90.508238570433662</v>
      </c>
      <c r="BD206" s="94">
        <f t="shared" si="366"/>
        <v>-184.42420545230044</v>
      </c>
      <c r="BE206" s="122">
        <f t="shared" si="366"/>
        <v>-138.1244293726358</v>
      </c>
      <c r="BF206" s="122">
        <f t="shared" si="366"/>
        <v>27.059310015015157</v>
      </c>
      <c r="BG206" s="122">
        <f t="shared" si="366"/>
        <v>-70.757132032194249</v>
      </c>
      <c r="BH206" s="122">
        <f t="shared" si="366"/>
        <v>-263.12331647066532</v>
      </c>
      <c r="BI206" s="94">
        <f>(BI193-BD193)*10000</f>
        <v>-119.7543018956837</v>
      </c>
      <c r="BJ206" s="122">
        <f t="shared" si="366"/>
        <v>-140.01917279772624</v>
      </c>
      <c r="BK206" s="122">
        <f t="shared" si="366"/>
        <v>441.16160197719466</v>
      </c>
      <c r="BL206" s="122">
        <f t="shared" si="366"/>
        <v>173.96310480338406</v>
      </c>
      <c r="BM206" s="122">
        <f t="shared" si="367"/>
        <v>423.83657170755151</v>
      </c>
      <c r="BN206" s="94">
        <f>(BN193-BI193)*10000</f>
        <v>220.02695695797047</v>
      </c>
      <c r="BO206" s="122">
        <f t="shared" si="368"/>
        <v>297.93929110921601</v>
      </c>
      <c r="BP206" s="824">
        <v>-300</v>
      </c>
      <c r="BQ206" s="824">
        <v>-10</v>
      </c>
      <c r="BR206" s="824">
        <v>-100</v>
      </c>
      <c r="BS206" s="94">
        <f>(BS193-BN193)*10000</f>
        <v>-33.792412150709382</v>
      </c>
      <c r="BT206" s="122">
        <f t="shared" si="387"/>
        <v>80</v>
      </c>
      <c r="BU206" s="122">
        <f t="shared" si="388"/>
        <v>80</v>
      </c>
      <c r="BV206" s="122">
        <f t="shared" si="388"/>
        <v>80</v>
      </c>
      <c r="BW206" s="122">
        <f t="shared" si="388"/>
        <v>80</v>
      </c>
      <c r="BX206" s="127">
        <v>80</v>
      </c>
      <c r="BY206" s="122">
        <f t="shared" si="389"/>
        <v>80</v>
      </c>
      <c r="BZ206" s="122">
        <f t="shared" si="390"/>
        <v>80</v>
      </c>
      <c r="CA206" s="122">
        <f t="shared" si="390"/>
        <v>80</v>
      </c>
      <c r="CB206" s="122">
        <f t="shared" si="390"/>
        <v>80</v>
      </c>
      <c r="CC206" s="127">
        <v>80</v>
      </c>
      <c r="CD206" s="122">
        <f t="shared" si="391"/>
        <v>80</v>
      </c>
      <c r="CE206" s="122">
        <f t="shared" si="392"/>
        <v>80</v>
      </c>
      <c r="CF206" s="122">
        <f t="shared" si="392"/>
        <v>80</v>
      </c>
      <c r="CG206" s="122">
        <f t="shared" si="392"/>
        <v>80</v>
      </c>
      <c r="CH206" s="127">
        <v>80</v>
      </c>
      <c r="CI206" s="122">
        <f t="shared" si="393"/>
        <v>75</v>
      </c>
      <c r="CJ206" s="122">
        <f t="shared" si="394"/>
        <v>75</v>
      </c>
      <c r="CK206" s="122">
        <f t="shared" si="394"/>
        <v>75</v>
      </c>
      <c r="CL206" s="122">
        <f t="shared" si="394"/>
        <v>75</v>
      </c>
      <c r="CM206" s="127">
        <v>75</v>
      </c>
    </row>
    <row r="207" spans="1:91" hidden="1" outlineLevel="1" x14ac:dyDescent="0.2">
      <c r="A207" s="47" t="s">
        <v>361</v>
      </c>
      <c r="B207" s="38" t="s">
        <v>169</v>
      </c>
      <c r="C207" s="38" t="s">
        <v>169</v>
      </c>
      <c r="D207" s="38" t="s">
        <v>169</v>
      </c>
      <c r="E207" s="38" t="s">
        <v>169</v>
      </c>
      <c r="F207" s="88" t="s">
        <v>169</v>
      </c>
      <c r="G207" s="122">
        <f t="shared" si="398"/>
        <v>231.69926319642263</v>
      </c>
      <c r="H207" s="122">
        <f t="shared" si="398"/>
        <v>-9.0453670161355646</v>
      </c>
      <c r="I207" s="122">
        <f t="shared" si="398"/>
        <v>-255.30101799186161</v>
      </c>
      <c r="J207" s="122">
        <f t="shared" si="398"/>
        <v>266.84875424371199</v>
      </c>
      <c r="K207" s="94">
        <f t="shared" si="398"/>
        <v>50.148102515632786</v>
      </c>
      <c r="L207" s="122">
        <f t="shared" si="395"/>
        <v>-274.57852989767883</v>
      </c>
      <c r="M207" s="122">
        <f t="shared" si="395"/>
        <v>-157.67366687684387</v>
      </c>
      <c r="N207" s="122">
        <f t="shared" si="395"/>
        <v>-47.747374239911764</v>
      </c>
      <c r="O207" s="122">
        <f t="shared" si="395"/>
        <v>-316.50013260373504</v>
      </c>
      <c r="P207" s="94">
        <f t="shared" si="395"/>
        <v>-196.19585830924186</v>
      </c>
      <c r="Q207" s="122">
        <f t="shared" si="395"/>
        <v>-353.72314990149397</v>
      </c>
      <c r="R207" s="122">
        <f t="shared" si="395"/>
        <v>-366.79454759595416</v>
      </c>
      <c r="S207" s="122">
        <f t="shared" si="395"/>
        <v>-205.27582617746538</v>
      </c>
      <c r="T207" s="122">
        <f t="shared" si="395"/>
        <v>-86.481203815724498</v>
      </c>
      <c r="U207" s="94">
        <f t="shared" si="395"/>
        <v>-253.01494582084027</v>
      </c>
      <c r="V207" s="122">
        <f t="shared" si="396"/>
        <v>388.03436914422008</v>
      </c>
      <c r="W207" s="122">
        <f t="shared" si="396"/>
        <v>72.659177568864806</v>
      </c>
      <c r="X207" s="122">
        <f t="shared" si="396"/>
        <v>195.49047264211194</v>
      </c>
      <c r="Y207" s="122">
        <f t="shared" si="396"/>
        <v>30.832476875642111</v>
      </c>
      <c r="Z207" s="94">
        <f t="shared" si="396"/>
        <v>166.91883475799585</v>
      </c>
      <c r="AA207" s="122">
        <f t="shared" si="396"/>
        <v>119.4763711645827</v>
      </c>
      <c r="AB207" s="122">
        <f t="shared" si="396"/>
        <v>139.21661257019963</v>
      </c>
      <c r="AC207" s="122">
        <f t="shared" si="396"/>
        <v>260.85966777548543</v>
      </c>
      <c r="AD207" s="122">
        <f t="shared" si="396"/>
        <v>-1079.1602236231711</v>
      </c>
      <c r="AE207" s="94">
        <f>(AE194-Z194)*10000</f>
        <v>-358.03473050401044</v>
      </c>
      <c r="AF207" s="122">
        <f t="shared" si="397"/>
        <v>-1050.8520331591983</v>
      </c>
      <c r="AG207" s="122">
        <f t="shared" si="397"/>
        <v>-750.62475042186747</v>
      </c>
      <c r="AH207" s="122">
        <f t="shared" si="397"/>
        <v>-859.59431094000615</v>
      </c>
      <c r="AI207" s="122">
        <f t="shared" si="386"/>
        <v>220.3575679455154</v>
      </c>
      <c r="AJ207" s="94">
        <f t="shared" si="386"/>
        <v>-382.86385646843945</v>
      </c>
      <c r="AK207" s="122">
        <f t="shared" si="386"/>
        <v>-155.90310685995547</v>
      </c>
      <c r="AL207" s="122">
        <f t="shared" si="386"/>
        <v>-82.078255125730408</v>
      </c>
      <c r="AM207" s="122">
        <f t="shared" si="386"/>
        <v>-42.684899323331692</v>
      </c>
      <c r="AN207" s="122">
        <f t="shared" si="386"/>
        <v>63.771599777034673</v>
      </c>
      <c r="AO207" s="94">
        <f t="shared" si="386"/>
        <v>-52.920390434685046</v>
      </c>
      <c r="AP207" s="122">
        <f t="shared" si="386"/>
        <v>-25.587146800725851</v>
      </c>
      <c r="AQ207" s="122">
        <f t="shared" si="386"/>
        <v>11.635229223730114</v>
      </c>
      <c r="AR207" s="122">
        <f t="shared" si="386"/>
        <v>34.078911771237564</v>
      </c>
      <c r="AS207" s="122">
        <f t="shared" si="386"/>
        <v>-151.92631474695449</v>
      </c>
      <c r="AT207" s="94">
        <f t="shared" si="386"/>
        <v>-30.59417688946159</v>
      </c>
      <c r="AU207" s="660">
        <f t="shared" si="386"/>
        <v>-66.072185166294176</v>
      </c>
      <c r="AV207" s="660">
        <f t="shared" si="386"/>
        <v>32.767480305393725</v>
      </c>
      <c r="AW207" s="660">
        <f t="shared" si="386"/>
        <v>14.800910786794963</v>
      </c>
      <c r="AX207" s="660">
        <f t="shared" si="386"/>
        <v>56.429709713653047</v>
      </c>
      <c r="AY207" s="661">
        <f t="shared" ref="AY207:BD207" si="399">(AY194-AT194)*10000</f>
        <v>11.845030296971926</v>
      </c>
      <c r="AZ207" s="660">
        <f t="shared" si="399"/>
        <v>174.92380593111591</v>
      </c>
      <c r="BA207" s="660">
        <f t="shared" si="399"/>
        <v>56.19965270010713</v>
      </c>
      <c r="BB207" s="660">
        <f t="shared" si="399"/>
        <v>39.53546486811149</v>
      </c>
      <c r="BC207" s="660">
        <f t="shared" si="399"/>
        <v>-188.33415027568094</v>
      </c>
      <c r="BD207" s="661">
        <f t="shared" si="399"/>
        <v>19.351773529780182</v>
      </c>
      <c r="BE207" s="700"/>
      <c r="BF207" s="700"/>
      <c r="BG207" s="700"/>
      <c r="BH207" s="700"/>
      <c r="BI207" s="661"/>
      <c r="BJ207" s="700"/>
      <c r="BK207" s="700"/>
      <c r="BL207" s="700"/>
      <c r="BM207" s="700"/>
      <c r="BN207" s="661"/>
      <c r="BO207" s="700"/>
      <c r="BP207" s="825"/>
      <c r="BQ207" s="825"/>
      <c r="BR207" s="825"/>
      <c r="BS207" s="661"/>
      <c r="BT207" s="660"/>
      <c r="BU207" s="660"/>
      <c r="BV207" s="660"/>
      <c r="BW207" s="660"/>
      <c r="BX207" s="127">
        <v>85</v>
      </c>
      <c r="BY207" s="660"/>
      <c r="BZ207" s="660"/>
      <c r="CA207" s="660"/>
      <c r="CB207" s="660"/>
      <c r="CC207" s="127">
        <v>85</v>
      </c>
      <c r="CD207" s="660"/>
      <c r="CE207" s="660"/>
      <c r="CF207" s="660"/>
      <c r="CG207" s="660"/>
      <c r="CH207" s="127">
        <v>80</v>
      </c>
      <c r="CI207" s="660"/>
      <c r="CJ207" s="660"/>
      <c r="CK207" s="660"/>
      <c r="CL207" s="660"/>
      <c r="CM207" s="127">
        <v>75</v>
      </c>
    </row>
    <row r="208" spans="1:91" collapsed="1" x14ac:dyDescent="0.2">
      <c r="A208" s="47" t="s">
        <v>13</v>
      </c>
      <c r="B208" s="38"/>
      <c r="C208" s="38"/>
      <c r="D208" s="38"/>
      <c r="E208" s="38"/>
      <c r="F208" s="88"/>
      <c r="G208" s="122"/>
      <c r="H208" s="122"/>
      <c r="I208" s="122"/>
      <c r="J208" s="122"/>
      <c r="K208" s="94"/>
      <c r="L208" s="122"/>
      <c r="M208" s="122"/>
      <c r="N208" s="122"/>
      <c r="O208" s="122"/>
      <c r="P208" s="94"/>
      <c r="Q208" s="122"/>
      <c r="R208" s="122"/>
      <c r="S208" s="122"/>
      <c r="T208" s="122"/>
      <c r="U208" s="94"/>
      <c r="V208" s="122"/>
      <c r="W208" s="122"/>
      <c r="X208" s="122"/>
      <c r="Y208" s="122"/>
      <c r="Z208" s="94"/>
      <c r="AA208" s="122"/>
      <c r="AB208" s="122"/>
      <c r="AC208" s="122"/>
      <c r="AD208" s="122"/>
      <c r="AE208" s="94"/>
      <c r="AF208" s="122"/>
      <c r="AG208" s="122"/>
      <c r="AH208" s="122"/>
      <c r="AI208" s="122"/>
      <c r="AJ208" s="94"/>
      <c r="AK208" s="122"/>
      <c r="AL208" s="122"/>
      <c r="AM208" s="122"/>
      <c r="AN208" s="122"/>
      <c r="AO208" s="94"/>
      <c r="AP208" s="122"/>
      <c r="AQ208" s="122"/>
      <c r="AR208" s="122"/>
      <c r="AS208" s="122"/>
      <c r="AT208" s="94"/>
      <c r="AU208" s="122"/>
      <c r="AV208" s="122"/>
      <c r="AW208" s="122"/>
      <c r="AX208" s="122"/>
      <c r="AY208" s="94">
        <f t="shared" ref="AY208:BL208" si="400">(AY195-AT195)*10000</f>
        <v>-24.249386341331224</v>
      </c>
      <c r="AZ208" s="122">
        <f t="shared" si="400"/>
        <v>224.90768714333669</v>
      </c>
      <c r="BA208" s="122">
        <f t="shared" si="400"/>
        <v>176.34968711417176</v>
      </c>
      <c r="BB208" s="122">
        <f t="shared" si="400"/>
        <v>-110.59346490263022</v>
      </c>
      <c r="BC208" s="122">
        <f t="shared" si="400"/>
        <v>-287.62366905643626</v>
      </c>
      <c r="BD208" s="94">
        <f t="shared" si="400"/>
        <v>-1.7923492523674867</v>
      </c>
      <c r="BE208" s="122">
        <f t="shared" si="400"/>
        <v>76.15544203156216</v>
      </c>
      <c r="BF208" s="122">
        <f t="shared" si="400"/>
        <v>-87.359798192851443</v>
      </c>
      <c r="BG208" s="122">
        <f t="shared" si="400"/>
        <v>84.19635912360279</v>
      </c>
      <c r="BH208" s="122">
        <f t="shared" si="400"/>
        <v>183.17176426627253</v>
      </c>
      <c r="BI208" s="94">
        <f>(BI195-BD195)*10000</f>
        <v>58.761215555640511</v>
      </c>
      <c r="BJ208" s="122">
        <f t="shared" si="400"/>
        <v>-45.006493308581419</v>
      </c>
      <c r="BK208" s="122">
        <f t="shared" si="400"/>
        <v>29.424699900303388</v>
      </c>
      <c r="BL208" s="122">
        <f t="shared" si="400"/>
        <v>-106.15600221668464</v>
      </c>
      <c r="BM208" s="122">
        <f t="shared" ref="BM208:BM209" si="401">(BM195-BH195)*10000</f>
        <v>127.04605970760674</v>
      </c>
      <c r="BN208" s="94">
        <f>(BN195-BI195)*10000</f>
        <v>2.6747836880730569</v>
      </c>
      <c r="BO208" s="122">
        <f t="shared" ref="BO208:BO209" si="402">(BO195-BJ195)*10000</f>
        <v>-373.80124614824098</v>
      </c>
      <c r="BP208" s="824">
        <v>-50</v>
      </c>
      <c r="BQ208" s="824">
        <v>120</v>
      </c>
      <c r="BR208" s="824">
        <v>100</v>
      </c>
      <c r="BS208" s="94">
        <f>(BS195-BN195)*10000</f>
        <v>-39.410982761752813</v>
      </c>
      <c r="BT208" s="122">
        <f>BX208</f>
        <v>80</v>
      </c>
      <c r="BU208" s="122">
        <f>BT208</f>
        <v>80</v>
      </c>
      <c r="BV208" s="122">
        <f>BU208</f>
        <v>80</v>
      </c>
      <c r="BW208" s="122">
        <f>BV208</f>
        <v>80</v>
      </c>
      <c r="BX208" s="127">
        <v>80</v>
      </c>
      <c r="BY208" s="122">
        <f t="shared" si="389"/>
        <v>80</v>
      </c>
      <c r="BZ208" s="122">
        <f t="shared" si="390"/>
        <v>80</v>
      </c>
      <c r="CA208" s="122">
        <f t="shared" si="390"/>
        <v>80</v>
      </c>
      <c r="CB208" s="122">
        <f t="shared" si="390"/>
        <v>80</v>
      </c>
      <c r="CC208" s="127">
        <v>80</v>
      </c>
      <c r="CD208" s="122">
        <f t="shared" si="391"/>
        <v>80</v>
      </c>
      <c r="CE208" s="122">
        <f t="shared" si="392"/>
        <v>80</v>
      </c>
      <c r="CF208" s="122">
        <f t="shared" si="392"/>
        <v>80</v>
      </c>
      <c r="CG208" s="122">
        <f t="shared" si="392"/>
        <v>80</v>
      </c>
      <c r="CH208" s="127">
        <v>80</v>
      </c>
      <c r="CI208" s="122">
        <f t="shared" si="393"/>
        <v>75</v>
      </c>
      <c r="CJ208" s="122">
        <f t="shared" si="394"/>
        <v>75</v>
      </c>
      <c r="CK208" s="122">
        <f t="shared" si="394"/>
        <v>75</v>
      </c>
      <c r="CL208" s="122">
        <f t="shared" si="394"/>
        <v>75</v>
      </c>
      <c r="CM208" s="127">
        <v>75</v>
      </c>
    </row>
    <row r="209" spans="1:91" x14ac:dyDescent="0.2">
      <c r="A209" s="47" t="s">
        <v>184</v>
      </c>
      <c r="B209" s="38" t="s">
        <v>169</v>
      </c>
      <c r="C209" s="38" t="s">
        <v>169</v>
      </c>
      <c r="D209" s="38" t="s">
        <v>169</v>
      </c>
      <c r="E209" s="38" t="s">
        <v>169</v>
      </c>
      <c r="F209" s="88" t="s">
        <v>169</v>
      </c>
      <c r="G209" s="122">
        <f t="shared" ref="G209:P210" si="403">(G196-B196)*10000</f>
        <v>-532.98348899694429</v>
      </c>
      <c r="H209" s="122">
        <f t="shared" si="403"/>
        <v>-177.88862893833689</v>
      </c>
      <c r="I209" s="122">
        <f t="shared" si="403"/>
        <v>-26.74608681150492</v>
      </c>
      <c r="J209" s="122">
        <f t="shared" si="403"/>
        <v>-523.86545401157559</v>
      </c>
      <c r="K209" s="94">
        <f t="shared" si="403"/>
        <v>-310.22923453874751</v>
      </c>
      <c r="L209" s="122">
        <f t="shared" si="403"/>
        <v>-24.965243000015235</v>
      </c>
      <c r="M209" s="122">
        <f t="shared" si="403"/>
        <v>264.09362377878278</v>
      </c>
      <c r="N209" s="122">
        <f t="shared" si="403"/>
        <v>0.66553525673029856</v>
      </c>
      <c r="O209" s="122">
        <f t="shared" si="403"/>
        <v>-47.704442958657609</v>
      </c>
      <c r="P209" s="94">
        <f t="shared" si="403"/>
        <v>100.83570448598923</v>
      </c>
      <c r="Q209" s="122">
        <f t="shared" ref="Q209:Z210" si="404">(Q196-L196)*10000</f>
        <v>143.76591253635885</v>
      </c>
      <c r="R209" s="122">
        <f t="shared" si="404"/>
        <v>80.168510332233595</v>
      </c>
      <c r="S209" s="122">
        <f t="shared" si="404"/>
        <v>273.66480339128196</v>
      </c>
      <c r="T209" s="122">
        <f t="shared" si="404"/>
        <v>-379.75855539427397</v>
      </c>
      <c r="U209" s="94">
        <f t="shared" si="404"/>
        <v>5.2299435682773288</v>
      </c>
      <c r="V209" s="122">
        <f t="shared" si="404"/>
        <v>109.73844971403079</v>
      </c>
      <c r="W209" s="122">
        <f t="shared" si="404"/>
        <v>-112.85878793278081</v>
      </c>
      <c r="X209" s="122">
        <f t="shared" si="404"/>
        <v>-371.24257600018194</v>
      </c>
      <c r="Y209" s="122">
        <f t="shared" si="404"/>
        <v>36.618024812810624</v>
      </c>
      <c r="Z209" s="94">
        <f t="shared" si="404"/>
        <v>-98.411455557110841</v>
      </c>
      <c r="AA209" s="122">
        <f t="shared" ref="AA209:AJ210" si="405">(AA196-V196)*10000</f>
        <v>105.77601456017827</v>
      </c>
      <c r="AB209" s="122">
        <f t="shared" si="405"/>
        <v>162.83242041755963</v>
      </c>
      <c r="AC209" s="122">
        <f t="shared" si="405"/>
        <v>404.89283699943644</v>
      </c>
      <c r="AD209" s="122">
        <f t="shared" si="405"/>
        <v>-333.25545171339564</v>
      </c>
      <c r="AE209" s="94">
        <f t="shared" si="405"/>
        <v>75.607283074146096</v>
      </c>
      <c r="AF209" s="122">
        <f t="shared" si="405"/>
        <v>205.41804092350068</v>
      </c>
      <c r="AG209" s="122">
        <f t="shared" si="405"/>
        <v>-40.422322775263694</v>
      </c>
      <c r="AH209" s="122">
        <f t="shared" si="405"/>
        <v>-85.637687396887259</v>
      </c>
      <c r="AI209" s="122">
        <f t="shared" si="405"/>
        <v>-361.43892339544516</v>
      </c>
      <c r="AJ209" s="94">
        <f t="shared" si="405"/>
        <v>-53.693430365699399</v>
      </c>
      <c r="AK209" s="122">
        <f t="shared" ref="AK209:AT210" si="406">(AK196-AF196)*10000</f>
        <v>-75.23883530648645</v>
      </c>
      <c r="AL209" s="122">
        <f t="shared" si="406"/>
        <v>387.41073469511389</v>
      </c>
      <c r="AM209" s="122">
        <f t="shared" si="406"/>
        <v>102.92793682999346</v>
      </c>
      <c r="AN209" s="122">
        <f t="shared" si="406"/>
        <v>408.03796874150754</v>
      </c>
      <c r="AO209" s="94">
        <f t="shared" si="406"/>
        <v>-196.75477479310754</v>
      </c>
      <c r="AP209" s="122">
        <f t="shared" si="406"/>
        <v>-206.93063869515083</v>
      </c>
      <c r="AQ209" s="122">
        <f t="shared" si="406"/>
        <v>-394.68194019821379</v>
      </c>
      <c r="AR209" s="122">
        <f t="shared" si="406"/>
        <v>128.06031503510508</v>
      </c>
      <c r="AS209" s="122">
        <f t="shared" si="406"/>
        <v>385.96945691517726</v>
      </c>
      <c r="AT209" s="94">
        <f t="shared" si="406"/>
        <v>405.80766087909893</v>
      </c>
      <c r="AU209" s="122">
        <f t="shared" ref="AU209:AZ209" si="407">(AU196-AP196)*10000</f>
        <v>-99.515824602675053</v>
      </c>
      <c r="AV209" s="122">
        <f t="shared" si="407"/>
        <v>-9.0110339876336987</v>
      </c>
      <c r="AW209" s="122">
        <f t="shared" si="407"/>
        <v>-234.63627875392578</v>
      </c>
      <c r="AX209" s="122">
        <f t="shared" si="407"/>
        <v>39.636558050616941</v>
      </c>
      <c r="AY209" s="94">
        <f>(AY196-AT196)*10000</f>
        <v>-71.231221500024361</v>
      </c>
      <c r="AZ209" s="122">
        <f t="shared" si="407"/>
        <v>-78.856652512908624</v>
      </c>
      <c r="BA209" s="122">
        <f t="shared" ref="BA209:BL209" si="408">(BA196-AV196)*10000</f>
        <v>-150.07306446239542</v>
      </c>
      <c r="BB209" s="122">
        <f t="shared" si="408"/>
        <v>11.899117162275097</v>
      </c>
      <c r="BC209" s="122">
        <f t="shared" si="408"/>
        <v>-538.87172697852316</v>
      </c>
      <c r="BD209" s="94">
        <f t="shared" si="408"/>
        <v>-149.19547993782979</v>
      </c>
      <c r="BE209" s="122">
        <f t="shared" si="408"/>
        <v>259.51889601285473</v>
      </c>
      <c r="BF209" s="122">
        <f t="shared" si="408"/>
        <v>93.202966094908518</v>
      </c>
      <c r="BG209" s="122">
        <f t="shared" si="408"/>
        <v>-82.240495722831767</v>
      </c>
      <c r="BH209" s="122">
        <f t="shared" si="408"/>
        <v>-96.286493423163307</v>
      </c>
      <c r="BI209" s="94">
        <f>(BI196-BD196)*10000</f>
        <v>27.319004313322569</v>
      </c>
      <c r="BJ209" s="122">
        <f t="shared" si="408"/>
        <v>17.119339357052898</v>
      </c>
      <c r="BK209" s="122">
        <f t="shared" si="408"/>
        <v>-140.99161179453145</v>
      </c>
      <c r="BL209" s="122">
        <f t="shared" si="408"/>
        <v>15.229203336649677</v>
      </c>
      <c r="BM209" s="122">
        <f t="shared" si="401"/>
        <v>11.616911304601629</v>
      </c>
      <c r="BN209" s="94">
        <f>(BN196-BI196)*10000</f>
        <v>-35.560510309124993</v>
      </c>
      <c r="BO209" s="122">
        <f t="shared" si="402"/>
        <v>151.9970856577385</v>
      </c>
      <c r="BP209" s="824">
        <v>50</v>
      </c>
      <c r="BQ209" s="824">
        <v>50</v>
      </c>
      <c r="BR209" s="824">
        <v>50</v>
      </c>
      <c r="BS209" s="94">
        <f>(BS196-BN196)*10000</f>
        <v>79.973588828694545</v>
      </c>
      <c r="BT209" s="122">
        <f t="shared" si="387"/>
        <v>80</v>
      </c>
      <c r="BU209" s="122">
        <f t="shared" si="388"/>
        <v>80</v>
      </c>
      <c r="BV209" s="122">
        <f t="shared" si="388"/>
        <v>80</v>
      </c>
      <c r="BW209" s="122">
        <f t="shared" si="388"/>
        <v>80</v>
      </c>
      <c r="BX209" s="127">
        <v>80</v>
      </c>
      <c r="BY209" s="122">
        <f t="shared" si="389"/>
        <v>80</v>
      </c>
      <c r="BZ209" s="122">
        <f t="shared" si="390"/>
        <v>80</v>
      </c>
      <c r="CA209" s="122">
        <f t="shared" si="390"/>
        <v>80</v>
      </c>
      <c r="CB209" s="122">
        <f t="shared" si="390"/>
        <v>80</v>
      </c>
      <c r="CC209" s="127">
        <v>80</v>
      </c>
      <c r="CD209" s="122">
        <f t="shared" si="391"/>
        <v>80</v>
      </c>
      <c r="CE209" s="122">
        <f t="shared" si="392"/>
        <v>80</v>
      </c>
      <c r="CF209" s="122">
        <f t="shared" si="392"/>
        <v>80</v>
      </c>
      <c r="CG209" s="122">
        <f t="shared" si="392"/>
        <v>80</v>
      </c>
      <c r="CH209" s="127">
        <v>80</v>
      </c>
      <c r="CI209" s="122">
        <f t="shared" si="393"/>
        <v>75</v>
      </c>
      <c r="CJ209" s="122">
        <f t="shared" si="394"/>
        <v>75</v>
      </c>
      <c r="CK209" s="122">
        <f t="shared" si="394"/>
        <v>75</v>
      </c>
      <c r="CL209" s="122">
        <f t="shared" si="394"/>
        <v>75</v>
      </c>
      <c r="CM209" s="127">
        <v>75</v>
      </c>
    </row>
    <row r="210" spans="1:91" hidden="1" outlineLevel="1" x14ac:dyDescent="0.2">
      <c r="A210" s="47" t="s">
        <v>360</v>
      </c>
      <c r="B210" s="38" t="s">
        <v>169</v>
      </c>
      <c r="C210" s="38" t="s">
        <v>169</v>
      </c>
      <c r="D210" s="38" t="s">
        <v>169</v>
      </c>
      <c r="E210" s="38" t="s">
        <v>169</v>
      </c>
      <c r="F210" s="88" t="s">
        <v>169</v>
      </c>
      <c r="G210" s="122">
        <f t="shared" si="403"/>
        <v>420.32256697185483</v>
      </c>
      <c r="H210" s="122">
        <f t="shared" si="403"/>
        <v>238.08035725227515</v>
      </c>
      <c r="I210" s="122">
        <f t="shared" si="403"/>
        <v>361.13098564000688</v>
      </c>
      <c r="J210" s="122">
        <f t="shared" si="403"/>
        <v>167.29812891908151</v>
      </c>
      <c r="K210" s="94">
        <f t="shared" si="403"/>
        <v>285.63783652051768</v>
      </c>
      <c r="L210" s="122">
        <f t="shared" si="403"/>
        <v>180.4298686579294</v>
      </c>
      <c r="M210" s="122">
        <f t="shared" si="403"/>
        <v>-187.15552280509888</v>
      </c>
      <c r="N210" s="122">
        <f t="shared" si="403"/>
        <v>-85.583776729244093</v>
      </c>
      <c r="O210" s="122">
        <f t="shared" si="403"/>
        <v>369.28877825374349</v>
      </c>
      <c r="P210" s="94">
        <f t="shared" si="403"/>
        <v>55.991393435215407</v>
      </c>
      <c r="Q210" s="122">
        <f t="shared" si="404"/>
        <v>54.409030262813701</v>
      </c>
      <c r="R210" s="122">
        <f t="shared" si="404"/>
        <v>150.1477860040537</v>
      </c>
      <c r="S210" s="122">
        <f t="shared" si="404"/>
        <v>-11.091393078970709</v>
      </c>
      <c r="T210" s="122">
        <f t="shared" si="404"/>
        <v>130.63145987786021</v>
      </c>
      <c r="U210" s="94">
        <f t="shared" si="404"/>
        <v>86.274525230630999</v>
      </c>
      <c r="V210" s="122">
        <f t="shared" si="404"/>
        <v>-104.5165141479803</v>
      </c>
      <c r="W210" s="122">
        <f t="shared" si="404"/>
        <v>38.228840474111429</v>
      </c>
      <c r="X210" s="122">
        <f t="shared" si="404"/>
        <v>118.10294770081948</v>
      </c>
      <c r="Y210" s="122">
        <f t="shared" si="404"/>
        <v>116.9365166357755</v>
      </c>
      <c r="Z210" s="94">
        <f t="shared" si="404"/>
        <v>40.102004271226484</v>
      </c>
      <c r="AA210" s="122">
        <f t="shared" si="405"/>
        <v>222.06679688926212</v>
      </c>
      <c r="AB210" s="122">
        <f t="shared" si="405"/>
        <v>-25.173293840849848</v>
      </c>
      <c r="AC210" s="122">
        <f t="shared" si="405"/>
        <v>-42.015574991722815</v>
      </c>
      <c r="AD210" s="122">
        <f t="shared" si="405"/>
        <v>19.095911101521256</v>
      </c>
      <c r="AE210" s="94">
        <f t="shared" si="405"/>
        <v>34.203593183009112</v>
      </c>
      <c r="AF210" s="122">
        <f t="shared" si="405"/>
        <v>-30.303556543484316</v>
      </c>
      <c r="AG210" s="122">
        <f t="shared" si="405"/>
        <v>-120.93086985995122</v>
      </c>
      <c r="AH210" s="122">
        <f t="shared" si="405"/>
        <v>-11.424551058697372</v>
      </c>
      <c r="AI210" s="122">
        <f t="shared" si="405"/>
        <v>18.321868251741993</v>
      </c>
      <c r="AJ210" s="94">
        <f t="shared" si="405"/>
        <v>-35.414958341002809</v>
      </c>
      <c r="AK210" s="122">
        <f t="shared" si="406"/>
        <v>-25.537590682845888</v>
      </c>
      <c r="AL210" s="122">
        <f t="shared" si="406"/>
        <v>-3.7917729208667565</v>
      </c>
      <c r="AM210" s="122">
        <f t="shared" si="406"/>
        <v>-131.15424905067434</v>
      </c>
      <c r="AN210" s="122">
        <f t="shared" si="406"/>
        <v>26.209135011759365</v>
      </c>
      <c r="AO210" s="94">
        <f t="shared" si="406"/>
        <v>-37.373223892988513</v>
      </c>
      <c r="AP210" s="122">
        <f t="shared" si="406"/>
        <v>193.01335960995948</v>
      </c>
      <c r="AQ210" s="122">
        <f t="shared" si="406"/>
        <v>128.23192822420759</v>
      </c>
      <c r="AR210" s="122">
        <f t="shared" si="406"/>
        <v>46.226821425842012</v>
      </c>
      <c r="AS210" s="122">
        <f t="shared" si="406"/>
        <v>-197.27958061892426</v>
      </c>
      <c r="AT210" s="94">
        <f t="shared" si="406"/>
        <v>53.377101113632889</v>
      </c>
      <c r="AU210" s="660">
        <f>(AU197-AP197)*10000</f>
        <v>-246.44224908831978</v>
      </c>
      <c r="AV210" s="660">
        <f>(AV197-AQ197)*10000</f>
        <v>-37.088587807529713</v>
      </c>
      <c r="AW210" s="660">
        <f>(AW197-AR197)*10000</f>
        <v>-4.2790975573026024</v>
      </c>
      <c r="AX210" s="660">
        <f>(AX197-AS197)*10000</f>
        <v>176.69269787514938</v>
      </c>
      <c r="AY210" s="661">
        <f>(AY197-AT197)*10000</f>
        <v>-33.88389039178562</v>
      </c>
      <c r="AZ210" s="660">
        <f t="shared" ref="AZ210:BD212" si="409">(AZ197-AU197)*10000</f>
        <v>179.74522500774765</v>
      </c>
      <c r="BA210" s="660">
        <f t="shared" si="409"/>
        <v>71.214459828218835</v>
      </c>
      <c r="BB210" s="660">
        <f t="shared" si="409"/>
        <v>197.82287997563915</v>
      </c>
      <c r="BC210" s="660">
        <f t="shared" si="409"/>
        <v>265.07340436815872</v>
      </c>
      <c r="BD210" s="661">
        <f t="shared" si="409"/>
        <v>165.77834835300501</v>
      </c>
      <c r="BE210" s="700"/>
      <c r="BF210" s="700"/>
      <c r="BG210" s="700"/>
      <c r="BH210" s="700"/>
      <c r="BI210" s="661"/>
      <c r="BJ210" s="700"/>
      <c r="BK210" s="700"/>
      <c r="BL210" s="700"/>
      <c r="BM210" s="700"/>
      <c r="BN210" s="661"/>
      <c r="BO210" s="700"/>
      <c r="BP210" s="825"/>
      <c r="BQ210" s="825"/>
      <c r="BR210" s="825"/>
      <c r="BS210" s="661"/>
      <c r="BT210" s="660"/>
      <c r="BU210" s="660"/>
      <c r="BV210" s="660"/>
      <c r="BW210" s="660"/>
      <c r="BX210" s="127">
        <v>85</v>
      </c>
      <c r="BY210" s="660"/>
      <c r="BZ210" s="660"/>
      <c r="CA210" s="660"/>
      <c r="CB210" s="660"/>
      <c r="CC210" s="127">
        <v>85</v>
      </c>
      <c r="CD210" s="660"/>
      <c r="CE210" s="660"/>
      <c r="CF210" s="660"/>
      <c r="CG210" s="660"/>
      <c r="CH210" s="127">
        <v>80</v>
      </c>
      <c r="CI210" s="660"/>
      <c r="CJ210" s="660"/>
      <c r="CK210" s="660"/>
      <c r="CL210" s="660"/>
      <c r="CM210" s="127">
        <v>75</v>
      </c>
    </row>
    <row r="211" spans="1:91" collapsed="1" x14ac:dyDescent="0.2">
      <c r="A211" s="47" t="s">
        <v>185</v>
      </c>
      <c r="B211" s="38"/>
      <c r="C211" s="38"/>
      <c r="D211" s="38"/>
      <c r="E211" s="38"/>
      <c r="F211" s="88"/>
      <c r="G211" s="122"/>
      <c r="H211" s="122"/>
      <c r="I211" s="122"/>
      <c r="J211" s="122"/>
      <c r="K211" s="94"/>
      <c r="L211" s="122"/>
      <c r="M211" s="122"/>
      <c r="N211" s="122"/>
      <c r="O211" s="122"/>
      <c r="P211" s="94"/>
      <c r="Q211" s="122"/>
      <c r="R211" s="122"/>
      <c r="S211" s="122"/>
      <c r="T211" s="122"/>
      <c r="U211" s="94"/>
      <c r="V211" s="122"/>
      <c r="W211" s="122"/>
      <c r="X211" s="122"/>
      <c r="Y211" s="122"/>
      <c r="Z211" s="94"/>
      <c r="AA211" s="122"/>
      <c r="AB211" s="122"/>
      <c r="AC211" s="122"/>
      <c r="AD211" s="122"/>
      <c r="AE211" s="94"/>
      <c r="AF211" s="122"/>
      <c r="AG211" s="122"/>
      <c r="AH211" s="122"/>
      <c r="AI211" s="122"/>
      <c r="AJ211" s="94"/>
      <c r="AK211" s="122"/>
      <c r="AL211" s="122"/>
      <c r="AM211" s="122"/>
      <c r="AN211" s="122"/>
      <c r="AO211" s="94"/>
      <c r="AP211" s="122"/>
      <c r="AQ211" s="122"/>
      <c r="AR211" s="122"/>
      <c r="AS211" s="122"/>
      <c r="AT211" s="94"/>
      <c r="AU211" s="122"/>
      <c r="AV211" s="122"/>
      <c r="AW211" s="122"/>
      <c r="AX211" s="122"/>
      <c r="AY211" s="94">
        <f>(AY198-AT198)*10000</f>
        <v>-4.5079357109636256</v>
      </c>
      <c r="AZ211" s="122">
        <f t="shared" si="409"/>
        <v>70.139497315151388</v>
      </c>
      <c r="BA211" s="122">
        <f t="shared" si="409"/>
        <v>-27.55492935602566</v>
      </c>
      <c r="BB211" s="122">
        <f t="shared" si="409"/>
        <v>96.904171210943844</v>
      </c>
      <c r="BC211" s="122">
        <f t="shared" si="409"/>
        <v>-33.18501223714847</v>
      </c>
      <c r="BD211" s="94">
        <f t="shared" si="409"/>
        <v>24.598624801715033</v>
      </c>
      <c r="BE211" s="122">
        <f t="shared" ref="BE211:BL212" si="410">(BE198-AZ198)*10000</f>
        <v>115.24509761718222</v>
      </c>
      <c r="BF211" s="122">
        <f t="shared" si="410"/>
        <v>20.615436753131448</v>
      </c>
      <c r="BG211" s="122">
        <f t="shared" si="410"/>
        <v>-54.302578267853079</v>
      </c>
      <c r="BH211" s="122">
        <f t="shared" si="410"/>
        <v>-45.522194428772089</v>
      </c>
      <c r="BI211" s="94">
        <f t="shared" ref="BI211" si="411">(BI198-BD198)*10000</f>
        <v>8.6743190812374813</v>
      </c>
      <c r="BJ211" s="122">
        <f t="shared" si="410"/>
        <v>-73.282354304252095</v>
      </c>
      <c r="BK211" s="122">
        <f t="shared" si="410"/>
        <v>-189.10677762616456</v>
      </c>
      <c r="BL211" s="122">
        <f t="shared" si="410"/>
        <v>-371.32037922551751</v>
      </c>
      <c r="BM211" s="122">
        <f t="shared" ref="BM211:BM213" si="412">(BM198-BH198)*10000</f>
        <v>-214.80557711936569</v>
      </c>
      <c r="BN211" s="94">
        <f t="shared" ref="BN211:BO212" si="413">(BN198-BI198)*10000</f>
        <v>-186.85236476854723</v>
      </c>
      <c r="BO211" s="122">
        <f t="shared" si="413"/>
        <v>-220.27782270026361</v>
      </c>
      <c r="BP211" s="824">
        <v>-350</v>
      </c>
      <c r="BQ211" s="824">
        <v>-100</v>
      </c>
      <c r="BR211" s="824">
        <v>-10</v>
      </c>
      <c r="BS211" s="94">
        <f t="shared" ref="BS211" si="414">(BS198-BN198)*10000</f>
        <v>-204.19601242779564</v>
      </c>
      <c r="BT211" s="122">
        <f>BX211</f>
        <v>80</v>
      </c>
      <c r="BU211" s="122">
        <f>BT211</f>
        <v>80</v>
      </c>
      <c r="BV211" s="122">
        <f>BU211</f>
        <v>80</v>
      </c>
      <c r="BW211" s="122">
        <f>BV211</f>
        <v>80</v>
      </c>
      <c r="BX211" s="127">
        <v>80</v>
      </c>
      <c r="BY211" s="122">
        <f t="shared" si="389"/>
        <v>80</v>
      </c>
      <c r="BZ211" s="122">
        <f t="shared" si="390"/>
        <v>80</v>
      </c>
      <c r="CA211" s="122">
        <f t="shared" si="390"/>
        <v>80</v>
      </c>
      <c r="CB211" s="122">
        <f t="shared" si="390"/>
        <v>80</v>
      </c>
      <c r="CC211" s="127">
        <v>80</v>
      </c>
      <c r="CD211" s="122">
        <f t="shared" si="391"/>
        <v>80</v>
      </c>
      <c r="CE211" s="122">
        <f t="shared" si="392"/>
        <v>80</v>
      </c>
      <c r="CF211" s="122">
        <f t="shared" si="392"/>
        <v>80</v>
      </c>
      <c r="CG211" s="122">
        <f t="shared" si="392"/>
        <v>80</v>
      </c>
      <c r="CH211" s="127">
        <v>80</v>
      </c>
      <c r="CI211" s="122">
        <f t="shared" si="393"/>
        <v>75</v>
      </c>
      <c r="CJ211" s="122">
        <f t="shared" si="394"/>
        <v>75</v>
      </c>
      <c r="CK211" s="122">
        <f t="shared" si="394"/>
        <v>75</v>
      </c>
      <c r="CL211" s="122">
        <f t="shared" si="394"/>
        <v>75</v>
      </c>
      <c r="CM211" s="127">
        <v>75</v>
      </c>
    </row>
    <row r="212" spans="1:91" x14ac:dyDescent="0.2">
      <c r="A212" s="47" t="s">
        <v>186</v>
      </c>
      <c r="B212" s="38" t="s">
        <v>169</v>
      </c>
      <c r="C212" s="38" t="s">
        <v>169</v>
      </c>
      <c r="D212" s="38" t="s">
        <v>169</v>
      </c>
      <c r="E212" s="38" t="s">
        <v>169</v>
      </c>
      <c r="F212" s="88" t="s">
        <v>169</v>
      </c>
      <c r="G212" s="122">
        <f t="shared" ref="G212:AH212" si="415">-(G199-B199)*10000</f>
        <v>-30.669813555232807</v>
      </c>
      <c r="H212" s="122">
        <f t="shared" si="415"/>
        <v>24.012102714496759</v>
      </c>
      <c r="I212" s="122">
        <f t="shared" si="415"/>
        <v>-53.543895897825365</v>
      </c>
      <c r="J212" s="122">
        <f t="shared" si="415"/>
        <v>44.679793195761128</v>
      </c>
      <c r="K212" s="94">
        <f t="shared" si="415"/>
        <v>-5.4305151655380248</v>
      </c>
      <c r="L212" s="122">
        <f t="shared" si="415"/>
        <v>15.254773912737607</v>
      </c>
      <c r="M212" s="122">
        <f t="shared" si="415"/>
        <v>49.339534320516769</v>
      </c>
      <c r="N212" s="122">
        <f t="shared" si="415"/>
        <v>64.08702902162868</v>
      </c>
      <c r="O212" s="122">
        <f t="shared" si="415"/>
        <v>191.555769645212</v>
      </c>
      <c r="P212" s="94">
        <f t="shared" si="415"/>
        <v>80.018898834478819</v>
      </c>
      <c r="Q212" s="122">
        <f t="shared" si="415"/>
        <v>166.65905390627094</v>
      </c>
      <c r="R212" s="122">
        <f t="shared" si="415"/>
        <v>97.378489281860325</v>
      </c>
      <c r="S212" s="122">
        <f t="shared" si="415"/>
        <v>111.22433596515269</v>
      </c>
      <c r="T212" s="122">
        <f t="shared" si="415"/>
        <v>96.676717960128627</v>
      </c>
      <c r="U212" s="94">
        <f t="shared" si="415"/>
        <v>121.18986712035596</v>
      </c>
      <c r="V212" s="122">
        <f t="shared" si="415"/>
        <v>-60.021492228807119</v>
      </c>
      <c r="W212" s="122">
        <f t="shared" si="415"/>
        <v>-48.5444059542613</v>
      </c>
      <c r="X212" s="122">
        <f t="shared" si="415"/>
        <v>-49.957273598804782</v>
      </c>
      <c r="Y212" s="122">
        <f t="shared" si="415"/>
        <v>31.915159990627135</v>
      </c>
      <c r="Z212" s="94">
        <f t="shared" si="415"/>
        <v>-36.010925702748416</v>
      </c>
      <c r="AA212" s="122">
        <f t="shared" si="415"/>
        <v>41.266823889680033</v>
      </c>
      <c r="AB212" s="122">
        <f t="shared" si="415"/>
        <v>54.806050954623494</v>
      </c>
      <c r="AC212" s="122">
        <f t="shared" si="415"/>
        <v>-25.929663140408717</v>
      </c>
      <c r="AD212" s="122">
        <f t="shared" si="415"/>
        <v>108.51524566571173</v>
      </c>
      <c r="AE212" s="94">
        <f>(AE199-Z199)*10000</f>
        <v>-43.077406269658098</v>
      </c>
      <c r="AF212" s="122">
        <f t="shared" si="415"/>
        <v>64.251767066944538</v>
      </c>
      <c r="AG212" s="122">
        <f t="shared" si="415"/>
        <v>25.820156994244559</v>
      </c>
      <c r="AH212" s="122">
        <f t="shared" si="415"/>
        <v>87.644263712050275</v>
      </c>
      <c r="AI212" s="122">
        <f>-(AI199-AD199)*10000</f>
        <v>18.390425999121607</v>
      </c>
      <c r="AJ212" s="94">
        <f>(AJ199-AE199)*10000</f>
        <v>-50.04092679358741</v>
      </c>
      <c r="AK212" s="122">
        <f>-(AK199-AF199)*10000</f>
        <v>38.720307998153793</v>
      </c>
      <c r="AL212" s="122">
        <f>-(AL199-AG199)*10000</f>
        <v>23.498281809541666</v>
      </c>
      <c r="AM212" s="122">
        <f>-(AM199-AH199)*10000</f>
        <v>13.867752223564837</v>
      </c>
      <c r="AN212" s="122">
        <f t="shared" ref="AN212:AX212" si="416">(AN199-AI199)*10000</f>
        <v>18.412470979699975</v>
      </c>
      <c r="AO212" s="94">
        <f t="shared" si="416"/>
        <v>-14.563283946124155</v>
      </c>
      <c r="AP212" s="122">
        <f t="shared" si="416"/>
        <v>10.471469170534528</v>
      </c>
      <c r="AQ212" s="122">
        <f t="shared" ca="1" si="416"/>
        <v>10.711062417445467</v>
      </c>
      <c r="AR212" s="122">
        <f t="shared" ca="1" si="416"/>
        <v>23.490636123021449</v>
      </c>
      <c r="AS212" s="122">
        <f t="shared" si="416"/>
        <v>-38.34000721158408</v>
      </c>
      <c r="AT212" s="94">
        <f t="shared" ca="1" si="416"/>
        <v>2.0718075255954371</v>
      </c>
      <c r="AU212" s="122">
        <f t="shared" si="416"/>
        <v>-15.148129284692432</v>
      </c>
      <c r="AV212" s="122">
        <f t="shared" ca="1" si="416"/>
        <v>4.9201549791740016</v>
      </c>
      <c r="AW212" s="122">
        <f t="shared" ca="1" si="416"/>
        <v>-24.449564132421123</v>
      </c>
      <c r="AX212" s="122">
        <f t="shared" si="416"/>
        <v>1.1917330517963869</v>
      </c>
      <c r="AY212" s="94">
        <f ca="1">(AY199-AT199)*10000</f>
        <v>-8.0027736130875233</v>
      </c>
      <c r="AZ212" s="122">
        <f t="shared" si="409"/>
        <v>-9.6338671443710684</v>
      </c>
      <c r="BA212" s="122">
        <f t="shared" si="409"/>
        <v>-4.766648175280122</v>
      </c>
      <c r="BB212" s="122">
        <f t="shared" si="409"/>
        <v>-50.637724210124965</v>
      </c>
      <c r="BC212" s="122">
        <f t="shared" si="409"/>
        <v>-11.409124356144204</v>
      </c>
      <c r="BD212" s="94">
        <f t="shared" si="409"/>
        <v>-20.1408887655085</v>
      </c>
      <c r="BE212" s="122">
        <f t="shared" si="410"/>
        <v>14.544544878682258</v>
      </c>
      <c r="BF212" s="122">
        <f t="shared" si="410"/>
        <v>6.1864967501618073</v>
      </c>
      <c r="BG212" s="122">
        <f t="shared" si="410"/>
        <v>161.38434449756599</v>
      </c>
      <c r="BH212" s="122">
        <f t="shared" si="410"/>
        <v>45.933333333333309</v>
      </c>
      <c r="BI212" s="94">
        <f>(BI199-BD199)*10000</f>
        <v>56.406185571312228</v>
      </c>
      <c r="BJ212" s="122">
        <f t="shared" si="410"/>
        <v>82.656134134549561</v>
      </c>
      <c r="BK212" s="122">
        <f t="shared" si="410"/>
        <v>93.530885790517885</v>
      </c>
      <c r="BL212" s="122">
        <f t="shared" si="410"/>
        <v>-22.425011217792612</v>
      </c>
      <c r="BM212" s="122">
        <f t="shared" si="412"/>
        <v>275.57269076305226</v>
      </c>
      <c r="BN212" s="94">
        <f>(BN199-BI199)*10000</f>
        <v>98.567183494692983</v>
      </c>
      <c r="BO212" s="122">
        <f t="shared" si="413"/>
        <v>23.361651951894768</v>
      </c>
      <c r="BP212" s="824">
        <v>60</v>
      </c>
      <c r="BQ212" s="824">
        <v>40</v>
      </c>
      <c r="BR212" s="824">
        <v>40</v>
      </c>
      <c r="BS212" s="94">
        <f>(BS199-BN199)*10000</f>
        <v>46.840945874486032</v>
      </c>
      <c r="BT212" s="122">
        <f t="shared" si="387"/>
        <v>5</v>
      </c>
      <c r="BU212" s="122">
        <f t="shared" si="388"/>
        <v>5</v>
      </c>
      <c r="BV212" s="122">
        <f t="shared" si="388"/>
        <v>5</v>
      </c>
      <c r="BW212" s="122">
        <f t="shared" si="388"/>
        <v>5</v>
      </c>
      <c r="BX212" s="127">
        <v>5</v>
      </c>
      <c r="BY212" s="122">
        <f t="shared" si="389"/>
        <v>5</v>
      </c>
      <c r="BZ212" s="122">
        <f t="shared" si="390"/>
        <v>5</v>
      </c>
      <c r="CA212" s="122">
        <f t="shared" si="390"/>
        <v>5</v>
      </c>
      <c r="CB212" s="122">
        <f t="shared" si="390"/>
        <v>5</v>
      </c>
      <c r="CC212" s="127">
        <v>5</v>
      </c>
      <c r="CD212" s="122">
        <f t="shared" si="391"/>
        <v>5</v>
      </c>
      <c r="CE212" s="122">
        <f t="shared" si="392"/>
        <v>5</v>
      </c>
      <c r="CF212" s="122">
        <f t="shared" si="392"/>
        <v>5</v>
      </c>
      <c r="CG212" s="122">
        <f t="shared" si="392"/>
        <v>5</v>
      </c>
      <c r="CH212" s="127">
        <v>5</v>
      </c>
      <c r="CI212" s="122">
        <f t="shared" si="393"/>
        <v>5</v>
      </c>
      <c r="CJ212" s="122">
        <f t="shared" si="394"/>
        <v>5</v>
      </c>
      <c r="CK212" s="122">
        <f t="shared" si="394"/>
        <v>5</v>
      </c>
      <c r="CL212" s="122">
        <f t="shared" si="394"/>
        <v>5</v>
      </c>
      <c r="CM212" s="127">
        <v>5</v>
      </c>
    </row>
    <row r="213" spans="1:91" x14ac:dyDescent="0.2">
      <c r="A213" s="71" t="s">
        <v>198</v>
      </c>
      <c r="B213" s="37" t="s">
        <v>169</v>
      </c>
      <c r="C213" s="37" t="s">
        <v>169</v>
      </c>
      <c r="D213" s="37" t="s">
        <v>169</v>
      </c>
      <c r="E213" s="37" t="s">
        <v>169</v>
      </c>
      <c r="F213" s="90" t="s">
        <v>169</v>
      </c>
      <c r="G213" s="75">
        <f t="shared" ref="G213:Z213" si="417">(G200-B200)*10000</f>
        <v>48.960993078285831</v>
      </c>
      <c r="H213" s="75">
        <f t="shared" si="417"/>
        <v>137.7804576987418</v>
      </c>
      <c r="I213" s="75">
        <f t="shared" si="417"/>
        <v>16.724414914965347</v>
      </c>
      <c r="J213" s="75">
        <f t="shared" si="417"/>
        <v>72.023253268624359</v>
      </c>
      <c r="K213" s="95">
        <f t="shared" si="417"/>
        <v>65.145051017920224</v>
      </c>
      <c r="L213" s="75">
        <f t="shared" si="417"/>
        <v>-73.166102082636854</v>
      </c>
      <c r="M213" s="75">
        <f t="shared" si="417"/>
        <v>-198.87454414940552</v>
      </c>
      <c r="N213" s="75">
        <f t="shared" si="417"/>
        <v>-149.22893353906369</v>
      </c>
      <c r="O213" s="75">
        <f t="shared" si="417"/>
        <v>-83.03583016468275</v>
      </c>
      <c r="P213" s="95">
        <f t="shared" si="417"/>
        <v>-133.10111195821261</v>
      </c>
      <c r="Q213" s="75">
        <f t="shared" si="417"/>
        <v>-36.942501956908622</v>
      </c>
      <c r="R213" s="75">
        <f t="shared" si="417"/>
        <v>85.587667944511111</v>
      </c>
      <c r="S213" s="75">
        <f t="shared" si="417"/>
        <v>175.39602402584259</v>
      </c>
      <c r="T213" s="75">
        <f t="shared" si="417"/>
        <v>292.16335629154793</v>
      </c>
      <c r="U213" s="95">
        <f t="shared" si="417"/>
        <v>145.77045201803028</v>
      </c>
      <c r="V213" s="75">
        <f t="shared" si="417"/>
        <v>81.674212374577834</v>
      </c>
      <c r="W213" s="75">
        <f t="shared" si="417"/>
        <v>-46.962769031720363</v>
      </c>
      <c r="X213" s="75">
        <f t="shared" si="417"/>
        <v>70.729479463095828</v>
      </c>
      <c r="Y213" s="75">
        <f t="shared" si="417"/>
        <v>-40.947181286584701</v>
      </c>
      <c r="Z213" s="95">
        <f t="shared" si="417"/>
        <v>5.6409825616898779</v>
      </c>
      <c r="AA213" s="75">
        <f>(AA200-V200)*10000</f>
        <v>301.55231851423827</v>
      </c>
      <c r="AB213" s="75">
        <f>(AB200-W200)*10000</f>
        <v>239.13761426590906</v>
      </c>
      <c r="AC213" s="75">
        <f>(AC200-X200)*10000</f>
        <v>168.07452200648609</v>
      </c>
      <c r="AD213" s="75">
        <f>(AD200-Y200)*10000</f>
        <v>-584.51560805654753</v>
      </c>
      <c r="AE213" s="95">
        <f>(AE200-Z200)*10000</f>
        <v>-29.435033594946148</v>
      </c>
      <c r="AF213" s="75">
        <f>(AF200-AA200)*10000</f>
        <v>-654.93463388200246</v>
      </c>
      <c r="AG213" s="75">
        <f>(AG200-AB200)*10000</f>
        <v>-644.38771218200964</v>
      </c>
      <c r="AH213" s="75">
        <f>(AH200-AC200)*10000</f>
        <v>-481.20426464187238</v>
      </c>
      <c r="AI213" s="75">
        <f>(AI200-AD200)*10000</f>
        <v>103.40587996453459</v>
      </c>
      <c r="AJ213" s="95">
        <f>(AJ200-AE200)*10000</f>
        <v>-354.55640786199365</v>
      </c>
      <c r="AK213" s="75">
        <f t="shared" ref="AK213:AU213" si="418">(AK200-AF200)*10000</f>
        <v>-71.401004081542709</v>
      </c>
      <c r="AL213" s="75">
        <f t="shared" si="418"/>
        <v>-22.388296858244505</v>
      </c>
      <c r="AM213" s="75">
        <f t="shared" si="418"/>
        <v>-159.13427641988775</v>
      </c>
      <c r="AN213" s="75">
        <f t="shared" si="418"/>
        <v>144.06167169579791</v>
      </c>
      <c r="AO213" s="95">
        <f t="shared" si="418"/>
        <v>-30.253107341499664</v>
      </c>
      <c r="AP213" s="75">
        <f t="shared" si="418"/>
        <v>63.872048087177667</v>
      </c>
      <c r="AQ213" s="75">
        <f t="shared" ca="1" si="418"/>
        <v>72.465086129365758</v>
      </c>
      <c r="AR213" s="75">
        <f t="shared" ca="1" si="418"/>
        <v>107.20740813768143</v>
      </c>
      <c r="AS213" s="75">
        <f t="shared" si="418"/>
        <v>-9.0979035798557923</v>
      </c>
      <c r="AT213" s="95">
        <f t="shared" ca="1" si="418"/>
        <v>60.436127168950748</v>
      </c>
      <c r="AU213" s="75">
        <f t="shared" si="418"/>
        <v>-41.032195729857058</v>
      </c>
      <c r="AV213" s="75">
        <f t="shared" ref="AV213:BH213" ca="1" si="419">(AV200-AQ200)*10000</f>
        <v>-35.85382114944413</v>
      </c>
      <c r="AW213" s="75">
        <f t="shared" ca="1" si="419"/>
        <v>3.9946892954653701</v>
      </c>
      <c r="AX213" s="75">
        <f>(AX200-AS200)*10000</f>
        <v>-16.314345586588562</v>
      </c>
      <c r="AY213" s="95">
        <f ca="1">(AY200-AT200)*10000</f>
        <v>-21.802084101072982</v>
      </c>
      <c r="AZ213" s="75">
        <f>(AZ200-AU200)*10000</f>
        <v>16.442422574894643</v>
      </c>
      <c r="BA213" s="75">
        <f>(BA200-AV200)*10000</f>
        <v>-50.537278671894391</v>
      </c>
      <c r="BB213" s="75">
        <f>(BB200-AW200)*10000</f>
        <v>-4.2089955705582049</v>
      </c>
      <c r="BC213" s="75">
        <f t="shared" si="419"/>
        <v>-136.2001471670346</v>
      </c>
      <c r="BD213" s="95">
        <f>(BD200-AY200)*10000</f>
        <v>-39.555717705372082</v>
      </c>
      <c r="BE213" s="75">
        <f t="shared" si="419"/>
        <v>27.539926521088219</v>
      </c>
      <c r="BF213" s="75">
        <f t="shared" si="419"/>
        <v>52.046980597825751</v>
      </c>
      <c r="BG213" s="75">
        <f t="shared" si="419"/>
        <v>-31.420328200265914</v>
      </c>
      <c r="BH213" s="75">
        <f t="shared" si="419"/>
        <v>104.93333333333327</v>
      </c>
      <c r="BI213" s="95">
        <f>(BI200-BD200)*10000</f>
        <v>37.370843737983272</v>
      </c>
      <c r="BJ213" s="75">
        <f>(BJ200-BE200)*10000</f>
        <v>100.78188510485808</v>
      </c>
      <c r="BK213" s="75">
        <f>(BK200-BF200)*10000</f>
        <v>341.39323374212051</v>
      </c>
      <c r="BL213" s="75">
        <f>(BL200-BG200)*10000</f>
        <v>355.34123051005702</v>
      </c>
      <c r="BM213" s="75">
        <f t="shared" si="412"/>
        <v>494.15368139223563</v>
      </c>
      <c r="BN213" s="95">
        <f>(BN200-BI200)*10000</f>
        <v>318.13052659103505</v>
      </c>
      <c r="BO213" s="75">
        <f>(BO200-BJ200)*10000</f>
        <v>595.48016480667263</v>
      </c>
      <c r="BP213" s="75">
        <f t="shared" ref="BP213:CC213" si="420">(BP200-BK200)*10000</f>
        <v>316.2053647033386</v>
      </c>
      <c r="BQ213" s="75">
        <f t="shared" si="420"/>
        <v>493.31861915034744</v>
      </c>
      <c r="BR213" s="75">
        <f t="shared" si="420"/>
        <v>358.08270258874677</v>
      </c>
      <c r="BS213" s="95">
        <f t="shared" si="420"/>
        <v>440.74669741077707</v>
      </c>
      <c r="BT213" s="75">
        <f t="shared" si="420"/>
        <v>97.236205796679684</v>
      </c>
      <c r="BU213" s="75">
        <f t="shared" si="420"/>
        <v>96.795876690294321</v>
      </c>
      <c r="BV213" s="75">
        <f t="shared" si="420"/>
        <v>97.47814673820298</v>
      </c>
      <c r="BW213" s="75">
        <f t="shared" si="420"/>
        <v>97.154350003469943</v>
      </c>
      <c r="BX213" s="95">
        <f t="shared" si="420"/>
        <v>97.104950223538822</v>
      </c>
      <c r="BY213" s="75">
        <f t="shared" si="420"/>
        <v>102.29044226657268</v>
      </c>
      <c r="BZ213" s="75">
        <f t="shared" si="420"/>
        <v>96.128494135937487</v>
      </c>
      <c r="CA213" s="75">
        <f t="shared" si="420"/>
        <v>96.731924641649812</v>
      </c>
      <c r="CB213" s="75">
        <f t="shared" si="420"/>
        <v>96.315502018043958</v>
      </c>
      <c r="CC213" s="95">
        <f t="shared" si="420"/>
        <v>97.678333309427217</v>
      </c>
      <c r="CD213" s="75">
        <f t="shared" ref="CD213:CM213" si="421">(CD200-BY200)*10000</f>
        <v>103.34462693299074</v>
      </c>
      <c r="CE213" s="75">
        <f t="shared" si="421"/>
        <v>97.110389988607764</v>
      </c>
      <c r="CF213" s="75">
        <f t="shared" si="421"/>
        <v>96.741513869230133</v>
      </c>
      <c r="CG213" s="75">
        <f t="shared" si="421"/>
        <v>95.582292919378915</v>
      </c>
      <c r="CH213" s="95">
        <f t="shared" si="421"/>
        <v>98.022758213928142</v>
      </c>
      <c r="CI213" s="75">
        <f t="shared" si="421"/>
        <v>93.771478351027397</v>
      </c>
      <c r="CJ213" s="75">
        <f t="shared" si="421"/>
        <v>88.637260751897045</v>
      </c>
      <c r="CK213" s="75">
        <f t="shared" si="421"/>
        <v>87.898536030803214</v>
      </c>
      <c r="CL213" s="75">
        <f t="shared" si="421"/>
        <v>86.531391065371992</v>
      </c>
      <c r="CM213" s="95">
        <f t="shared" si="421"/>
        <v>89.082802555918718</v>
      </c>
    </row>
    <row r="214" spans="1:91" x14ac:dyDescent="0.2">
      <c r="A214" s="52"/>
      <c r="B214" s="73"/>
      <c r="C214" s="73"/>
      <c r="D214" s="73"/>
      <c r="E214" s="46"/>
      <c r="F214" s="93"/>
      <c r="G214" s="36"/>
      <c r="H214" s="36"/>
      <c r="I214" s="36"/>
      <c r="J214" s="36"/>
      <c r="K214" s="93"/>
      <c r="L214" s="73"/>
      <c r="M214" s="73"/>
      <c r="N214" s="38"/>
      <c r="O214" s="38"/>
      <c r="P214" s="93"/>
      <c r="Q214" s="122"/>
      <c r="R214" s="122"/>
      <c r="S214" s="122"/>
      <c r="T214" s="122"/>
      <c r="U214" s="88"/>
      <c r="V214" s="122"/>
      <c r="W214" s="122"/>
      <c r="X214" s="122"/>
      <c r="Y214" s="122"/>
      <c r="Z214" s="88"/>
      <c r="AA214" s="122"/>
      <c r="AB214" s="122"/>
      <c r="AC214" s="122"/>
      <c r="AD214" s="122"/>
      <c r="AE214" s="88"/>
      <c r="AF214" s="157"/>
      <c r="AG214" s="157"/>
      <c r="AH214" s="157"/>
      <c r="AI214" s="157"/>
      <c r="AJ214" s="158"/>
      <c r="AK214" s="157"/>
      <c r="AL214" s="157"/>
      <c r="AM214" s="157"/>
      <c r="AN214" s="157"/>
      <c r="AO214" s="158"/>
      <c r="AP214" s="157"/>
      <c r="AQ214" s="157"/>
      <c r="AR214" s="157"/>
      <c r="AS214" s="157"/>
      <c r="AT214" s="159"/>
      <c r="AU214" s="38"/>
      <c r="AV214" s="197"/>
      <c r="AW214" s="197"/>
      <c r="AX214" s="197"/>
      <c r="AY214" s="140"/>
      <c r="AZ214" s="38"/>
      <c r="BA214" s="73"/>
      <c r="BB214" s="73"/>
      <c r="BC214" s="73"/>
      <c r="BD214" s="140"/>
      <c r="BE214" s="38"/>
      <c r="BF214" s="73"/>
      <c r="BG214" s="73"/>
      <c r="BH214" s="73"/>
      <c r="BI214" s="88"/>
      <c r="BJ214" s="38"/>
      <c r="BK214" s="73"/>
      <c r="BL214" s="73"/>
      <c r="BM214" s="73"/>
      <c r="BN214" s="88"/>
      <c r="BO214" s="38"/>
      <c r="BP214" s="73"/>
      <c r="BQ214" s="73"/>
      <c r="BR214" s="73"/>
      <c r="BS214" s="88"/>
      <c r="BT214" s="38"/>
      <c r="BU214" s="73"/>
      <c r="BV214" s="73"/>
      <c r="BW214" s="73"/>
      <c r="BX214" s="88"/>
      <c r="BY214" s="38"/>
      <c r="BZ214" s="73"/>
      <c r="CA214" s="73"/>
      <c r="CB214" s="73"/>
      <c r="CC214" s="88"/>
      <c r="CD214" s="38"/>
      <c r="CE214" s="73"/>
      <c r="CF214" s="73"/>
      <c r="CG214" s="73"/>
      <c r="CH214" s="88"/>
      <c r="CI214" s="38"/>
      <c r="CJ214" s="73"/>
      <c r="CK214" s="73"/>
      <c r="CL214" s="73"/>
      <c r="CM214" s="88"/>
    </row>
    <row r="215" spans="1:91" x14ac:dyDescent="0.2">
      <c r="A215" s="52" t="s">
        <v>201</v>
      </c>
      <c r="B215" s="73"/>
      <c r="C215" s="73"/>
      <c r="D215" s="73"/>
      <c r="E215" s="46"/>
      <c r="F215" s="93"/>
      <c r="G215" s="36"/>
      <c r="H215" s="36"/>
      <c r="I215" s="36"/>
      <c r="J215" s="36"/>
      <c r="K215" s="93"/>
      <c r="L215" s="73"/>
      <c r="M215" s="73"/>
      <c r="N215" s="38"/>
      <c r="O215" s="38"/>
      <c r="P215" s="93"/>
      <c r="Q215" s="38"/>
      <c r="R215" s="38"/>
      <c r="S215" s="73"/>
      <c r="T215" s="73"/>
      <c r="U215" s="88"/>
      <c r="V215" s="38"/>
      <c r="W215" s="73"/>
      <c r="X215" s="38"/>
      <c r="Y215" s="73"/>
      <c r="Z215" s="88"/>
      <c r="AA215" s="38"/>
      <c r="AB215" s="73"/>
      <c r="AC215" s="73"/>
      <c r="AD215" s="38"/>
      <c r="AE215" s="88"/>
      <c r="AF215" s="154"/>
      <c r="AG215" s="154"/>
      <c r="AH215" s="154"/>
      <c r="AI215" s="154"/>
      <c r="AJ215" s="155"/>
      <c r="AK215" s="153"/>
      <c r="AL215" s="153"/>
      <c r="AM215" s="153"/>
      <c r="AN215" s="153"/>
      <c r="AO215" s="152"/>
      <c r="AP215" s="38"/>
      <c r="AQ215" s="73"/>
      <c r="AR215" s="73"/>
      <c r="AS215" s="38"/>
      <c r="AT215" s="88"/>
      <c r="AU215" s="128"/>
      <c r="AV215" s="128"/>
      <c r="AW215" s="128"/>
      <c r="AX215" s="128"/>
      <c r="AY215" s="88"/>
      <c r="AZ215" s="38"/>
      <c r="BA215" s="73"/>
      <c r="BB215" s="73"/>
      <c r="BC215" s="73"/>
      <c r="BD215" s="88"/>
      <c r="BE215" s="38"/>
      <c r="BF215" s="73"/>
      <c r="BG215" s="73"/>
      <c r="BH215" s="73"/>
      <c r="BI215" s="88"/>
      <c r="BJ215" s="38"/>
      <c r="BK215" s="73"/>
      <c r="BL215" s="73"/>
      <c r="BM215" s="73"/>
      <c r="BN215" s="88"/>
      <c r="BO215" s="38"/>
      <c r="BP215" s="73"/>
      <c r="BQ215" s="73"/>
      <c r="BR215" s="73"/>
      <c r="BS215" s="88"/>
      <c r="BT215" s="38"/>
      <c r="BU215" s="73"/>
      <c r="BV215" s="73"/>
      <c r="BW215" s="73"/>
      <c r="BX215" s="88"/>
      <c r="BY215" s="38"/>
      <c r="BZ215" s="73"/>
      <c r="CA215" s="73"/>
      <c r="CB215" s="73"/>
      <c r="CC215" s="88"/>
      <c r="CD215" s="38"/>
      <c r="CE215" s="73"/>
      <c r="CF215" s="73"/>
      <c r="CG215" s="73"/>
      <c r="CH215" s="88"/>
      <c r="CI215" s="38"/>
      <c r="CJ215" s="73"/>
      <c r="CK215" s="73"/>
      <c r="CL215" s="73"/>
      <c r="CM215" s="88"/>
    </row>
    <row r="216" spans="1:91" x14ac:dyDescent="0.2">
      <c r="A216" s="727" t="str">
        <f>+A203</f>
        <v>Europe, Middle East, Africa</v>
      </c>
      <c r="B216" s="73"/>
      <c r="C216" s="73"/>
      <c r="D216" s="73"/>
      <c r="E216" s="46"/>
      <c r="F216" s="93"/>
      <c r="G216" s="36"/>
      <c r="H216" s="36"/>
      <c r="I216" s="36"/>
      <c r="J216" s="36"/>
      <c r="K216" s="93"/>
      <c r="L216" s="73"/>
      <c r="M216" s="73"/>
      <c r="N216" s="38"/>
      <c r="O216" s="38"/>
      <c r="P216" s="93"/>
      <c r="Q216" s="38"/>
      <c r="R216" s="38"/>
      <c r="S216" s="73"/>
      <c r="T216" s="73"/>
      <c r="U216" s="88"/>
      <c r="V216" s="38"/>
      <c r="W216" s="73"/>
      <c r="X216" s="38"/>
      <c r="Y216" s="73"/>
      <c r="Z216" s="88"/>
      <c r="AA216" s="38"/>
      <c r="AB216" s="73"/>
      <c r="AC216" s="73"/>
      <c r="AD216" s="38"/>
      <c r="AE216" s="88"/>
      <c r="AF216" s="154"/>
      <c r="AG216" s="154"/>
      <c r="AH216" s="154"/>
      <c r="AI216" s="154"/>
      <c r="AJ216" s="155"/>
      <c r="AK216" s="153"/>
      <c r="AL216" s="153"/>
      <c r="AM216" s="153"/>
      <c r="AN216" s="153"/>
      <c r="AO216" s="152"/>
      <c r="AP216" s="38"/>
      <c r="AQ216" s="73"/>
      <c r="AR216" s="73"/>
      <c r="AS216" s="38"/>
      <c r="AT216" s="88"/>
      <c r="AU216" s="128"/>
      <c r="AV216" s="128"/>
      <c r="AW216" s="128"/>
      <c r="AX216" s="128"/>
      <c r="AY216" s="93">
        <f t="shared" ref="AY216:AY226" si="422">AY159/AT159-1</f>
        <v>1.6978776529338324E-2</v>
      </c>
      <c r="AZ216" s="36">
        <f t="shared" ref="AZ216:AZ226" si="423">AZ159/AU159-1</f>
        <v>-2.5440313111546042E-2</v>
      </c>
      <c r="BA216" s="36">
        <f t="shared" ref="BA216:BA226" si="424">BA159/AV159-1</f>
        <v>-5.7529610829103239E-2</v>
      </c>
      <c r="BB216" s="36">
        <f t="shared" ref="BB216:BB226" si="425">BB159/AW159-1</f>
        <v>-8.921568627450982E-2</v>
      </c>
      <c r="BC216" s="36">
        <f t="shared" ref="BC216:BC226" si="426">BC159/AX159-1</f>
        <v>-2.5912838633686652E-2</v>
      </c>
      <c r="BD216" s="93">
        <f t="shared" ref="BD216:BD226" si="427">BD159/AY159-1</f>
        <v>-5.0822489565430895E-2</v>
      </c>
      <c r="BE216" s="36">
        <f t="shared" ref="BE216:BE226" si="428">BE159/AZ159-1</f>
        <v>-6.6265060240963902E-2</v>
      </c>
      <c r="BF216" s="36">
        <f t="shared" ref="BF216:BF226" si="429">BF159/BA159-1</f>
        <v>-5.1166965888689409E-2</v>
      </c>
      <c r="BG216" s="36">
        <f t="shared" ref="BG216:BG226" si="430">BG159/BB159-1</f>
        <v>-1.3993541442411161E-2</v>
      </c>
      <c r="BH216" s="36">
        <f t="shared" ref="BH216:BH226" si="431">BH159/BC159-1</f>
        <v>-2.6602176541717037E-2</v>
      </c>
      <c r="BI216" s="93">
        <f t="shared" ref="BI216:BI226" si="432">BI159/BD159-1</f>
        <v>-4.0869115364718045E-2</v>
      </c>
      <c r="BJ216" s="36">
        <f t="shared" ref="BJ216:BJ226" si="433">BJ159/BE159-1</f>
        <v>-7.3118279569892475E-2</v>
      </c>
      <c r="BK216" s="36">
        <f t="shared" ref="BK216:BK226" si="434">BK159/BF159-1</f>
        <v>1.2298959318826963E-2</v>
      </c>
      <c r="BL216" s="36">
        <f t="shared" ref="BL216:BL226" si="435">BL159/BG159-1</f>
        <v>2.4017467248908186E-2</v>
      </c>
      <c r="BM216" s="36">
        <f t="shared" ref="BM216:BM226" si="436">BM159/BH159-1</f>
        <v>-2.9813664596273326E-2</v>
      </c>
      <c r="BN216" s="93">
        <f t="shared" ref="BN216:BN226" si="437">BN159/BI159-1</f>
        <v>-1.53721682847896E-2</v>
      </c>
      <c r="BO216" s="36">
        <f t="shared" ref="BO216:BO226" si="438">BO159/BJ159-1</f>
        <v>6.2645011600928058E-2</v>
      </c>
      <c r="BP216" s="36">
        <f t="shared" ref="BP216:BP226" si="439">BP159/BK159-1</f>
        <v>-2.9222817115884703E-2</v>
      </c>
      <c r="BQ216" s="36">
        <f t="shared" ref="BQ216:BQ226" si="440">BQ159/BL159-1</f>
        <v>5.350613463242504E-2</v>
      </c>
      <c r="BR216" s="36">
        <f t="shared" ref="BR216:BR226" si="441">BR159/BM159-1</f>
        <v>8.0528940493867607E-2</v>
      </c>
      <c r="BS216" s="93">
        <f t="shared" ref="BS216:BS226" si="442">BS159/BN159-1</f>
        <v>3.7198970829068312E-2</v>
      </c>
      <c r="BT216" s="36">
        <f t="shared" ref="BT216:BT226" si="443">BT159/BO159-1</f>
        <v>4.8740657090734496E-2</v>
      </c>
      <c r="BU216" s="36">
        <f t="shared" ref="BU216:BU226" si="444">BU159/BP159-1</f>
        <v>5.6630611093393624E-2</v>
      </c>
      <c r="BV216" s="36">
        <f t="shared" ref="BV216:BV226" si="445">BV159/BQ159-1</f>
        <v>5.6746651980658758E-2</v>
      </c>
      <c r="BW216" s="36">
        <f t="shared" ref="BW216:BW226" si="446">BW159/BR159-1</f>
        <v>5.761561874734733E-2</v>
      </c>
      <c r="BX216" s="93">
        <f t="shared" ref="BX216:BX226" si="447">BX159/BS159-1</f>
        <v>5.4971884964716278E-2</v>
      </c>
      <c r="BY216" s="36">
        <f t="shared" ref="BY216:BY226" si="448">BY159/BT159-1</f>
        <v>5.6457138927807238E-2</v>
      </c>
      <c r="BZ216" s="36">
        <f t="shared" ref="BZ216:BZ226" si="449">BZ159/BU159-1</f>
        <v>5.6368857153619389E-2</v>
      </c>
      <c r="CA216" s="36">
        <f t="shared" ref="CA216:CA226" si="450">CA159/BV159-1</f>
        <v>5.6481261641322833E-2</v>
      </c>
      <c r="CB216" s="36">
        <f t="shared" ref="CB216:CB226" si="451">CB159/BW159-1</f>
        <v>5.7322213451178161E-2</v>
      </c>
      <c r="CC216" s="93">
        <f t="shared" ref="CC216:CC226" si="452">CC159/BX159-1</f>
        <v>5.6632455858483421E-2</v>
      </c>
      <c r="CD216" s="36">
        <f t="shared" ref="CD216:CD226" si="453">CD159/BY159-1</f>
        <v>4.6044998392310132E-2</v>
      </c>
      <c r="CE216" s="36">
        <f t="shared" ref="CE216:CE226" si="454">CE159/BZ159-1</f>
        <v>4.5960261185337359E-2</v>
      </c>
      <c r="CF216" s="36">
        <f t="shared" ref="CF216:CF226" si="455">CF159/CA159-1</f>
        <v>4.6068150100636585E-2</v>
      </c>
      <c r="CG216" s="36">
        <f t="shared" ref="CG216:CG226" si="456">CG159/CB159-1</f>
        <v>4.6874590950355843E-2</v>
      </c>
      <c r="CH216" s="93">
        <f t="shared" ref="CH216:CH226" si="457">CH159/CC159-1</f>
        <v>4.6213234260648495E-2</v>
      </c>
      <c r="CI216" s="36">
        <f t="shared" ref="CI216:CI226" si="458">CI159/CD159-1</f>
        <v>4.4811458012214311E-2</v>
      </c>
      <c r="CJ216" s="36">
        <f t="shared" ref="CJ216:CJ226" si="459">CJ159/CE159-1</f>
        <v>4.4734429001753728E-2</v>
      </c>
      <c r="CK216" s="36">
        <f t="shared" ref="CK216:CK226" si="460">CK159/CF159-1</f>
        <v>4.483250153389573E-2</v>
      </c>
      <c r="CL216" s="36">
        <f t="shared" ref="CL216:CL226" si="461">CL159/CG159-1</f>
        <v>4.556492728670114E-2</v>
      </c>
      <c r="CM216" s="93">
        <f t="shared" ref="CM216:CM226" si="462">CM159/CH159-1</f>
        <v>4.4964353174142824E-2</v>
      </c>
    </row>
    <row r="217" spans="1:91" hidden="1" x14ac:dyDescent="0.2">
      <c r="A217" s="47" t="s">
        <v>182</v>
      </c>
      <c r="B217" s="38" t="s">
        <v>169</v>
      </c>
      <c r="C217" s="38" t="s">
        <v>169</v>
      </c>
      <c r="D217" s="38" t="s">
        <v>169</v>
      </c>
      <c r="E217" s="38" t="s">
        <v>169</v>
      </c>
      <c r="F217" s="88" t="s">
        <v>169</v>
      </c>
      <c r="G217" s="36" t="s">
        <v>169</v>
      </c>
      <c r="H217" s="36" t="s">
        <v>169</v>
      </c>
      <c r="I217" s="36" t="s">
        <v>169</v>
      </c>
      <c r="J217" s="36" t="s">
        <v>169</v>
      </c>
      <c r="K217" s="27" t="s">
        <v>169</v>
      </c>
      <c r="L217" s="36">
        <f t="shared" ref="L217:U220" si="463">L160/G160-1</f>
        <v>9.4594594594594517E-2</v>
      </c>
      <c r="M217" s="36">
        <f t="shared" si="463"/>
        <v>0.1404494382022472</v>
      </c>
      <c r="N217" s="36">
        <f t="shared" si="463"/>
        <v>0.29565217391304355</v>
      </c>
      <c r="O217" s="36">
        <f t="shared" si="463"/>
        <v>0.23376623376623384</v>
      </c>
      <c r="P217" s="27">
        <f t="shared" si="463"/>
        <v>0.18319327731092439</v>
      </c>
      <c r="Q217" s="36">
        <f t="shared" si="463"/>
        <v>0.40123456790123457</v>
      </c>
      <c r="R217" s="36">
        <f t="shared" si="463"/>
        <v>0.32512315270935965</v>
      </c>
      <c r="S217" s="36">
        <f t="shared" si="463"/>
        <v>0.20805369127516782</v>
      </c>
      <c r="T217" s="36">
        <f t="shared" si="463"/>
        <v>-0.16315789473684206</v>
      </c>
      <c r="U217" s="27">
        <f t="shared" si="463"/>
        <v>0.18607954545454541</v>
      </c>
      <c r="V217" s="36">
        <f t="shared" ref="V217:AE220" si="464">V160/Q160-1</f>
        <v>-8.8105726872246715E-2</v>
      </c>
      <c r="W217" s="36">
        <f t="shared" si="464"/>
        <v>-8.5501858736059533E-2</v>
      </c>
      <c r="X217" s="36">
        <f t="shared" si="464"/>
        <v>2.2222222222222143E-2</v>
      </c>
      <c r="Y217" s="36">
        <f t="shared" si="464"/>
        <v>0.1132075471698113</v>
      </c>
      <c r="Z217" s="27">
        <f t="shared" si="464"/>
        <v>-2.5149700598802394E-2</v>
      </c>
      <c r="AA217" s="183">
        <f t="shared" si="464"/>
        <v>0.13043478260869557</v>
      </c>
      <c r="AB217" s="183">
        <f t="shared" si="464"/>
        <v>0.10162601626016254</v>
      </c>
      <c r="AC217" s="183">
        <f t="shared" si="464"/>
        <v>0.18478260869565211</v>
      </c>
      <c r="AD217" s="183">
        <f t="shared" si="464"/>
        <v>0.11864406779661008</v>
      </c>
      <c r="AE217" s="184">
        <f t="shared" si="464"/>
        <v>0.1314496314496314</v>
      </c>
      <c r="AF217" s="36">
        <f t="shared" ref="AF217:AO220" si="465">AF160/AA160-1</f>
        <v>3.8461538461538547E-2</v>
      </c>
      <c r="AG217" s="36">
        <f t="shared" si="465"/>
        <v>9.5940959409594129E-2</v>
      </c>
      <c r="AH217" s="36">
        <f t="shared" si="465"/>
        <v>0.11926605504587151</v>
      </c>
      <c r="AI217" s="36">
        <f t="shared" si="465"/>
        <v>0.16666666666666674</v>
      </c>
      <c r="AJ217" s="27">
        <f t="shared" si="465"/>
        <v>0.10206297502714445</v>
      </c>
      <c r="AK217" s="36">
        <f t="shared" si="465"/>
        <v>9.4650205761316775E-2</v>
      </c>
      <c r="AL217" s="36">
        <f t="shared" si="465"/>
        <v>-3.3670033670033517E-3</v>
      </c>
      <c r="AM217" s="36">
        <f t="shared" si="465"/>
        <v>0</v>
      </c>
      <c r="AN217" s="36">
        <f t="shared" si="465"/>
        <v>0.17748917748917759</v>
      </c>
      <c r="AO217" s="27">
        <f t="shared" si="465"/>
        <v>6.2068965517241281E-2</v>
      </c>
      <c r="AP217" s="36">
        <f t="shared" ref="AP217:AX220" si="466">AP160/AK160-1</f>
        <v>6.7669172932330879E-2</v>
      </c>
      <c r="AQ217" s="36">
        <f t="shared" si="466"/>
        <v>0.12162162162162171</v>
      </c>
      <c r="AR217" s="36">
        <f t="shared" si="466"/>
        <v>-5.3278688524590168E-2</v>
      </c>
      <c r="AS217" s="36">
        <f t="shared" si="466"/>
        <v>-0.11029411764705888</v>
      </c>
      <c r="AT217" s="27">
        <f t="shared" si="466"/>
        <v>1.0204081632652962E-2</v>
      </c>
      <c r="AU217" s="36">
        <f t="shared" si="466"/>
        <v>6.6901408450704247E-2</v>
      </c>
      <c r="AV217" s="36">
        <f t="shared" si="466"/>
        <v>-0.12650602409638556</v>
      </c>
      <c r="AW217" s="36">
        <f t="shared" si="466"/>
        <v>0.1515151515151516</v>
      </c>
      <c r="AX217" s="36">
        <f t="shared" si="466"/>
        <v>3.7190082644628086E-2</v>
      </c>
      <c r="AY217" s="93">
        <f t="shared" si="422"/>
        <v>1.9283746556473913E-2</v>
      </c>
      <c r="AZ217" s="36">
        <f t="shared" si="423"/>
        <v>-3.9603960396039639E-2</v>
      </c>
      <c r="BA217" s="36">
        <f t="shared" si="424"/>
        <v>-4.1379310344827558E-2</v>
      </c>
      <c r="BB217" s="36">
        <f t="shared" si="425"/>
        <v>-0.2142857142857143</v>
      </c>
      <c r="BC217" s="36">
        <f t="shared" si="426"/>
        <v>-0.10358565737051795</v>
      </c>
      <c r="BD217" s="93">
        <f t="shared" si="427"/>
        <v>-9.6396396396396411E-2</v>
      </c>
      <c r="BE217" s="36">
        <f t="shared" si="428"/>
        <v>-0.19243986254295531</v>
      </c>
      <c r="BF217" s="36">
        <f t="shared" si="429"/>
        <v>-0.10431654676258995</v>
      </c>
      <c r="BG217" s="36">
        <f t="shared" ca="1" si="430"/>
        <v>0.13903036991971485</v>
      </c>
      <c r="BH217" s="36">
        <f t="shared" ca="1" si="431"/>
        <v>-0.11650847122618757</v>
      </c>
      <c r="BI217" s="93">
        <f t="shared" ca="1" si="432"/>
        <v>-8.1911324738456526E-2</v>
      </c>
      <c r="BJ217" s="36">
        <f t="shared" ca="1" si="433"/>
        <v>-7.696072476818927E-2</v>
      </c>
      <c r="BK217" s="36">
        <f t="shared" ca="1" si="434"/>
        <v>-2.514921688748839E-2</v>
      </c>
      <c r="BL217" s="36">
        <f t="shared" ca="1" si="435"/>
        <v>-3.7845249725324326E-2</v>
      </c>
      <c r="BM217" s="36">
        <f t="shared" ca="1" si="436"/>
        <v>2.2364162580450264E-2</v>
      </c>
      <c r="BN217" s="93">
        <f t="shared" ca="1" si="437"/>
        <v>-3.1396876106602578E-2</v>
      </c>
      <c r="BO217" s="36">
        <f t="shared" ca="1" si="438"/>
        <v>8.7633884133863527E-2</v>
      </c>
      <c r="BP217" s="36">
        <f t="shared" ca="1" si="439"/>
        <v>6.5957646072745346E-2</v>
      </c>
      <c r="BQ217" s="36">
        <f t="shared" ca="1" si="440"/>
        <v>5.1469372388723844E-2</v>
      </c>
      <c r="BR217" s="36">
        <f t="shared" ca="1" si="441"/>
        <v>5.2072496069420549E-2</v>
      </c>
      <c r="BS217" s="93">
        <f t="shared" ca="1" si="442"/>
        <v>6.4344828705523716E-2</v>
      </c>
      <c r="BT217" s="36">
        <f t="shared" ca="1" si="443"/>
        <v>5.5853598401022886E-2</v>
      </c>
      <c r="BU217" s="36">
        <f t="shared" ca="1" si="444"/>
        <v>7.2231013134224309E-2</v>
      </c>
      <c r="BV217" s="36">
        <f t="shared" ca="1" si="445"/>
        <v>7.2231013134224309E-2</v>
      </c>
      <c r="BW217" s="36">
        <f t="shared" ca="1" si="446"/>
        <v>7.2231013134224309E-2</v>
      </c>
      <c r="BX217" s="93">
        <f t="shared" ca="1" si="447"/>
        <v>6.8160938848835118E-2</v>
      </c>
      <c r="BY217" s="36">
        <f t="shared" ca="1" si="448"/>
        <v>7.1796671759507769E-2</v>
      </c>
      <c r="BZ217" s="36">
        <f t="shared" ca="1" si="449"/>
        <v>7.1770088259901499E-2</v>
      </c>
      <c r="CA217" s="36">
        <f t="shared" ca="1" si="450"/>
        <v>7.1770088259901277E-2</v>
      </c>
      <c r="CB217" s="36">
        <f t="shared" ca="1" si="451"/>
        <v>7.1770088259901277E-2</v>
      </c>
      <c r="CC217" s="93">
        <f t="shared" ca="1" si="452"/>
        <v>7.1776618605329245E-2</v>
      </c>
      <c r="CD217" s="36">
        <f t="shared" ca="1" si="453"/>
        <v>7.0097319663888991E-2</v>
      </c>
      <c r="CE217" s="36">
        <f t="shared" ca="1" si="454"/>
        <v>7.0073306588934736E-2</v>
      </c>
      <c r="CF217" s="36">
        <f t="shared" ca="1" si="455"/>
        <v>7.0073306588934736E-2</v>
      </c>
      <c r="CG217" s="36">
        <f t="shared" ca="1" si="456"/>
        <v>7.0073306588934736E-2</v>
      </c>
      <c r="CH217" s="93">
        <f t="shared" ca="1" si="457"/>
        <v>7.0079205609401507E-2</v>
      </c>
      <c r="CI217" s="36">
        <f t="shared" ca="1" si="458"/>
        <v>5.8311312730365827E-2</v>
      </c>
      <c r="CJ217" s="36">
        <f t="shared" ca="1" si="459"/>
        <v>5.8289844073018848E-2</v>
      </c>
      <c r="CK217" s="36">
        <f t="shared" ca="1" si="460"/>
        <v>5.828984407301907E-2</v>
      </c>
      <c r="CL217" s="36">
        <f t="shared" ca="1" si="461"/>
        <v>5.828984407301907E-2</v>
      </c>
      <c r="CM217" s="93">
        <f t="shared" ca="1" si="462"/>
        <v>5.82951181244733E-2</v>
      </c>
    </row>
    <row r="218" spans="1:91" hidden="1" x14ac:dyDescent="0.2">
      <c r="A218" s="47" t="s">
        <v>183</v>
      </c>
      <c r="B218" s="38" t="s">
        <v>169</v>
      </c>
      <c r="C218" s="38" t="s">
        <v>169</v>
      </c>
      <c r="D218" s="38" t="s">
        <v>169</v>
      </c>
      <c r="E218" s="38" t="s">
        <v>169</v>
      </c>
      <c r="F218" s="88" t="s">
        <v>169</v>
      </c>
      <c r="G218" s="36" t="s">
        <v>169</v>
      </c>
      <c r="H218" s="36" t="s">
        <v>169</v>
      </c>
      <c r="I218" s="36" t="s">
        <v>169</v>
      </c>
      <c r="J218" s="36" t="s">
        <v>169</v>
      </c>
      <c r="K218" s="27" t="s">
        <v>169</v>
      </c>
      <c r="L218" s="36">
        <f t="shared" si="463"/>
        <v>0.35654008438818563</v>
      </c>
      <c r="M218" s="36">
        <f t="shared" si="463"/>
        <v>0.18825100133511352</v>
      </c>
      <c r="N218" s="36">
        <f t="shared" si="463"/>
        <v>5.0670640834575176E-2</v>
      </c>
      <c r="O218" s="36">
        <f t="shared" si="463"/>
        <v>0.13320079522862827</v>
      </c>
      <c r="P218" s="27">
        <f t="shared" si="463"/>
        <v>0.17146433041301634</v>
      </c>
      <c r="Q218" s="36">
        <f t="shared" si="463"/>
        <v>0.14307931570762045</v>
      </c>
      <c r="R218" s="36">
        <f t="shared" si="463"/>
        <v>0.14157303370786511</v>
      </c>
      <c r="S218" s="36">
        <f t="shared" si="463"/>
        <v>0.12907801418439724</v>
      </c>
      <c r="T218" s="36">
        <f t="shared" si="463"/>
        <v>0.10175438596491237</v>
      </c>
      <c r="U218" s="27">
        <f t="shared" si="463"/>
        <v>0.1306980056980056</v>
      </c>
      <c r="V218" s="36">
        <f t="shared" si="464"/>
        <v>-5.8503401360544216E-2</v>
      </c>
      <c r="W218" s="36">
        <f t="shared" si="464"/>
        <v>-0.15157480314960625</v>
      </c>
      <c r="X218" s="36">
        <f t="shared" si="464"/>
        <v>-2.5125628140703515E-2</v>
      </c>
      <c r="Y218" s="36">
        <f t="shared" si="464"/>
        <v>-7.9617834394904996E-3</v>
      </c>
      <c r="Z218" s="27">
        <f t="shared" si="464"/>
        <v>-6.9921259842519734E-2</v>
      </c>
      <c r="AA218" s="36">
        <f t="shared" si="464"/>
        <v>6.9364161849710948E-2</v>
      </c>
      <c r="AB218" s="36">
        <f t="shared" si="464"/>
        <v>8.9327146171693794E-2</v>
      </c>
      <c r="AC218" s="36">
        <f t="shared" si="464"/>
        <v>-2.7061855670103108E-2</v>
      </c>
      <c r="AD218" s="36">
        <f t="shared" si="464"/>
        <v>-4.9759229534510396E-2</v>
      </c>
      <c r="AE218" s="27">
        <f t="shared" si="464"/>
        <v>2.4720623095157546E-2</v>
      </c>
      <c r="AF218" s="36">
        <f t="shared" si="465"/>
        <v>-3.3783783783783772E-2</v>
      </c>
      <c r="AG218" s="36">
        <f t="shared" si="465"/>
        <v>3.833865814696491E-2</v>
      </c>
      <c r="AH218" s="36">
        <f t="shared" si="465"/>
        <v>7.5496688741721885E-2</v>
      </c>
      <c r="AI218" s="36">
        <f t="shared" si="465"/>
        <v>3.5472972972973027E-2</v>
      </c>
      <c r="AJ218" s="27">
        <f t="shared" si="465"/>
        <v>2.9411764705882248E-2</v>
      </c>
      <c r="AK218" s="36">
        <f t="shared" si="465"/>
        <v>-2.9370629370629397E-2</v>
      </c>
      <c r="AL218" s="36">
        <f t="shared" si="465"/>
        <v>-8.2051282051282093E-2</v>
      </c>
      <c r="AM218" s="36">
        <f t="shared" si="465"/>
        <v>-0.14039408866995073</v>
      </c>
      <c r="AN218" s="36">
        <f t="shared" si="465"/>
        <v>9.2985318107667192E-2</v>
      </c>
      <c r="AO218" s="27">
        <f t="shared" si="465"/>
        <v>-5.0722311396468656E-2</v>
      </c>
      <c r="AP218" s="36">
        <f t="shared" si="466"/>
        <v>-1.5850144092218965E-2</v>
      </c>
      <c r="AQ218" s="36">
        <f t="shared" si="466"/>
        <v>-5.921787709497206E-2</v>
      </c>
      <c r="AR218" s="36">
        <f t="shared" si="466"/>
        <v>6.4469914040114595E-2</v>
      </c>
      <c r="AS218" s="36">
        <f t="shared" si="466"/>
        <v>-3.2835820895522394E-2</v>
      </c>
      <c r="AT218" s="27">
        <f t="shared" si="466"/>
        <v>-1.3865404125803171E-2</v>
      </c>
      <c r="AU218" s="36">
        <f t="shared" si="466"/>
        <v>5.2708638360175586E-2</v>
      </c>
      <c r="AV218" s="36">
        <f t="shared" si="466"/>
        <v>5.9382422802850332E-2</v>
      </c>
      <c r="AW218" s="36">
        <f t="shared" si="466"/>
        <v>1.4804845222072593E-2</v>
      </c>
      <c r="AX218" s="36">
        <f t="shared" si="466"/>
        <v>-7.7160493827160503E-2</v>
      </c>
      <c r="AY218" s="93">
        <f t="shared" si="422"/>
        <v>1.6117969821673572E-2</v>
      </c>
      <c r="AZ218" s="36">
        <f t="shared" si="423"/>
        <v>-1.947148817802502E-2</v>
      </c>
      <c r="BA218" s="36">
        <f t="shared" si="424"/>
        <v>-6.2780269058295923E-2</v>
      </c>
      <c r="BB218" s="36">
        <f t="shared" si="425"/>
        <v>-4.5092838196286511E-2</v>
      </c>
      <c r="BC218" s="36">
        <f t="shared" si="426"/>
        <v>6.6889632107023367E-3</v>
      </c>
      <c r="BD218" s="93">
        <f t="shared" si="427"/>
        <v>-3.374957813027335E-2</v>
      </c>
      <c r="BE218" s="36">
        <f t="shared" si="428"/>
        <v>-1.4184397163120588E-2</v>
      </c>
      <c r="BF218" s="36">
        <f t="shared" si="429"/>
        <v>-3.349282296650713E-2</v>
      </c>
      <c r="BG218" s="36">
        <f t="shared" ca="1" si="430"/>
        <v>8.5295321078681985E-2</v>
      </c>
      <c r="BH218" s="36">
        <f t="shared" ca="1" si="431"/>
        <v>0.13492804060918995</v>
      </c>
      <c r="BI218" s="93">
        <f t="shared" ca="1" si="432"/>
        <v>3.6548833958568894E-2</v>
      </c>
      <c r="BJ218" s="36">
        <f t="shared" ca="1" si="433"/>
        <v>-1.0744434344054254E-2</v>
      </c>
      <c r="BK218" s="36">
        <f t="shared" ca="1" si="434"/>
        <v>-4.0089160046995476E-3</v>
      </c>
      <c r="BL218" s="36">
        <f t="shared" ca="1" si="435"/>
        <v>4.5031762258394004E-3</v>
      </c>
      <c r="BM218" s="36">
        <f t="shared" ca="1" si="436"/>
        <v>2.9044593372280714E-2</v>
      </c>
      <c r="BN218" s="93">
        <f t="shared" ca="1" si="437"/>
        <v>4.2647682443981427E-3</v>
      </c>
      <c r="BO218" s="36">
        <f t="shared" ca="1" si="438"/>
        <v>4.0750643546547671E-2</v>
      </c>
      <c r="BP218" s="36">
        <f t="shared" ca="1" si="439"/>
        <v>3.8784187935635206E-2</v>
      </c>
      <c r="BQ218" s="36">
        <f t="shared" ca="1" si="440"/>
        <v>1.6913330100135182E-2</v>
      </c>
      <c r="BR218" s="36">
        <f t="shared" ca="1" si="441"/>
        <v>2.0479023227060633E-2</v>
      </c>
      <c r="BS218" s="93">
        <f t="shared" ca="1" si="442"/>
        <v>2.9159321354508272E-2</v>
      </c>
      <c r="BT218" s="36">
        <f t="shared" ca="1" si="443"/>
        <v>3.5955331398564772E-2</v>
      </c>
      <c r="BU218" s="36">
        <f t="shared" ca="1" si="444"/>
        <v>4.0190489733586299E-2</v>
      </c>
      <c r="BV218" s="36">
        <f t="shared" ca="1" si="445"/>
        <v>4.0190489733586299E-2</v>
      </c>
      <c r="BW218" s="36">
        <f t="shared" ca="1" si="446"/>
        <v>4.0190489733586299E-2</v>
      </c>
      <c r="BX218" s="93">
        <f t="shared" ca="1" si="447"/>
        <v>3.92024652831231E-2</v>
      </c>
      <c r="BY218" s="36">
        <f t="shared" ca="1" si="448"/>
        <v>3.9981524052269179E-2</v>
      </c>
      <c r="BZ218" s="36">
        <f t="shared" ca="1" si="449"/>
        <v>3.9968654424934913E-2</v>
      </c>
      <c r="CA218" s="36">
        <f t="shared" ca="1" si="450"/>
        <v>3.9968654424935135E-2</v>
      </c>
      <c r="CB218" s="36">
        <f t="shared" ca="1" si="451"/>
        <v>3.9968654424934913E-2</v>
      </c>
      <c r="CC218" s="93">
        <f t="shared" ca="1" si="452"/>
        <v>3.9971647412230249E-2</v>
      </c>
      <c r="CD218" s="36">
        <f t="shared" ca="1" si="453"/>
        <v>3.8897135714028197E-2</v>
      </c>
      <c r="CE218" s="36">
        <f t="shared" ca="1" si="454"/>
        <v>3.8885369441858941E-2</v>
      </c>
      <c r="CF218" s="36">
        <f t="shared" ca="1" si="455"/>
        <v>3.8885369441858941E-2</v>
      </c>
      <c r="CG218" s="36">
        <f t="shared" ca="1" si="456"/>
        <v>3.8885369441858941E-2</v>
      </c>
      <c r="CH218" s="93">
        <f t="shared" ca="1" si="457"/>
        <v>3.8888105856570432E-2</v>
      </c>
      <c r="CI218" s="36">
        <f t="shared" ca="1" si="458"/>
        <v>3.785428402015989E-2</v>
      </c>
      <c r="CJ218" s="36">
        <f t="shared" ca="1" si="459"/>
        <v>3.7843546160636343E-2</v>
      </c>
      <c r="CK218" s="36">
        <f t="shared" ca="1" si="460"/>
        <v>3.7843546160636343E-2</v>
      </c>
      <c r="CL218" s="36">
        <f t="shared" ca="1" si="461"/>
        <v>3.7843546160636565E-2</v>
      </c>
      <c r="CM218" s="93">
        <f t="shared" ca="1" si="462"/>
        <v>3.7846043424998532E-2</v>
      </c>
    </row>
    <row r="219" spans="1:91" x14ac:dyDescent="0.2">
      <c r="A219" s="47" t="s">
        <v>14</v>
      </c>
      <c r="B219" s="38" t="s">
        <v>169</v>
      </c>
      <c r="C219" s="38" t="s">
        <v>169</v>
      </c>
      <c r="D219" s="38" t="s">
        <v>169</v>
      </c>
      <c r="E219" s="38" t="s">
        <v>169</v>
      </c>
      <c r="F219" s="88" t="s">
        <v>169</v>
      </c>
      <c r="G219" s="36">
        <f t="shared" ref="G219:K220" si="467">G162/B162-1</f>
        <v>0.24199288256227769</v>
      </c>
      <c r="H219" s="36">
        <f t="shared" si="467"/>
        <v>0.15719063545150491</v>
      </c>
      <c r="I219" s="36">
        <f t="shared" si="467"/>
        <v>0.18855218855218858</v>
      </c>
      <c r="J219" s="36">
        <f t="shared" si="467"/>
        <v>0.28712871287128716</v>
      </c>
      <c r="K219" s="27">
        <f t="shared" si="467"/>
        <v>0.21864406779661016</v>
      </c>
      <c r="L219" s="36">
        <f t="shared" si="463"/>
        <v>0.18911174785100293</v>
      </c>
      <c r="M219" s="36">
        <f t="shared" si="463"/>
        <v>0.199421965317919</v>
      </c>
      <c r="N219" s="36">
        <f t="shared" si="463"/>
        <v>0.25495750708215303</v>
      </c>
      <c r="O219" s="36">
        <f t="shared" si="463"/>
        <v>0.2615384615384615</v>
      </c>
      <c r="P219" s="27">
        <f t="shared" si="463"/>
        <v>0.22739916550764949</v>
      </c>
      <c r="Q219" s="36">
        <f t="shared" si="463"/>
        <v>0.21927710843373505</v>
      </c>
      <c r="R219" s="36">
        <f t="shared" si="463"/>
        <v>0.27951807228915659</v>
      </c>
      <c r="S219" s="36">
        <f t="shared" si="463"/>
        <v>0.26410835214446959</v>
      </c>
      <c r="T219" s="36">
        <f t="shared" si="463"/>
        <v>0.11178861788617889</v>
      </c>
      <c r="U219" s="27">
        <f t="shared" si="463"/>
        <v>0.21473087818696879</v>
      </c>
      <c r="V219" s="36">
        <f t="shared" si="464"/>
        <v>-0.10276679841897229</v>
      </c>
      <c r="W219" s="36">
        <f t="shared" si="464"/>
        <v>-0.11111111111111116</v>
      </c>
      <c r="X219" s="36">
        <f t="shared" si="464"/>
        <v>-5.3571428571428381E-3</v>
      </c>
      <c r="Y219" s="36">
        <f t="shared" si="464"/>
        <v>2.1937842778793515E-2</v>
      </c>
      <c r="Z219" s="27">
        <f t="shared" si="464"/>
        <v>-4.7574626865671599E-2</v>
      </c>
      <c r="AA219" s="36">
        <f t="shared" si="464"/>
        <v>0.32599118942731287</v>
      </c>
      <c r="AB219" s="36">
        <f t="shared" si="464"/>
        <v>0.22245762711864403</v>
      </c>
      <c r="AC219" s="36">
        <f t="shared" si="464"/>
        <v>0.10592459605026927</v>
      </c>
      <c r="AD219" s="36">
        <f t="shared" si="464"/>
        <v>9.1234347048300579E-2</v>
      </c>
      <c r="AE219" s="27">
        <f t="shared" si="464"/>
        <v>0.17776689520078359</v>
      </c>
      <c r="AF219" s="36">
        <f t="shared" si="465"/>
        <v>0.18936877076411962</v>
      </c>
      <c r="AG219" s="36">
        <f t="shared" si="465"/>
        <v>0.16984402079722694</v>
      </c>
      <c r="AH219" s="36">
        <f t="shared" si="465"/>
        <v>0.25811688311688319</v>
      </c>
      <c r="AI219" s="36">
        <f t="shared" si="465"/>
        <v>7.0491803278688536E-2</v>
      </c>
      <c r="AJ219" s="27">
        <f t="shared" si="465"/>
        <v>0.17214137214137204</v>
      </c>
      <c r="AK219" s="36">
        <f t="shared" si="465"/>
        <v>3.9106145251396551E-2</v>
      </c>
      <c r="AL219" s="36">
        <f t="shared" si="465"/>
        <v>1.6296296296296253E-2</v>
      </c>
      <c r="AM219" s="36">
        <f t="shared" si="465"/>
        <v>-5.290322580645157E-2</v>
      </c>
      <c r="AN219" s="36">
        <f t="shared" si="465"/>
        <v>9.4946401225114885E-2</v>
      </c>
      <c r="AO219" s="27">
        <f t="shared" si="465"/>
        <v>2.1284143313231585E-2</v>
      </c>
      <c r="AP219" s="36">
        <f t="shared" si="466"/>
        <v>2.5537634408602239E-2</v>
      </c>
      <c r="AQ219" s="36">
        <f t="shared" si="466"/>
        <v>5.8309037900874605E-2</v>
      </c>
      <c r="AR219" s="36">
        <f t="shared" si="466"/>
        <v>-1.2261580381471404E-2</v>
      </c>
      <c r="AS219" s="36">
        <f t="shared" si="466"/>
        <v>-2.2377622377622419E-2</v>
      </c>
      <c r="AT219" s="27">
        <f t="shared" si="466"/>
        <v>1.1809656130600921E-2</v>
      </c>
      <c r="AU219" s="36">
        <f t="shared" si="466"/>
        <v>-0.12450851900393189</v>
      </c>
      <c r="AV219" s="36">
        <f t="shared" si="466"/>
        <v>-0.12809917355371903</v>
      </c>
      <c r="AW219" s="36">
        <f t="shared" si="466"/>
        <v>-9.9310344827586161E-2</v>
      </c>
      <c r="AX219" s="36">
        <f t="shared" si="466"/>
        <v>-6.0085836909871237E-2</v>
      </c>
      <c r="AY219" s="93">
        <f t="shared" si="422"/>
        <v>-0.10367318915207691</v>
      </c>
      <c r="AZ219" s="36">
        <f t="shared" si="423"/>
        <v>-8.5329341317365248E-2</v>
      </c>
      <c r="BA219" s="36">
        <f t="shared" si="424"/>
        <v>-0.16587677725118488</v>
      </c>
      <c r="BB219" s="36">
        <f t="shared" si="425"/>
        <v>-0.16998468606431849</v>
      </c>
      <c r="BC219" s="36">
        <f t="shared" si="426"/>
        <v>-0.19634703196347036</v>
      </c>
      <c r="BD219" s="93">
        <f t="shared" si="427"/>
        <v>-0.15396399846801989</v>
      </c>
      <c r="BE219" s="36">
        <f t="shared" si="428"/>
        <v>-0.14402618657937805</v>
      </c>
      <c r="BF219" s="36">
        <f t="shared" si="429"/>
        <v>-3.2196969696969724E-2</v>
      </c>
      <c r="BG219" s="36">
        <f t="shared" si="430"/>
        <v>-5.9040590405904037E-2</v>
      </c>
      <c r="BH219" s="36">
        <f t="shared" si="431"/>
        <v>-8.9015151515151492E-2</v>
      </c>
      <c r="BI219" s="93">
        <f t="shared" si="432"/>
        <v>-8.3295608872793081E-2</v>
      </c>
      <c r="BJ219" s="36">
        <f t="shared" si="433"/>
        <v>-3.4416826003824119E-2</v>
      </c>
      <c r="BK219" s="36">
        <f t="shared" si="434"/>
        <v>9.5890410958904049E-2</v>
      </c>
      <c r="BL219" s="36">
        <f t="shared" si="435"/>
        <v>0.10784313725490202</v>
      </c>
      <c r="BM219" s="36">
        <f t="shared" si="436"/>
        <v>0.23700623700623691</v>
      </c>
      <c r="BN219" s="93">
        <f t="shared" si="437"/>
        <v>9.8765432098765427E-2</v>
      </c>
      <c r="BO219" s="36">
        <f t="shared" si="438"/>
        <v>0.13663366336633653</v>
      </c>
      <c r="BP219" s="36">
        <f t="shared" si="439"/>
        <v>4.4768320312938537E-2</v>
      </c>
      <c r="BQ219" s="36">
        <f t="shared" si="440"/>
        <v>8.4474072958572011E-2</v>
      </c>
      <c r="BR219" s="36">
        <f t="shared" si="441"/>
        <v>8.1314006517956727E-2</v>
      </c>
      <c r="BS219" s="93">
        <f t="shared" si="442"/>
        <v>8.5474132348325016E-2</v>
      </c>
      <c r="BT219" s="36">
        <f t="shared" si="443"/>
        <v>9.8725584312501447E-2</v>
      </c>
      <c r="BU219" s="36">
        <f t="shared" si="444"/>
        <v>0.11065757290686751</v>
      </c>
      <c r="BV219" s="36">
        <f t="shared" si="445"/>
        <v>0.11107652957187053</v>
      </c>
      <c r="BW219" s="36">
        <f t="shared" si="446"/>
        <v>0.11177517042924201</v>
      </c>
      <c r="BX219" s="93">
        <f t="shared" si="447"/>
        <v>0.10822578180740239</v>
      </c>
      <c r="BY219" s="36">
        <f t="shared" si="448"/>
        <v>0.10495326331995392</v>
      </c>
      <c r="BZ219" s="36">
        <f t="shared" si="449"/>
        <v>0.10536635132628458</v>
      </c>
      <c r="CA219" s="36">
        <f t="shared" si="450"/>
        <v>0.10577156637454266</v>
      </c>
      <c r="CB219" s="36">
        <f t="shared" si="451"/>
        <v>0.10644661281724277</v>
      </c>
      <c r="CC219" s="93">
        <f t="shared" si="452"/>
        <v>0.10566077740120261</v>
      </c>
      <c r="CD219" s="36">
        <f t="shared" si="453"/>
        <v>9.9683237056925167E-2</v>
      </c>
      <c r="CE219" s="36">
        <f t="shared" si="454"/>
        <v>0.10008322663252245</v>
      </c>
      <c r="CF219" s="36">
        <f t="shared" si="455"/>
        <v>0.10047530252788417</v>
      </c>
      <c r="CG219" s="36">
        <f t="shared" si="456"/>
        <v>0.101127822797769</v>
      </c>
      <c r="CH219" s="93">
        <f t="shared" si="457"/>
        <v>0.10036813444738746</v>
      </c>
      <c r="CI219" s="36">
        <f t="shared" si="458"/>
        <v>8.3393968077705383E-2</v>
      </c>
      <c r="CJ219" s="36">
        <f t="shared" si="459"/>
        <v>8.3753833664080846E-2</v>
      </c>
      <c r="CK219" s="36">
        <f t="shared" si="460"/>
        <v>8.4106325523730208E-2</v>
      </c>
      <c r="CL219" s="36">
        <f t="shared" si="461"/>
        <v>8.469241073475553E-2</v>
      </c>
      <c r="CM219" s="93">
        <f t="shared" si="462"/>
        <v>8.4010002093779068E-2</v>
      </c>
    </row>
    <row r="220" spans="1:91" hidden="1" outlineLevel="1" x14ac:dyDescent="0.2">
      <c r="A220" s="47" t="s">
        <v>361</v>
      </c>
      <c r="B220" s="38" t="s">
        <v>169</v>
      </c>
      <c r="C220" s="38" t="s">
        <v>169</v>
      </c>
      <c r="D220" s="38" t="s">
        <v>169</v>
      </c>
      <c r="E220" s="38" t="s">
        <v>169</v>
      </c>
      <c r="F220" s="88" t="s">
        <v>169</v>
      </c>
      <c r="G220" s="36">
        <f t="shared" si="467"/>
        <v>0.19384615384615378</v>
      </c>
      <c r="H220" s="36">
        <f t="shared" si="467"/>
        <v>7.1739130434782528E-2</v>
      </c>
      <c r="I220" s="36">
        <f t="shared" si="467"/>
        <v>-7.4879227053140096E-2</v>
      </c>
      <c r="J220" s="36">
        <f t="shared" si="467"/>
        <v>0.14480874316939896</v>
      </c>
      <c r="K220" s="27">
        <f t="shared" si="467"/>
        <v>7.539936102236422E-2</v>
      </c>
      <c r="L220" s="36">
        <f t="shared" si="463"/>
        <v>-0.10567010309278346</v>
      </c>
      <c r="M220" s="36">
        <f t="shared" si="463"/>
        <v>1.4198782961460488E-2</v>
      </c>
      <c r="N220" s="36">
        <f t="shared" si="463"/>
        <v>0.16710182767624016</v>
      </c>
      <c r="O220" s="36">
        <f t="shared" si="463"/>
        <v>-1.6706443914081159E-2</v>
      </c>
      <c r="P220" s="27">
        <f t="shared" si="463"/>
        <v>1.3666072489601833E-2</v>
      </c>
      <c r="Q220" s="36">
        <f t="shared" si="463"/>
        <v>-6.0518731988472574E-2</v>
      </c>
      <c r="R220" s="36">
        <f t="shared" si="463"/>
        <v>-7.7999999999999958E-2</v>
      </c>
      <c r="S220" s="36">
        <f t="shared" si="463"/>
        <v>-0.10961968680089484</v>
      </c>
      <c r="T220" s="36">
        <f t="shared" si="463"/>
        <v>-2.4271844660194164E-3</v>
      </c>
      <c r="U220" s="27">
        <f t="shared" si="463"/>
        <v>-6.4478311840562741E-2</v>
      </c>
      <c r="V220" s="36">
        <f t="shared" si="464"/>
        <v>0.32822085889570563</v>
      </c>
      <c r="W220" s="36">
        <f t="shared" si="464"/>
        <v>4.3383947939261702E-3</v>
      </c>
      <c r="X220" s="36">
        <f t="shared" si="464"/>
        <v>9.2964824120602918E-2</v>
      </c>
      <c r="Y220" s="36">
        <f t="shared" si="464"/>
        <v>-2.9197080291970767E-2</v>
      </c>
      <c r="Z220" s="27">
        <f t="shared" si="464"/>
        <v>8.3959899749373346E-2</v>
      </c>
      <c r="AA220" s="36">
        <f t="shared" si="464"/>
        <v>-9.2378752886835835E-3</v>
      </c>
      <c r="AB220" s="36">
        <f t="shared" si="464"/>
        <v>0.10799136069114468</v>
      </c>
      <c r="AC220" s="36">
        <f t="shared" si="464"/>
        <v>0.15172413793103456</v>
      </c>
      <c r="AD220" s="36">
        <f t="shared" si="464"/>
        <v>0.2807017543859649</v>
      </c>
      <c r="AE220" s="27">
        <f t="shared" si="464"/>
        <v>0.1294797687861271</v>
      </c>
      <c r="AF220" s="36">
        <f t="shared" si="465"/>
        <v>0.29603729603729612</v>
      </c>
      <c r="AG220" s="36">
        <f t="shared" si="465"/>
        <v>0.62768031189083828</v>
      </c>
      <c r="AH220" s="36">
        <f t="shared" si="465"/>
        <v>0.57085828343313372</v>
      </c>
      <c r="AI220" s="36">
        <f t="shared" si="465"/>
        <v>0.25440313111545998</v>
      </c>
      <c r="AJ220" s="27">
        <f t="shared" si="465"/>
        <v>0.44268167860798369</v>
      </c>
      <c r="AK220" s="36">
        <f t="shared" si="465"/>
        <v>-8.8129496402877705E-2</v>
      </c>
      <c r="AL220" s="36">
        <f t="shared" si="465"/>
        <v>-3.5928143712574689E-3</v>
      </c>
      <c r="AM220" s="36">
        <f t="shared" si="465"/>
        <v>2.1601016518424387E-2</v>
      </c>
      <c r="AN220" s="36">
        <f t="shared" si="465"/>
        <v>0.11232449297971914</v>
      </c>
      <c r="AO220" s="27">
        <f t="shared" si="465"/>
        <v>1.3125221709826107E-2</v>
      </c>
      <c r="AP220" s="36">
        <f t="shared" si="466"/>
        <v>-3.1558185404339301E-2</v>
      </c>
      <c r="AQ220" s="36">
        <f t="shared" si="466"/>
        <v>-6.0096153846154188E-3</v>
      </c>
      <c r="AR220" s="36">
        <f t="shared" si="466"/>
        <v>3.2338308457711351E-2</v>
      </c>
      <c r="AS220" s="36">
        <f t="shared" si="466"/>
        <v>-0.11640953716690039</v>
      </c>
      <c r="AT220" s="27">
        <f t="shared" si="466"/>
        <v>-2.7310924369747913E-2</v>
      </c>
      <c r="AU220" s="36">
        <f t="shared" si="466"/>
        <v>-8.3503054989816694E-2</v>
      </c>
      <c r="AV220" s="36">
        <f t="shared" si="466"/>
        <v>2.2974607013301007E-2</v>
      </c>
      <c r="AW220" s="36">
        <f t="shared" si="466"/>
        <v>-1.0843373493975905E-2</v>
      </c>
      <c r="AX220" s="36">
        <f t="shared" si="466"/>
        <v>6.6666666666666652E-2</v>
      </c>
      <c r="AY220" s="93">
        <f t="shared" si="422"/>
        <v>3.9596832253419034E-3</v>
      </c>
      <c r="AZ220" s="36">
        <f t="shared" si="423"/>
        <v>0.26222222222222213</v>
      </c>
      <c r="BA220" s="36">
        <f t="shared" si="424"/>
        <v>7.4468085106383031E-2</v>
      </c>
      <c r="BB220" s="36">
        <f t="shared" si="425"/>
        <v>3.4104750304506659E-2</v>
      </c>
      <c r="BC220" s="36">
        <f t="shared" si="426"/>
        <v>-0.18601190476190477</v>
      </c>
      <c r="BD220" s="93">
        <f t="shared" si="427"/>
        <v>3.0118321979204055E-2</v>
      </c>
      <c r="BE220" s="36">
        <f t="shared" si="428"/>
        <v>-1</v>
      </c>
      <c r="BF220" s="36">
        <f t="shared" si="429"/>
        <v>-1</v>
      </c>
      <c r="BG220" s="36">
        <f t="shared" si="430"/>
        <v>-1</v>
      </c>
      <c r="BH220" s="36">
        <f t="shared" si="431"/>
        <v>-1</v>
      </c>
      <c r="BI220" s="93">
        <f t="shared" si="432"/>
        <v>-1</v>
      </c>
      <c r="BJ220" s="36"/>
      <c r="BK220" s="36"/>
      <c r="BL220" s="36"/>
      <c r="BM220" s="36"/>
      <c r="BN220" s="93"/>
      <c r="BO220" s="36"/>
      <c r="BP220" s="36"/>
      <c r="BQ220" s="36"/>
      <c r="BR220" s="36"/>
      <c r="BS220" s="93"/>
      <c r="BT220" s="36"/>
      <c r="BU220" s="36"/>
      <c r="BV220" s="36"/>
      <c r="BW220" s="36"/>
      <c r="BX220" s="93"/>
      <c r="BY220" s="36"/>
      <c r="BZ220" s="36"/>
      <c r="CA220" s="36"/>
      <c r="CB220" s="36"/>
      <c r="CC220" s="93"/>
      <c r="CD220" s="36"/>
      <c r="CE220" s="36"/>
      <c r="CF220" s="36"/>
      <c r="CG220" s="36"/>
      <c r="CH220" s="93"/>
      <c r="CI220" s="36"/>
      <c r="CJ220" s="36"/>
      <c r="CK220" s="36"/>
      <c r="CL220" s="36"/>
      <c r="CM220" s="93"/>
    </row>
    <row r="221" spans="1:91" collapsed="1" x14ac:dyDescent="0.2">
      <c r="A221" s="47" t="s">
        <v>13</v>
      </c>
      <c r="B221" s="38"/>
      <c r="C221" s="38"/>
      <c r="D221" s="38"/>
      <c r="E221" s="38"/>
      <c r="F221" s="88"/>
      <c r="G221" s="36"/>
      <c r="H221" s="36"/>
      <c r="I221" s="36"/>
      <c r="J221" s="36"/>
      <c r="K221" s="27"/>
      <c r="L221" s="36"/>
      <c r="M221" s="36"/>
      <c r="N221" s="36"/>
      <c r="O221" s="36"/>
      <c r="P221" s="27"/>
      <c r="Q221" s="36"/>
      <c r="R221" s="36"/>
      <c r="S221" s="36"/>
      <c r="T221" s="36"/>
      <c r="U221" s="27"/>
      <c r="V221" s="36"/>
      <c r="W221" s="36"/>
      <c r="X221" s="36"/>
      <c r="Y221" s="36"/>
      <c r="Z221" s="27"/>
      <c r="AA221" s="36"/>
      <c r="AB221" s="36"/>
      <c r="AC221" s="36"/>
      <c r="AD221" s="36"/>
      <c r="AE221" s="27"/>
      <c r="AF221" s="36"/>
      <c r="AG221" s="36"/>
      <c r="AH221" s="36"/>
      <c r="AI221" s="36"/>
      <c r="AJ221" s="27"/>
      <c r="AK221" s="36"/>
      <c r="AL221" s="36"/>
      <c r="AM221" s="36"/>
      <c r="AN221" s="36"/>
      <c r="AO221" s="27"/>
      <c r="AP221" s="36"/>
      <c r="AQ221" s="36"/>
      <c r="AR221" s="36"/>
      <c r="AS221" s="36"/>
      <c r="AT221" s="27"/>
      <c r="AU221" s="36"/>
      <c r="AV221" s="36"/>
      <c r="AW221" s="36"/>
      <c r="AX221" s="36"/>
      <c r="AY221" s="93">
        <f t="shared" si="422"/>
        <v>-3.357112882920732E-3</v>
      </c>
      <c r="AZ221" s="36">
        <f t="shared" si="423"/>
        <v>0.23799126637554591</v>
      </c>
      <c r="BA221" s="36">
        <f t="shared" si="424"/>
        <v>0.13914373088685017</v>
      </c>
      <c r="BB221" s="36">
        <f t="shared" si="425"/>
        <v>1.7054263565891459E-2</v>
      </c>
      <c r="BC221" s="36">
        <f t="shared" si="426"/>
        <v>-0.10841423948220064</v>
      </c>
      <c r="BD221" s="93">
        <f t="shared" si="427"/>
        <v>6.063157894736837E-2</v>
      </c>
      <c r="BE221" s="36">
        <f t="shared" si="428"/>
        <v>5.1146384479717755E-2</v>
      </c>
      <c r="BF221" s="36">
        <f t="shared" si="429"/>
        <v>-1.2080536912751683E-2</v>
      </c>
      <c r="BG221" s="36">
        <f t="shared" si="430"/>
        <v>6.554878048780477E-2</v>
      </c>
      <c r="BH221" s="36">
        <f t="shared" si="431"/>
        <v>0.15789473684210531</v>
      </c>
      <c r="BI221" s="93">
        <f t="shared" si="432"/>
        <v>5.9547439460103213E-2</v>
      </c>
      <c r="BJ221" s="36">
        <f t="shared" si="433"/>
        <v>5.0335570469799418E-3</v>
      </c>
      <c r="BK221" s="36">
        <f t="shared" si="434"/>
        <v>8.5597826086956541E-2</v>
      </c>
      <c r="BL221" s="36">
        <f t="shared" si="435"/>
        <v>2.8612303290413976E-3</v>
      </c>
      <c r="BM221" s="36">
        <f t="shared" si="436"/>
        <v>0.12695924764890276</v>
      </c>
      <c r="BN221" s="93">
        <f t="shared" si="437"/>
        <v>5.5826152116897676E-2</v>
      </c>
      <c r="BO221" s="36">
        <f t="shared" si="438"/>
        <v>-5.8430717863105164E-2</v>
      </c>
      <c r="BP221" s="36">
        <f t="shared" si="439"/>
        <v>0.11654650812485334</v>
      </c>
      <c r="BQ221" s="36">
        <f t="shared" si="440"/>
        <v>0.19470566482606522</v>
      </c>
      <c r="BR221" s="36">
        <f t="shared" si="441"/>
        <v>0.17347515200455765</v>
      </c>
      <c r="BS221" s="93">
        <f t="shared" si="442"/>
        <v>0.11332078258555955</v>
      </c>
      <c r="BT221" s="36">
        <f t="shared" si="443"/>
        <v>6.8779611726393686E-2</v>
      </c>
      <c r="BU221" s="36">
        <f t="shared" si="444"/>
        <v>6.0492259252885594E-2</v>
      </c>
      <c r="BV221" s="36">
        <f t="shared" si="445"/>
        <v>6.1204130876449492E-2</v>
      </c>
      <c r="BW221" s="36">
        <f t="shared" si="446"/>
        <v>5.9279748889991879E-2</v>
      </c>
      <c r="BX221" s="93">
        <f t="shared" si="447"/>
        <v>6.1846025263886828E-2</v>
      </c>
      <c r="BY221" s="36">
        <f t="shared" si="448"/>
        <v>6.7720688712763044E-2</v>
      </c>
      <c r="BZ221" s="36">
        <f t="shared" si="449"/>
        <v>5.9615517469781887E-2</v>
      </c>
      <c r="CA221" s="36">
        <f t="shared" si="450"/>
        <v>6.0286590362401249E-2</v>
      </c>
      <c r="CB221" s="36">
        <f t="shared" si="451"/>
        <v>5.8470421895910007E-2</v>
      </c>
      <c r="CC221" s="93">
        <f t="shared" si="452"/>
        <v>6.0953922016963036E-2</v>
      </c>
      <c r="CD221" s="36">
        <f t="shared" si="453"/>
        <v>6.4317426838913949E-2</v>
      </c>
      <c r="CE221" s="36">
        <f t="shared" si="454"/>
        <v>5.673188572363852E-2</v>
      </c>
      <c r="CF221" s="36">
        <f t="shared" si="455"/>
        <v>5.7364339015083532E-2</v>
      </c>
      <c r="CG221" s="36">
        <f t="shared" si="456"/>
        <v>5.565083757047451E-2</v>
      </c>
      <c r="CH221" s="93">
        <f t="shared" si="457"/>
        <v>5.7992472974645715E-2</v>
      </c>
      <c r="CI221" s="36">
        <f t="shared" si="458"/>
        <v>6.0885790679908069E-2</v>
      </c>
      <c r="CJ221" s="36">
        <f t="shared" si="459"/>
        <v>5.4203765818227723E-2</v>
      </c>
      <c r="CK221" s="36">
        <f t="shared" si="460"/>
        <v>5.4764550951422741E-2</v>
      </c>
      <c r="CL221" s="36">
        <f t="shared" si="461"/>
        <v>5.3243663681331155E-2</v>
      </c>
      <c r="CM221" s="93">
        <f t="shared" si="462"/>
        <v>5.532084260301473E-2</v>
      </c>
    </row>
    <row r="222" spans="1:91" x14ac:dyDescent="0.2">
      <c r="A222" s="47" t="s">
        <v>184</v>
      </c>
      <c r="B222" s="38" t="s">
        <v>169</v>
      </c>
      <c r="C222" s="38" t="s">
        <v>169</v>
      </c>
      <c r="D222" s="38" t="s">
        <v>169</v>
      </c>
      <c r="E222" s="38" t="s">
        <v>169</v>
      </c>
      <c r="F222" s="88" t="s">
        <v>169</v>
      </c>
      <c r="G222" s="36">
        <f t="shared" ref="G222:P223" si="468">G165/B165-1</f>
        <v>-0.18847006651884701</v>
      </c>
      <c r="H222" s="36">
        <f t="shared" si="468"/>
        <v>-0.11151079136690645</v>
      </c>
      <c r="I222" s="36">
        <f t="shared" si="468"/>
        <v>4.6082949308756671E-3</v>
      </c>
      <c r="J222" s="36">
        <f t="shared" si="468"/>
        <v>-0.11111111111111116</v>
      </c>
      <c r="K222" s="27">
        <f t="shared" si="468"/>
        <v>-0.1031953902566789</v>
      </c>
      <c r="L222" s="36">
        <f t="shared" si="468"/>
        <v>1.6393442622950838E-2</v>
      </c>
      <c r="M222" s="36">
        <f t="shared" si="468"/>
        <v>2.6315789473684292E-2</v>
      </c>
      <c r="N222" s="36">
        <f t="shared" si="468"/>
        <v>-1.834862385321101E-2</v>
      </c>
      <c r="O222" s="36">
        <f t="shared" si="468"/>
        <v>-5.0480769230769273E-2</v>
      </c>
      <c r="P222" s="27">
        <f t="shared" si="468"/>
        <v>-5.8411214953271173E-3</v>
      </c>
      <c r="Q222" s="36">
        <f t="shared" ref="Q222:Z223" si="469">Q165/L165-1</f>
        <v>4.3010752688172005E-2</v>
      </c>
      <c r="R222" s="36">
        <f t="shared" si="469"/>
        <v>0.1913214990138068</v>
      </c>
      <c r="S222" s="36">
        <f t="shared" si="469"/>
        <v>0.14719626168224309</v>
      </c>
      <c r="T222" s="36">
        <f t="shared" si="469"/>
        <v>-5.0632911392405111E-2</v>
      </c>
      <c r="U222" s="27">
        <f t="shared" si="469"/>
        <v>9.1656874265569899E-2</v>
      </c>
      <c r="V222" s="36">
        <f t="shared" si="469"/>
        <v>0.17525773195876293</v>
      </c>
      <c r="W222" s="36">
        <f t="shared" si="469"/>
        <v>-1.655629139072845E-2</v>
      </c>
      <c r="X222" s="36">
        <f t="shared" si="469"/>
        <v>-9.775967413441955E-2</v>
      </c>
      <c r="Y222" s="36">
        <f t="shared" si="469"/>
        <v>5.3333333333333233E-2</v>
      </c>
      <c r="Z222" s="27">
        <f t="shared" si="469"/>
        <v>1.6146393972013007E-2</v>
      </c>
      <c r="AA222" s="183">
        <f t="shared" ref="AA222:AJ223" si="470">AA165/V165-1</f>
        <v>9.8684210526315708E-2</v>
      </c>
      <c r="AB222" s="183">
        <f t="shared" si="470"/>
        <v>6.7340067340067256E-2</v>
      </c>
      <c r="AC222" s="183">
        <f t="shared" si="470"/>
        <v>0.34988713318284415</v>
      </c>
      <c r="AD222" s="183">
        <f t="shared" si="470"/>
        <v>2.0253164556962133E-2</v>
      </c>
      <c r="AE222" s="184">
        <f t="shared" si="470"/>
        <v>0.13135593220338992</v>
      </c>
      <c r="AF222" s="36">
        <f t="shared" si="470"/>
        <v>8.9820359281437057E-2</v>
      </c>
      <c r="AG222" s="36">
        <f t="shared" si="470"/>
        <v>0.20347003154574139</v>
      </c>
      <c r="AH222" s="36">
        <f t="shared" si="470"/>
        <v>5.3511705685618693E-2</v>
      </c>
      <c r="AI222" s="36">
        <f t="shared" si="470"/>
        <v>-4.2183622828784073E-2</v>
      </c>
      <c r="AJ222" s="27">
        <f t="shared" si="470"/>
        <v>8.8483146067415808E-2</v>
      </c>
      <c r="AK222" s="36">
        <f t="shared" ref="AK222:AT223" si="471">AK165/AF165-1</f>
        <v>0.10256410256410264</v>
      </c>
      <c r="AL222" s="36">
        <f t="shared" si="471"/>
        <v>0.14547837483617299</v>
      </c>
      <c r="AM222" s="36">
        <f t="shared" si="471"/>
        <v>-2.6984126984126999E-2</v>
      </c>
      <c r="AN222" s="36">
        <f t="shared" si="471"/>
        <v>0.10880829015544036</v>
      </c>
      <c r="AO222" s="27">
        <f t="shared" si="471"/>
        <v>8.2580645161290267E-2</v>
      </c>
      <c r="AP222" s="36">
        <f t="shared" si="471"/>
        <v>1.3289036544850585E-2</v>
      </c>
      <c r="AQ222" s="36">
        <f t="shared" si="471"/>
        <v>-2.517162471395884E-2</v>
      </c>
      <c r="AR222" s="36">
        <f t="shared" si="471"/>
        <v>4.8939641109298604E-2</v>
      </c>
      <c r="AS222" s="36">
        <f t="shared" si="471"/>
        <v>0.10981308411214963</v>
      </c>
      <c r="AT222" s="27">
        <f t="shared" si="471"/>
        <v>2.5029797377830842E-2</v>
      </c>
      <c r="AU222" s="36">
        <f t="shared" ref="AU222:AX223" si="472">AU165/AP165-1</f>
        <v>-7.5409836065573721E-2</v>
      </c>
      <c r="AV222" s="36">
        <f t="shared" si="472"/>
        <v>-5.8685446009389963E-3</v>
      </c>
      <c r="AW222" s="36">
        <f t="shared" si="472"/>
        <v>-4.6656298600310508E-3</v>
      </c>
      <c r="AX222" s="36">
        <f t="shared" si="472"/>
        <v>-8.6315789473684235E-2</v>
      </c>
      <c r="AY222" s="93">
        <f t="shared" si="422"/>
        <v>-3.6821705426356544E-2</v>
      </c>
      <c r="AZ222" s="36">
        <f t="shared" si="423"/>
        <v>-4.0780141843971607E-2</v>
      </c>
      <c r="BA222" s="36">
        <f t="shared" si="424"/>
        <v>-9.9173553719008267E-2</v>
      </c>
      <c r="BB222" s="36">
        <f t="shared" si="425"/>
        <v>-0.10468750000000004</v>
      </c>
      <c r="BC222" s="36">
        <f t="shared" si="426"/>
        <v>-0.27188940092165903</v>
      </c>
      <c r="BD222" s="93">
        <f t="shared" si="427"/>
        <v>-0.11750503018108649</v>
      </c>
      <c r="BE222" s="36">
        <f t="shared" si="428"/>
        <v>2.0332717190388205E-2</v>
      </c>
      <c r="BF222" s="36">
        <f t="shared" si="429"/>
        <v>-6.5530799475753687E-3</v>
      </c>
      <c r="BG222" s="36">
        <f t="shared" si="430"/>
        <v>1.7452006980802848E-2</v>
      </c>
      <c r="BH222" s="36">
        <f t="shared" si="431"/>
        <v>5.0632911392405111E-2</v>
      </c>
      <c r="BI222" s="93">
        <f t="shared" si="432"/>
        <v>1.459188326493388E-2</v>
      </c>
      <c r="BJ222" s="36">
        <f t="shared" si="433"/>
        <v>-1.8115942028985477E-2</v>
      </c>
      <c r="BK222" s="36">
        <f t="shared" si="434"/>
        <v>-6.2005277044854923E-2</v>
      </c>
      <c r="BL222" s="36">
        <f t="shared" si="435"/>
        <v>-1.5437392795883409E-2</v>
      </c>
      <c r="BM222" s="36">
        <f t="shared" si="436"/>
        <v>-6.0240963855421326E-3</v>
      </c>
      <c r="BN222" s="93">
        <f t="shared" si="437"/>
        <v>-3.0561797752808983E-2</v>
      </c>
      <c r="BO222" s="36">
        <f t="shared" si="438"/>
        <v>4.2435424354243523E-2</v>
      </c>
      <c r="BP222" s="36">
        <f t="shared" si="439"/>
        <v>1.9367893544495418E-2</v>
      </c>
      <c r="BQ222" s="36">
        <f t="shared" si="440"/>
        <v>-2.6615357535896389E-2</v>
      </c>
      <c r="BR222" s="36">
        <f t="shared" si="441"/>
        <v>4.8643280183156001E-3</v>
      </c>
      <c r="BS222" s="93">
        <f t="shared" si="442"/>
        <v>1.0708662647461953E-2</v>
      </c>
      <c r="BT222" s="36">
        <f t="shared" si="443"/>
        <v>5.1248638868967022E-2</v>
      </c>
      <c r="BU222" s="36">
        <f t="shared" si="444"/>
        <v>5.2365834649669152E-2</v>
      </c>
      <c r="BV222" s="36">
        <f t="shared" si="445"/>
        <v>5.540223002271305E-2</v>
      </c>
      <c r="BW222" s="36">
        <f t="shared" si="446"/>
        <v>6.0422190395202025E-2</v>
      </c>
      <c r="BX222" s="93">
        <f t="shared" si="447"/>
        <v>5.4079893533693912E-2</v>
      </c>
      <c r="BY222" s="36">
        <f t="shared" si="448"/>
        <v>5.2547012235012458E-2</v>
      </c>
      <c r="BZ222" s="36">
        <f t="shared" si="449"/>
        <v>5.2079268701640036E-2</v>
      </c>
      <c r="CA222" s="36">
        <f t="shared" si="450"/>
        <v>5.5007829690727261E-2</v>
      </c>
      <c r="CB222" s="36">
        <f t="shared" si="451"/>
        <v>5.981272770162227E-2</v>
      </c>
      <c r="CC222" s="93">
        <f t="shared" si="452"/>
        <v>5.4135027658157364E-2</v>
      </c>
      <c r="CD222" s="36">
        <f t="shared" si="453"/>
        <v>5.2254485977470733E-2</v>
      </c>
      <c r="CE222" s="36">
        <f t="shared" si="454"/>
        <v>5.1802006875406592E-2</v>
      </c>
      <c r="CF222" s="36">
        <f t="shared" si="455"/>
        <v>5.4628388668900296E-2</v>
      </c>
      <c r="CG222" s="36">
        <f t="shared" si="456"/>
        <v>5.9231802940197698E-2</v>
      </c>
      <c r="CH222" s="93">
        <f t="shared" si="457"/>
        <v>5.3787681944494903E-2</v>
      </c>
      <c r="CI222" s="36">
        <f t="shared" si="458"/>
        <v>5.0910831123197609E-2</v>
      </c>
      <c r="CJ222" s="36">
        <f t="shared" si="459"/>
        <v>5.0500253079688084E-2</v>
      </c>
      <c r="CK222" s="36">
        <f t="shared" si="460"/>
        <v>5.3059129722774712E-2</v>
      </c>
      <c r="CL222" s="36">
        <f t="shared" si="461"/>
        <v>5.7197616447264066E-2</v>
      </c>
      <c r="CM222" s="93">
        <f t="shared" si="462"/>
        <v>5.229942658195541E-2</v>
      </c>
    </row>
    <row r="223" spans="1:91" hidden="1" outlineLevel="1" x14ac:dyDescent="0.2">
      <c r="A223" s="47" t="s">
        <v>360</v>
      </c>
      <c r="B223" s="38" t="s">
        <v>169</v>
      </c>
      <c r="C223" s="38" t="s">
        <v>169</v>
      </c>
      <c r="D223" s="38" t="s">
        <v>169</v>
      </c>
      <c r="E223" s="38" t="s">
        <v>169</v>
      </c>
      <c r="F223" s="88" t="s">
        <v>169</v>
      </c>
      <c r="G223" s="36">
        <f t="shared" si="468"/>
        <v>-0.72727272727272729</v>
      </c>
      <c r="H223" s="36">
        <f t="shared" si="468"/>
        <v>0.679245283018868</v>
      </c>
      <c r="I223" s="36">
        <f t="shared" si="468"/>
        <v>6</v>
      </c>
      <c r="J223" s="36">
        <f t="shared" si="468"/>
        <v>-0.19999999999999996</v>
      </c>
      <c r="K223" s="27">
        <f t="shared" si="468"/>
        <v>-4.1818181818181817</v>
      </c>
      <c r="L223" s="36">
        <f t="shared" si="468"/>
        <v>-1.2666666666666666</v>
      </c>
      <c r="M223" s="36">
        <f t="shared" si="468"/>
        <v>0.101123595505618</v>
      </c>
      <c r="N223" s="36">
        <f t="shared" si="468"/>
        <v>0.14285714285714279</v>
      </c>
      <c r="O223" s="36">
        <f t="shared" si="468"/>
        <v>-1.8125</v>
      </c>
      <c r="P223" s="27">
        <f t="shared" si="468"/>
        <v>0.90476190476190466</v>
      </c>
      <c r="Q223" s="36">
        <f t="shared" si="469"/>
        <v>3.25</v>
      </c>
      <c r="R223" s="36">
        <f t="shared" si="469"/>
        <v>0.68367346938775508</v>
      </c>
      <c r="S223" s="36">
        <f t="shared" si="469"/>
        <v>8.3333333333333259E-2</v>
      </c>
      <c r="T223" s="36">
        <f t="shared" si="469"/>
        <v>0.76923076923076916</v>
      </c>
      <c r="U223" s="27">
        <f t="shared" si="469"/>
        <v>0.53</v>
      </c>
      <c r="V223" s="36">
        <f t="shared" si="469"/>
        <v>-1.2352941176470589</v>
      </c>
      <c r="W223" s="36">
        <f t="shared" si="469"/>
        <v>-0.10303030303030303</v>
      </c>
      <c r="X223" s="36">
        <f t="shared" si="469"/>
        <v>0.29487179487179493</v>
      </c>
      <c r="Y223" s="36">
        <f t="shared" si="469"/>
        <v>0.63043478260869557</v>
      </c>
      <c r="Z223" s="27">
        <f t="shared" si="469"/>
        <v>4.5751633986928164E-2</v>
      </c>
      <c r="AA223" s="36">
        <f t="shared" si="470"/>
        <v>-10.75</v>
      </c>
      <c r="AB223" s="36">
        <f t="shared" si="470"/>
        <v>0</v>
      </c>
      <c r="AC223" s="36">
        <f t="shared" si="470"/>
        <v>-0.1089108910891089</v>
      </c>
      <c r="AD223" s="36">
        <f t="shared" si="470"/>
        <v>-4.0000000000000036E-2</v>
      </c>
      <c r="AE223" s="27">
        <f t="shared" si="470"/>
        <v>9.0624999999999956E-2</v>
      </c>
      <c r="AF223" s="36">
        <f t="shared" si="470"/>
        <v>-0.17948717948717952</v>
      </c>
      <c r="AG223" s="36">
        <f t="shared" si="470"/>
        <v>-0.14189189189189189</v>
      </c>
      <c r="AH223" s="36">
        <f t="shared" si="470"/>
        <v>2.2222222222222143E-2</v>
      </c>
      <c r="AI223" s="36">
        <f t="shared" si="470"/>
        <v>0.11111111111111116</v>
      </c>
      <c r="AJ223" s="27">
        <f t="shared" si="470"/>
        <v>-5.1575931232091698E-2</v>
      </c>
      <c r="AK223" s="36">
        <f t="shared" si="471"/>
        <v>-6.25E-2</v>
      </c>
      <c r="AL223" s="36">
        <f t="shared" si="471"/>
        <v>1.5748031496062964E-2</v>
      </c>
      <c r="AM223" s="36">
        <f t="shared" si="471"/>
        <v>-0.33695652173913049</v>
      </c>
      <c r="AN223" s="36">
        <f t="shared" si="471"/>
        <v>0.125</v>
      </c>
      <c r="AO223" s="27">
        <f t="shared" si="471"/>
        <v>-6.3444108761329332E-2</v>
      </c>
      <c r="AP223" s="36">
        <f t="shared" si="471"/>
        <v>1.2666666666666666</v>
      </c>
      <c r="AQ223" s="36">
        <f t="shared" si="471"/>
        <v>0.11627906976744184</v>
      </c>
      <c r="AR223" s="36">
        <f t="shared" si="471"/>
        <v>-3.2786885245901676E-2</v>
      </c>
      <c r="AS223" s="36">
        <f t="shared" si="471"/>
        <v>-0.58888888888888891</v>
      </c>
      <c r="AT223" s="27">
        <f t="shared" si="471"/>
        <v>-6.4516129032258229E-3</v>
      </c>
      <c r="AU223" s="36">
        <f t="shared" si="472"/>
        <v>-0.77941176470588236</v>
      </c>
      <c r="AV223" s="36">
        <f t="shared" si="472"/>
        <v>-0.13194444444444442</v>
      </c>
      <c r="AW223" s="36">
        <f t="shared" si="472"/>
        <v>-1.6949152542372836E-2</v>
      </c>
      <c r="AX223" s="36">
        <f t="shared" si="472"/>
        <v>0.64864864864864868</v>
      </c>
      <c r="AY223" s="93">
        <f t="shared" si="422"/>
        <v>-0.15909090909090906</v>
      </c>
      <c r="AZ223" s="36">
        <f t="shared" si="423"/>
        <v>2</v>
      </c>
      <c r="BA223" s="36">
        <f t="shared" si="424"/>
        <v>4.8000000000000043E-2</v>
      </c>
      <c r="BB223" s="36">
        <f t="shared" si="425"/>
        <v>0.55172413793103448</v>
      </c>
      <c r="BC223" s="36">
        <f t="shared" si="426"/>
        <v>0.52459016393442615</v>
      </c>
      <c r="BD223" s="93">
        <f t="shared" si="427"/>
        <v>0.38610038610038599</v>
      </c>
      <c r="BE223" s="36">
        <f t="shared" si="428"/>
        <v>-1</v>
      </c>
      <c r="BF223" s="36">
        <f t="shared" si="429"/>
        <v>-1</v>
      </c>
      <c r="BG223" s="36">
        <f t="shared" si="430"/>
        <v>-1</v>
      </c>
      <c r="BH223" s="36">
        <f t="shared" si="431"/>
        <v>-1</v>
      </c>
      <c r="BI223" s="93">
        <f t="shared" si="432"/>
        <v>-1</v>
      </c>
      <c r="BJ223" s="36"/>
      <c r="BK223" s="36"/>
      <c r="BL223" s="36"/>
      <c r="BM223" s="36"/>
      <c r="BN223" s="93"/>
      <c r="BO223" s="36"/>
      <c r="BP223" s="36"/>
      <c r="BQ223" s="36"/>
      <c r="BR223" s="36"/>
      <c r="BS223" s="93"/>
      <c r="BT223" s="36"/>
      <c r="BU223" s="36"/>
      <c r="BV223" s="36"/>
      <c r="BW223" s="36"/>
      <c r="BX223" s="93"/>
      <c r="BY223" s="36"/>
      <c r="BZ223" s="36"/>
      <c r="CA223" s="36"/>
      <c r="CB223" s="36"/>
      <c r="CC223" s="93"/>
      <c r="CD223" s="36"/>
      <c r="CE223" s="36"/>
      <c r="CF223" s="36"/>
      <c r="CG223" s="36"/>
      <c r="CH223" s="93"/>
      <c r="CI223" s="36"/>
      <c r="CJ223" s="36"/>
      <c r="CK223" s="36"/>
      <c r="CL223" s="36"/>
      <c r="CM223" s="93"/>
    </row>
    <row r="224" spans="1:91" collapsed="1" x14ac:dyDescent="0.2">
      <c r="A224" s="47" t="s">
        <v>185</v>
      </c>
      <c r="B224" s="38"/>
      <c r="C224" s="38"/>
      <c r="D224" s="38"/>
      <c r="E224" s="38"/>
      <c r="F224" s="88"/>
      <c r="G224" s="36"/>
      <c r="H224" s="36"/>
      <c r="I224" s="36"/>
      <c r="J224" s="36"/>
      <c r="K224" s="27"/>
      <c r="L224" s="36"/>
      <c r="M224" s="36"/>
      <c r="N224" s="36"/>
      <c r="O224" s="36"/>
      <c r="P224" s="27"/>
      <c r="Q224" s="36"/>
      <c r="R224" s="36"/>
      <c r="S224" s="36"/>
      <c r="T224" s="36"/>
      <c r="U224" s="27"/>
      <c r="V224" s="36"/>
      <c r="W224" s="36"/>
      <c r="X224" s="36"/>
      <c r="Y224" s="36"/>
      <c r="Z224" s="27"/>
      <c r="AA224" s="36"/>
      <c r="AB224" s="36"/>
      <c r="AC224" s="36"/>
      <c r="AD224" s="36"/>
      <c r="AE224" s="27"/>
      <c r="AF224" s="36"/>
      <c r="AG224" s="36"/>
      <c r="AH224" s="36"/>
      <c r="AI224" s="36"/>
      <c r="AJ224" s="27"/>
      <c r="AK224" s="36"/>
      <c r="AL224" s="36"/>
      <c r="AM224" s="36"/>
      <c r="AN224" s="36"/>
      <c r="AO224" s="27"/>
      <c r="AP224" s="36"/>
      <c r="AQ224" s="36"/>
      <c r="AR224" s="36"/>
      <c r="AS224" s="36"/>
      <c r="AT224" s="27"/>
      <c r="AU224" s="36"/>
      <c r="AV224" s="36"/>
      <c r="AW224" s="36"/>
      <c r="AX224" s="36"/>
      <c r="AY224" s="93">
        <f t="shared" si="422"/>
        <v>-4.2674253200568946E-2</v>
      </c>
      <c r="AZ224" s="36">
        <f t="shared" si="423"/>
        <v>5.5714285714285712</v>
      </c>
      <c r="BA224" s="36">
        <f t="shared" si="424"/>
        <v>-6.9400630914826511E-2</v>
      </c>
      <c r="BB224" s="36">
        <f t="shared" si="425"/>
        <v>0.20940170940170932</v>
      </c>
      <c r="BC224" s="36">
        <f t="shared" si="426"/>
        <v>-0.22608695652173916</v>
      </c>
      <c r="BD224" s="93">
        <f t="shared" si="427"/>
        <v>5.9435364041604766E-2</v>
      </c>
      <c r="BE224" s="36">
        <f t="shared" si="428"/>
        <v>1.2826086956521738</v>
      </c>
      <c r="BF224" s="36">
        <f t="shared" si="429"/>
        <v>-8.135593220338988E-2</v>
      </c>
      <c r="BG224" s="36">
        <f t="shared" si="430"/>
        <v>-0.27915194346289751</v>
      </c>
      <c r="BH224" s="36">
        <f t="shared" si="431"/>
        <v>-0.4157303370786517</v>
      </c>
      <c r="BI224" s="93">
        <f t="shared" si="432"/>
        <v>-0.1136044880785414</v>
      </c>
      <c r="BJ224" s="36">
        <f t="shared" si="433"/>
        <v>-0.54285714285714293</v>
      </c>
      <c r="BK224" s="36">
        <f t="shared" si="434"/>
        <v>-0.67527675276752763</v>
      </c>
      <c r="BL224" s="36">
        <f t="shared" si="435"/>
        <v>-0.94117647058823528</v>
      </c>
      <c r="BM224" s="36">
        <f t="shared" si="436"/>
        <v>-1.2115384615384615</v>
      </c>
      <c r="BN224" s="93">
        <f t="shared" si="437"/>
        <v>-0.78322784810126578</v>
      </c>
      <c r="BO224" s="36">
        <f t="shared" si="438"/>
        <v>-1.2083333333333333</v>
      </c>
      <c r="BP224" s="36">
        <f t="shared" si="439"/>
        <v>-1.0615633415661998</v>
      </c>
      <c r="BQ224" s="36">
        <f t="shared" si="440"/>
        <v>-1.3197069603843172</v>
      </c>
      <c r="BR224" s="36">
        <f t="shared" si="441"/>
        <v>-0.61646845958014185</v>
      </c>
      <c r="BS224" s="93">
        <f t="shared" si="442"/>
        <v>-1.1713350695405536</v>
      </c>
      <c r="BT224" s="36">
        <f t="shared" si="443"/>
        <v>-0.83695200957263094</v>
      </c>
      <c r="BU224" s="36">
        <f t="shared" si="444"/>
        <v>-1.4270732427643227</v>
      </c>
      <c r="BV224" s="36">
        <f t="shared" si="445"/>
        <v>-1.6205033557046979</v>
      </c>
      <c r="BW224" s="36">
        <f t="shared" si="446"/>
        <v>-0.80210478992970402</v>
      </c>
      <c r="BX224" s="93">
        <f t="shared" si="447"/>
        <v>-1.0949555395974269</v>
      </c>
      <c r="BY224" s="36">
        <f t="shared" si="448"/>
        <v>-5.3884422110552785</v>
      </c>
      <c r="BZ224" s="36">
        <f t="shared" si="449"/>
        <v>3.510058123050757</v>
      </c>
      <c r="CA224" s="36">
        <f t="shared" si="450"/>
        <v>2.7431818181818177</v>
      </c>
      <c r="CB224" s="36">
        <f t="shared" si="451"/>
        <v>-4.2589966130397947</v>
      </c>
      <c r="CC224" s="93">
        <f t="shared" si="452"/>
        <v>12.110575423666395</v>
      </c>
      <c r="CD224" s="36">
        <f t="shared" si="453"/>
        <v>1.267071596244131</v>
      </c>
      <c r="CE224" s="36">
        <f t="shared" si="454"/>
        <v>0.79932115471357723</v>
      </c>
      <c r="CF224" s="36">
        <f t="shared" si="455"/>
        <v>0.75206132361870059</v>
      </c>
      <c r="CG224" s="36">
        <f t="shared" si="456"/>
        <v>1.349231691078562</v>
      </c>
      <c r="CH224" s="93">
        <f t="shared" si="457"/>
        <v>0.95064612220437072</v>
      </c>
      <c r="CI224" s="36">
        <f t="shared" si="458"/>
        <v>0.54053451786652662</v>
      </c>
      <c r="CJ224" s="36">
        <f t="shared" si="459"/>
        <v>0.42978454072916272</v>
      </c>
      <c r="CK224" s="36">
        <f t="shared" si="460"/>
        <v>0.4153055750967285</v>
      </c>
      <c r="CL224" s="36">
        <f t="shared" si="461"/>
        <v>0.55543406972730391</v>
      </c>
      <c r="CM224" s="93">
        <f t="shared" si="462"/>
        <v>0.47142608006928688</v>
      </c>
    </row>
    <row r="225" spans="1:91" x14ac:dyDescent="0.2">
      <c r="A225" s="47" t="s">
        <v>186</v>
      </c>
      <c r="B225" s="38" t="s">
        <v>169</v>
      </c>
      <c r="C225" s="38" t="s">
        <v>169</v>
      </c>
      <c r="D225" s="38" t="s">
        <v>169</v>
      </c>
      <c r="E225" s="38" t="s">
        <v>169</v>
      </c>
      <c r="F225" s="88" t="s">
        <v>169</v>
      </c>
      <c r="G225" s="36" t="s">
        <v>199</v>
      </c>
      <c r="H225" s="36" t="s">
        <v>199</v>
      </c>
      <c r="I225" s="36" t="s">
        <v>199</v>
      </c>
      <c r="J225" s="36" t="s">
        <v>199</v>
      </c>
      <c r="K225" s="27" t="s">
        <v>199</v>
      </c>
      <c r="L225" s="36" t="s">
        <v>199</v>
      </c>
      <c r="M225" s="36" t="s">
        <v>199</v>
      </c>
      <c r="N225" s="36" t="s">
        <v>199</v>
      </c>
      <c r="O225" s="36" t="s">
        <v>199</v>
      </c>
      <c r="P225" s="27" t="s">
        <v>199</v>
      </c>
      <c r="Q225" s="36" t="s">
        <v>199</v>
      </c>
      <c r="R225" s="36" t="s">
        <v>199</v>
      </c>
      <c r="S225" s="36" t="s">
        <v>199</v>
      </c>
      <c r="T225" s="36" t="s">
        <v>199</v>
      </c>
      <c r="U225" s="27" t="s">
        <v>199</v>
      </c>
      <c r="V225" s="36" t="s">
        <v>199</v>
      </c>
      <c r="W225" s="36" t="s">
        <v>199</v>
      </c>
      <c r="X225" s="36" t="s">
        <v>199</v>
      </c>
      <c r="Y225" s="36" t="s">
        <v>199</v>
      </c>
      <c r="Z225" s="27" t="s">
        <v>199</v>
      </c>
      <c r="AA225" s="36">
        <f t="shared" ref="AA225:AJ226" si="473">AA168/V168-1</f>
        <v>-6.0070671378091856E-2</v>
      </c>
      <c r="AB225" s="36">
        <f t="shared" si="473"/>
        <v>-0.12363636363636366</v>
      </c>
      <c r="AC225" s="36">
        <f t="shared" si="473"/>
        <v>0.12080536912751683</v>
      </c>
      <c r="AD225" s="36">
        <f t="shared" si="473"/>
        <v>6.91642651296831E-2</v>
      </c>
      <c r="AE225" s="27">
        <f t="shared" si="473"/>
        <v>7.4812967581048273E-3</v>
      </c>
      <c r="AF225" s="36">
        <f t="shared" si="473"/>
        <v>0.14661654135338353</v>
      </c>
      <c r="AG225" s="36">
        <f t="shared" si="473"/>
        <v>0.3319502074688796</v>
      </c>
      <c r="AH225" s="36">
        <f t="shared" si="473"/>
        <v>0.13173652694610771</v>
      </c>
      <c r="AI225" s="36">
        <f t="shared" si="473"/>
        <v>-2.6954177897574594E-3</v>
      </c>
      <c r="AJ225" s="27">
        <f t="shared" si="473"/>
        <v>0.13366336633663356</v>
      </c>
      <c r="AK225" s="36">
        <f t="shared" ref="AK225:AT226" si="474">AK168/AF168-1</f>
        <v>-8.5245901639344313E-2</v>
      </c>
      <c r="AL225" s="36">
        <f t="shared" si="474"/>
        <v>-6.8535825545171347E-2</v>
      </c>
      <c r="AM225" s="36">
        <f t="shared" si="474"/>
        <v>-3.703703703703709E-2</v>
      </c>
      <c r="AN225" s="36">
        <f t="shared" si="474"/>
        <v>9.4594594594594517E-2</v>
      </c>
      <c r="AO225" s="27">
        <f t="shared" si="474"/>
        <v>-1.9650655021834051E-2</v>
      </c>
      <c r="AP225" s="36">
        <f t="shared" si="474"/>
        <v>3.2258064516129004E-2</v>
      </c>
      <c r="AQ225" s="36">
        <f t="shared" si="474"/>
        <v>2.006688963210701E-2</v>
      </c>
      <c r="AR225" s="36">
        <f t="shared" si="474"/>
        <v>5.2197802197802234E-2</v>
      </c>
      <c r="AS225" s="36">
        <f t="shared" si="474"/>
        <v>-0.14074074074074072</v>
      </c>
      <c r="AT225" s="27">
        <f t="shared" si="474"/>
        <v>-1.7074981440237558E-2</v>
      </c>
      <c r="AU225" s="36">
        <f t="shared" ref="AU225:AX226" si="475">AU168/AP168-1</f>
        <v>-9.722222222222221E-2</v>
      </c>
      <c r="AV225" s="36">
        <f t="shared" si="475"/>
        <v>6.5573770491802463E-3</v>
      </c>
      <c r="AW225" s="36">
        <f t="shared" si="475"/>
        <v>-8.0939947780678811E-2</v>
      </c>
      <c r="AX225" s="36">
        <f t="shared" si="475"/>
        <v>-1.1494252873563204E-2</v>
      </c>
      <c r="AY225" s="93">
        <f t="shared" si="422"/>
        <v>-4.6072507552870068E-2</v>
      </c>
      <c r="AZ225" s="36">
        <f t="shared" si="423"/>
        <v>-2.6923076923076938E-2</v>
      </c>
      <c r="BA225" s="36">
        <f t="shared" si="424"/>
        <v>-5.2117263843648232E-2</v>
      </c>
      <c r="BB225" s="36">
        <f t="shared" si="425"/>
        <v>-0.21022727272727271</v>
      </c>
      <c r="BC225" s="36">
        <f t="shared" si="426"/>
        <v>-0.11337209302325579</v>
      </c>
      <c r="BD225" s="93">
        <f t="shared" si="427"/>
        <v>-0.10768012668250193</v>
      </c>
      <c r="BE225" s="36">
        <f t="shared" si="428"/>
        <v>2.3715415019762931E-2</v>
      </c>
      <c r="BF225" s="36">
        <f t="shared" si="429"/>
        <v>-2.7491408934707917E-2</v>
      </c>
      <c r="BG225" s="36">
        <f t="shared" si="430"/>
        <v>0.54676258992805749</v>
      </c>
      <c r="BH225" s="36">
        <f t="shared" si="431"/>
        <v>7.8688524590163844E-2</v>
      </c>
      <c r="BI225" s="93">
        <f t="shared" si="432"/>
        <v>0.15439219165927232</v>
      </c>
      <c r="BJ225" s="36">
        <f t="shared" si="433"/>
        <v>0.17374517374517384</v>
      </c>
      <c r="BK225" s="36">
        <f t="shared" si="434"/>
        <v>0.16254416961130747</v>
      </c>
      <c r="BL225" s="36">
        <f t="shared" si="435"/>
        <v>-0.19302325581395352</v>
      </c>
      <c r="BM225" s="36">
        <f t="shared" si="436"/>
        <v>0.42249240121580556</v>
      </c>
      <c r="BN225" s="93">
        <f t="shared" si="437"/>
        <v>0.112990007686395</v>
      </c>
      <c r="BO225" s="36">
        <f t="shared" si="438"/>
        <v>-0.10526315789473684</v>
      </c>
      <c r="BP225" s="36">
        <f t="shared" si="439"/>
        <v>5.9760269297608026E-2</v>
      </c>
      <c r="BQ225" s="36">
        <f t="shared" si="440"/>
        <v>9.8894557503823588E-3</v>
      </c>
      <c r="BR225" s="36">
        <f t="shared" si="441"/>
        <v>4.3059502267620786E-2</v>
      </c>
      <c r="BS225" s="93">
        <f t="shared" si="442"/>
        <v>7.7656193408441876E-3</v>
      </c>
      <c r="BT225" s="36">
        <f t="shared" si="443"/>
        <v>5.1559586007637659E-2</v>
      </c>
      <c r="BU225" s="36">
        <f t="shared" si="444"/>
        <v>5.3431074046277116E-2</v>
      </c>
      <c r="BV225" s="36">
        <f t="shared" si="445"/>
        <v>5.3755577987230296E-2</v>
      </c>
      <c r="BW225" s="36">
        <f t="shared" si="446"/>
        <v>5.1423604647244936E-2</v>
      </c>
      <c r="BX225" s="93">
        <f t="shared" si="447"/>
        <v>5.2488615066376365E-2</v>
      </c>
      <c r="BY225" s="36">
        <f t="shared" si="448"/>
        <v>5.4927016170476683E-2</v>
      </c>
      <c r="BZ225" s="36">
        <f t="shared" si="449"/>
        <v>5.3053086005032002E-2</v>
      </c>
      <c r="CA225" s="36">
        <f t="shared" si="450"/>
        <v>5.3355742451899335E-2</v>
      </c>
      <c r="CB225" s="36">
        <f t="shared" si="451"/>
        <v>5.1016307685991302E-2</v>
      </c>
      <c r="CC225" s="93">
        <f t="shared" si="452"/>
        <v>5.2794182286409086E-2</v>
      </c>
      <c r="CD225" s="36">
        <f t="shared" si="453"/>
        <v>4.9934358742997453E-2</v>
      </c>
      <c r="CE225" s="36">
        <f t="shared" si="454"/>
        <v>4.8393154871432698E-2</v>
      </c>
      <c r="CF225" s="36">
        <f t="shared" si="455"/>
        <v>4.8815392815905412E-2</v>
      </c>
      <c r="CG225" s="36">
        <f t="shared" si="456"/>
        <v>4.6719865878195765E-2</v>
      </c>
      <c r="CH225" s="93">
        <f t="shared" si="457"/>
        <v>4.8224090697578381E-2</v>
      </c>
      <c r="CI225" s="36">
        <f t="shared" si="458"/>
        <v>4.7924480418311877E-2</v>
      </c>
      <c r="CJ225" s="36">
        <f t="shared" si="459"/>
        <v>4.655654181280422E-2</v>
      </c>
      <c r="CK225" s="36">
        <f t="shared" si="460"/>
        <v>4.6780631505023873E-2</v>
      </c>
      <c r="CL225" s="36">
        <f t="shared" si="461"/>
        <v>4.427319787235473E-2</v>
      </c>
      <c r="CM225" s="93">
        <f t="shared" si="462"/>
        <v>4.6105490362982504E-2</v>
      </c>
    </row>
    <row r="226" spans="1:91" x14ac:dyDescent="0.2">
      <c r="A226" s="71" t="s">
        <v>198</v>
      </c>
      <c r="B226" s="37" t="s">
        <v>169</v>
      </c>
      <c r="C226" s="37" t="s">
        <v>169</v>
      </c>
      <c r="D226" s="37" t="s">
        <v>169</v>
      </c>
      <c r="E226" s="37" t="s">
        <v>169</v>
      </c>
      <c r="F226" s="90" t="s">
        <v>169</v>
      </c>
      <c r="G226" s="37">
        <f t="shared" ref="G226:Z226" si="476">G169/B169-1</f>
        <v>2.2001419446415982E-2</v>
      </c>
      <c r="H226" s="37">
        <f t="shared" si="476"/>
        <v>7.2538860103626979E-2</v>
      </c>
      <c r="I226" s="37">
        <f t="shared" si="476"/>
        <v>7.5901328273244806E-2</v>
      </c>
      <c r="J226" s="37">
        <f t="shared" si="476"/>
        <v>0.10262529832935563</v>
      </c>
      <c r="K226" s="89">
        <f t="shared" si="476"/>
        <v>6.7994171928120517E-2</v>
      </c>
      <c r="L226" s="37">
        <f t="shared" si="476"/>
        <v>0.13680555555555562</v>
      </c>
      <c r="M226" s="37">
        <f t="shared" si="476"/>
        <v>0.11980676328502415</v>
      </c>
      <c r="N226" s="37">
        <f t="shared" si="476"/>
        <v>0.12404467960023524</v>
      </c>
      <c r="O226" s="37">
        <f t="shared" si="476"/>
        <v>0.19191919191919182</v>
      </c>
      <c r="P226" s="89">
        <f t="shared" si="476"/>
        <v>0.13976049719569494</v>
      </c>
      <c r="Q226" s="37">
        <f t="shared" si="476"/>
        <v>0.19242516799022602</v>
      </c>
      <c r="R226" s="37">
        <f t="shared" si="476"/>
        <v>0.20319240724762722</v>
      </c>
      <c r="S226" s="37">
        <f t="shared" si="476"/>
        <v>0.16841004184100417</v>
      </c>
      <c r="T226" s="37">
        <f t="shared" si="476"/>
        <v>9.8062953995157409E-2</v>
      </c>
      <c r="U226" s="89">
        <f t="shared" si="476"/>
        <v>0.16890543955313198</v>
      </c>
      <c r="V226" s="37">
        <f t="shared" si="476"/>
        <v>1.5368852459016757E-3</v>
      </c>
      <c r="W226" s="37">
        <f t="shared" si="476"/>
        <v>-0.10003585514521329</v>
      </c>
      <c r="X226" s="37">
        <f t="shared" si="476"/>
        <v>-1.61145926589078E-2</v>
      </c>
      <c r="Y226" s="37">
        <f t="shared" si="476"/>
        <v>3.6934950385887566E-2</v>
      </c>
      <c r="Z226" s="89">
        <f t="shared" si="476"/>
        <v>-2.7875753783138002E-2</v>
      </c>
      <c r="AA226" s="37">
        <f t="shared" si="473"/>
        <v>0.16572890025575449</v>
      </c>
      <c r="AB226" s="37">
        <f t="shared" si="473"/>
        <v>0.13187250996015942</v>
      </c>
      <c r="AC226" s="37">
        <f t="shared" si="473"/>
        <v>0.11191992720655142</v>
      </c>
      <c r="AD226" s="37">
        <f t="shared" si="473"/>
        <v>7.1238702817650212E-2</v>
      </c>
      <c r="AE226" s="89">
        <f t="shared" si="473"/>
        <v>0.1211376404494382</v>
      </c>
      <c r="AF226" s="37">
        <f t="shared" si="473"/>
        <v>9.8288723124177357E-2</v>
      </c>
      <c r="AG226" s="37">
        <f t="shared" si="473"/>
        <v>0.1795142555438225</v>
      </c>
      <c r="AH226" s="37">
        <f t="shared" si="473"/>
        <v>0.21194762684124391</v>
      </c>
      <c r="AI226" s="37">
        <f t="shared" si="473"/>
        <v>0.10868486352357309</v>
      </c>
      <c r="AJ226" s="89">
        <f t="shared" si="473"/>
        <v>0.15356509030170162</v>
      </c>
      <c r="AK226" s="37">
        <f t="shared" si="474"/>
        <v>2.437075509388742E-2</v>
      </c>
      <c r="AL226" s="37">
        <f t="shared" si="474"/>
        <v>1.8501939719486771E-2</v>
      </c>
      <c r="AM226" s="37">
        <f t="shared" si="474"/>
        <v>-5.806887238352465E-2</v>
      </c>
      <c r="AN226" s="37">
        <f t="shared" si="474"/>
        <v>0.11145926589077892</v>
      </c>
      <c r="AO226" s="89">
        <f t="shared" si="474"/>
        <v>1.8099547511312153E-2</v>
      </c>
      <c r="AP226" s="37">
        <f t="shared" si="474"/>
        <v>1.833073322932921E-2</v>
      </c>
      <c r="AQ226" s="37">
        <f t="shared" si="474"/>
        <v>1.4649868151186407E-3</v>
      </c>
      <c r="AR226" s="37">
        <f t="shared" si="474"/>
        <v>2.0788530465949862E-2</v>
      </c>
      <c r="AS226" s="37">
        <f t="shared" si="474"/>
        <v>-4.0273862263391025E-2</v>
      </c>
      <c r="AT226" s="89">
        <f t="shared" si="474"/>
        <v>8.8888888888893902E-4</v>
      </c>
      <c r="AU226" s="37">
        <f t="shared" si="475"/>
        <v>-5.8215243201838351E-2</v>
      </c>
      <c r="AV226" s="37">
        <f t="shared" si="475"/>
        <v>-2.691632533645405E-2</v>
      </c>
      <c r="AW226" s="37">
        <f t="shared" si="475"/>
        <v>-2.8089887640448952E-3</v>
      </c>
      <c r="AX226" s="37">
        <f t="shared" si="475"/>
        <v>-2.2660511959714635E-2</v>
      </c>
      <c r="AY226" s="89">
        <f t="shared" si="422"/>
        <v>-2.7175843694493773E-2</v>
      </c>
      <c r="AZ226" s="37">
        <f t="shared" si="423"/>
        <v>1.9926799511996718E-2</v>
      </c>
      <c r="BA226" s="37">
        <f t="shared" si="424"/>
        <v>-5.1713770294648187E-2</v>
      </c>
      <c r="BB226" s="37">
        <f t="shared" si="425"/>
        <v>-4.7535211267605626E-2</v>
      </c>
      <c r="BC226" s="37">
        <f t="shared" si="426"/>
        <v>-0.13868613138686137</v>
      </c>
      <c r="BD226" s="89">
        <f t="shared" si="427"/>
        <v>-5.3039985393463551E-2</v>
      </c>
      <c r="BE226" s="37">
        <f t="shared" si="428"/>
        <v>-2.4322169059011189E-2</v>
      </c>
      <c r="BF226" s="37">
        <f t="shared" si="429"/>
        <v>-3.2974001268230801E-2</v>
      </c>
      <c r="BG226" s="37">
        <f t="shared" si="430"/>
        <v>-8.2439926062846558E-2</v>
      </c>
      <c r="BH226" s="37">
        <f t="shared" si="431"/>
        <v>-1.3459621136590272E-2</v>
      </c>
      <c r="BI226" s="89">
        <f t="shared" si="432"/>
        <v>-4.0007712330087708E-2</v>
      </c>
      <c r="BJ226" s="37">
        <f t="shared" si="433"/>
        <v>-7.9689415610952219E-2</v>
      </c>
      <c r="BK226" s="37">
        <f t="shared" si="434"/>
        <v>-4.9508196721311459E-2</v>
      </c>
      <c r="BL226" s="37">
        <f t="shared" si="435"/>
        <v>-1.5713134568896003E-2</v>
      </c>
      <c r="BM226" s="37">
        <f t="shared" si="436"/>
        <v>-1.6675088428499296E-2</v>
      </c>
      <c r="BN226" s="89">
        <f t="shared" si="437"/>
        <v>-4.1976300461940119E-2</v>
      </c>
      <c r="BO226" s="37">
        <f t="shared" si="438"/>
        <v>3.7744227353463611E-2</v>
      </c>
      <c r="BP226" s="37">
        <f t="shared" si="439"/>
        <v>-4.2723785076218546E-3</v>
      </c>
      <c r="BQ226" s="37">
        <f t="shared" si="440"/>
        <v>8.180922499151877E-2</v>
      </c>
      <c r="BR226" s="37">
        <f t="shared" si="441"/>
        <v>0.11523026975095108</v>
      </c>
      <c r="BS226" s="89">
        <f t="shared" si="442"/>
        <v>5.2066291016355848E-2</v>
      </c>
      <c r="BT226" s="37">
        <f t="shared" si="443"/>
        <v>6.9921875039276937E-2</v>
      </c>
      <c r="BU226" s="37">
        <f t="shared" si="444"/>
        <v>7.0874727061413623E-2</v>
      </c>
      <c r="BV226" s="37">
        <f t="shared" si="445"/>
        <v>7.3302303088985443E-2</v>
      </c>
      <c r="BW226" s="37">
        <f t="shared" si="446"/>
        <v>7.7811417359132884E-2</v>
      </c>
      <c r="BX226" s="89">
        <f t="shared" si="447"/>
        <v>7.2792008045346135E-2</v>
      </c>
      <c r="BY226" s="37">
        <f t="shared" si="448"/>
        <v>7.4201271824658299E-2</v>
      </c>
      <c r="BZ226" s="37">
        <f t="shared" si="449"/>
        <v>6.9583036285096211E-2</v>
      </c>
      <c r="CA226" s="37">
        <f t="shared" si="450"/>
        <v>7.185865836760108E-2</v>
      </c>
      <c r="CB226" s="37">
        <f t="shared" si="451"/>
        <v>7.6081779826708384E-2</v>
      </c>
      <c r="CC226" s="89">
        <f t="shared" si="452"/>
        <v>7.2666791365841643E-2</v>
      </c>
      <c r="CD226" s="37">
        <f t="shared" si="453"/>
        <v>6.8600913330947977E-2</v>
      </c>
      <c r="CE226" s="37">
        <f t="shared" si="454"/>
        <v>6.4495161682513125E-2</v>
      </c>
      <c r="CF226" s="37">
        <f t="shared" si="455"/>
        <v>6.650939295695224E-2</v>
      </c>
      <c r="CG226" s="37">
        <f t="shared" si="456"/>
        <v>7.0502299802394308E-2</v>
      </c>
      <c r="CH226" s="89">
        <f t="shared" si="457"/>
        <v>6.7289366262343719E-2</v>
      </c>
      <c r="CI226" s="37">
        <f t="shared" si="458"/>
        <v>6.280509373869303E-2</v>
      </c>
      <c r="CJ226" s="37">
        <f t="shared" si="459"/>
        <v>5.957176771921735E-2</v>
      </c>
      <c r="CK226" s="37">
        <f t="shared" si="460"/>
        <v>6.1121251504108853E-2</v>
      </c>
      <c r="CL226" s="37">
        <f t="shared" si="461"/>
        <v>6.4249947602380786E-2</v>
      </c>
      <c r="CM226" s="89">
        <f t="shared" si="462"/>
        <v>6.1754813744588466E-2</v>
      </c>
    </row>
    <row r="227" spans="1:91" x14ac:dyDescent="0.2">
      <c r="A227" s="52"/>
      <c r="B227" s="73"/>
      <c r="C227" s="73"/>
      <c r="D227" s="73"/>
      <c r="E227" s="46"/>
      <c r="F227" s="93"/>
      <c r="G227" s="36"/>
      <c r="H227" s="36"/>
      <c r="I227" s="36"/>
      <c r="J227" s="36"/>
      <c r="K227" s="93"/>
      <c r="L227" s="73"/>
      <c r="M227" s="73"/>
      <c r="N227" s="38"/>
      <c r="O227" s="38"/>
      <c r="P227" s="93"/>
      <c r="Q227" s="38"/>
      <c r="R227" s="38"/>
      <c r="S227" s="73"/>
      <c r="T227" s="73"/>
      <c r="U227" s="88"/>
      <c r="V227" s="38"/>
      <c r="W227" s="73"/>
      <c r="X227" s="73"/>
      <c r="Y227" s="73"/>
      <c r="Z227" s="98"/>
      <c r="AA227" s="36"/>
      <c r="AB227" s="36"/>
      <c r="AC227" s="73"/>
      <c r="AD227" s="73"/>
      <c r="AE227" s="98"/>
      <c r="AF227" s="36"/>
      <c r="AG227" s="36"/>
      <c r="AH227" s="36"/>
      <c r="AI227" s="36"/>
      <c r="AJ227" s="98"/>
      <c r="AK227" s="36"/>
      <c r="AL227" s="36"/>
      <c r="AM227" s="73"/>
      <c r="AN227" s="73"/>
      <c r="AO227" s="98"/>
      <c r="AP227" s="36"/>
      <c r="AQ227" s="36"/>
      <c r="AR227" s="73"/>
      <c r="AS227" s="73"/>
      <c r="AT227" s="98"/>
      <c r="AU227" s="36"/>
      <c r="AV227" s="36"/>
      <c r="AW227" s="73"/>
      <c r="AX227" s="73"/>
      <c r="AY227" s="675"/>
      <c r="AZ227" s="36"/>
      <c r="BA227" s="36"/>
      <c r="BB227" s="73"/>
      <c r="BC227" s="73"/>
      <c r="BD227" s="675"/>
      <c r="BE227" s="36"/>
      <c r="BF227" s="36"/>
      <c r="BG227" s="73"/>
      <c r="BH227" s="73"/>
      <c r="BI227" s="675"/>
      <c r="BJ227" s="36"/>
      <c r="BK227" s="36"/>
      <c r="BL227" s="73"/>
      <c r="BM227" s="73"/>
      <c r="BN227" s="675"/>
      <c r="BO227" s="36"/>
      <c r="BP227" s="36"/>
      <c r="BQ227" s="73"/>
      <c r="BR227" s="73"/>
      <c r="BS227" s="675"/>
      <c r="BT227" s="36"/>
      <c r="BU227" s="36"/>
      <c r="BV227" s="73"/>
      <c r="BW227" s="73"/>
      <c r="BX227" s="675"/>
      <c r="BY227" s="36"/>
      <c r="BZ227" s="36"/>
      <c r="CA227" s="73"/>
      <c r="CB227" s="73"/>
      <c r="CC227" s="675"/>
      <c r="CD227" s="36"/>
      <c r="CE227" s="36"/>
      <c r="CF227" s="73"/>
      <c r="CG227" s="73"/>
      <c r="CH227" s="675"/>
      <c r="CI227" s="36"/>
      <c r="CJ227" s="36"/>
      <c r="CK227" s="73"/>
      <c r="CL227" s="73"/>
      <c r="CM227" s="675"/>
    </row>
    <row r="228" spans="1:91" hidden="1" x14ac:dyDescent="0.2">
      <c r="A228" s="52" t="s">
        <v>227</v>
      </c>
      <c r="B228" s="73"/>
      <c r="C228" s="73"/>
      <c r="D228" s="73"/>
      <c r="E228" s="46"/>
      <c r="F228" s="93"/>
      <c r="G228" s="36"/>
      <c r="H228" s="36"/>
      <c r="I228" s="36"/>
      <c r="J228" s="36"/>
      <c r="K228" s="93"/>
      <c r="L228" s="73"/>
      <c r="M228" s="73"/>
      <c r="N228" s="38"/>
      <c r="O228" s="38"/>
      <c r="P228" s="93"/>
      <c r="Q228" s="38"/>
      <c r="R228" s="38"/>
      <c r="S228" s="73"/>
      <c r="T228" s="73"/>
      <c r="U228" s="88"/>
      <c r="V228" s="38"/>
      <c r="W228" s="73"/>
      <c r="X228" s="73"/>
      <c r="Y228" s="73"/>
      <c r="Z228" s="88"/>
      <c r="AA228" s="38"/>
      <c r="AB228" s="73"/>
      <c r="AC228" s="73"/>
      <c r="AD228" s="73"/>
      <c r="AE228" s="88"/>
      <c r="AF228" s="38"/>
      <c r="AG228" s="38"/>
      <c r="AH228" s="38"/>
      <c r="AI228" s="38"/>
      <c r="AJ228" s="88"/>
      <c r="AK228" s="38"/>
      <c r="AL228" s="73"/>
      <c r="AM228" s="73"/>
      <c r="AN228" s="73"/>
      <c r="AO228" s="88"/>
      <c r="AP228" s="38"/>
      <c r="AQ228" s="73"/>
      <c r="AR228" s="73"/>
      <c r="AS228" s="73"/>
      <c r="AT228" s="88"/>
      <c r="AU228" s="38"/>
      <c r="AV228" s="73"/>
      <c r="AW228" s="73"/>
      <c r="AX228" s="73"/>
      <c r="AY228" s="676"/>
      <c r="AZ228" s="38"/>
      <c r="BA228" s="73"/>
      <c r="BB228" s="73"/>
      <c r="BC228" s="73"/>
      <c r="BD228" s="676"/>
      <c r="BE228" s="38"/>
      <c r="BF228" s="73"/>
      <c r="BG228" s="73"/>
      <c r="BH228" s="73"/>
      <c r="BI228" s="676"/>
      <c r="BJ228" s="38"/>
      <c r="BK228" s="73"/>
      <c r="BL228" s="73"/>
      <c r="BM228" s="73"/>
      <c r="BN228" s="676"/>
      <c r="BO228" s="38"/>
      <c r="BP228" s="73"/>
      <c r="BQ228" s="73"/>
      <c r="BR228" s="73"/>
      <c r="BS228" s="676"/>
      <c r="BT228" s="38"/>
      <c r="BU228" s="73"/>
      <c r="BV228" s="73"/>
      <c r="BW228" s="73"/>
      <c r="BX228" s="676"/>
      <c r="BY228" s="38"/>
      <c r="BZ228" s="73"/>
      <c r="CA228" s="73"/>
      <c r="CB228" s="73"/>
      <c r="CC228" s="676"/>
      <c r="CD228" s="38"/>
      <c r="CE228" s="73"/>
      <c r="CF228" s="73"/>
      <c r="CG228" s="73"/>
      <c r="CH228" s="676"/>
      <c r="CI228" s="38"/>
      <c r="CJ228" s="73"/>
      <c r="CK228" s="73"/>
      <c r="CL228" s="73"/>
      <c r="CM228" s="676"/>
    </row>
    <row r="229" spans="1:91" hidden="1" x14ac:dyDescent="0.2">
      <c r="A229" s="47" t="s">
        <v>182</v>
      </c>
      <c r="B229" s="38" t="s">
        <v>169</v>
      </c>
      <c r="C229" s="38" t="s">
        <v>169</v>
      </c>
      <c r="D229" s="38" t="s">
        <v>169</v>
      </c>
      <c r="E229" s="38" t="s">
        <v>169</v>
      </c>
      <c r="F229" s="88" t="s">
        <v>169</v>
      </c>
      <c r="G229" s="38" t="s">
        <v>169</v>
      </c>
      <c r="H229" s="38" t="s">
        <v>169</v>
      </c>
      <c r="I229" s="38" t="s">
        <v>169</v>
      </c>
      <c r="J229" s="38" t="s">
        <v>169</v>
      </c>
      <c r="K229" s="88" t="s">
        <v>169</v>
      </c>
      <c r="L229" s="38" t="s">
        <v>169</v>
      </c>
      <c r="M229" s="38" t="s">
        <v>169</v>
      </c>
      <c r="N229" s="38" t="s">
        <v>169</v>
      </c>
      <c r="O229" s="38" t="s">
        <v>169</v>
      </c>
      <c r="P229" s="88" t="s">
        <v>169</v>
      </c>
      <c r="Q229" s="38" t="s">
        <v>169</v>
      </c>
      <c r="R229" s="38" t="s">
        <v>169</v>
      </c>
      <c r="S229" s="38" t="s">
        <v>169</v>
      </c>
      <c r="T229" s="38" t="s">
        <v>169</v>
      </c>
      <c r="U229" s="88" t="s">
        <v>169</v>
      </c>
      <c r="V229" s="36">
        <v>0.17</v>
      </c>
      <c r="W229" s="36">
        <v>0.09</v>
      </c>
      <c r="X229" s="36">
        <v>0.13</v>
      </c>
      <c r="Y229" s="36">
        <v>7.0000000000000007E-2</v>
      </c>
      <c r="Z229" s="27">
        <v>0.12</v>
      </c>
      <c r="AA229" s="183">
        <v>0.1</v>
      </c>
      <c r="AB229" s="183">
        <v>0.17</v>
      </c>
      <c r="AC229" s="183">
        <v>0.19</v>
      </c>
      <c r="AD229" s="183">
        <v>0.09</v>
      </c>
      <c r="AE229" s="184">
        <v>0.14000000000000001</v>
      </c>
      <c r="AF229" s="36">
        <v>0.04</v>
      </c>
      <c r="AG229" s="36">
        <v>0.1</v>
      </c>
      <c r="AH229" s="36">
        <v>0.17</v>
      </c>
      <c r="AI229" s="36">
        <v>0.24</v>
      </c>
      <c r="AJ229" s="27">
        <v>0.13</v>
      </c>
      <c r="AK229" s="36">
        <v>0.19</v>
      </c>
      <c r="AL229" s="36">
        <v>0.15</v>
      </c>
      <c r="AM229" s="36">
        <v>0.11</v>
      </c>
      <c r="AN229" s="36">
        <v>0.23</v>
      </c>
      <c r="AO229" s="27">
        <v>0.16</v>
      </c>
      <c r="AP229" s="36">
        <v>0.13</v>
      </c>
      <c r="AQ229" s="36">
        <v>0.19</v>
      </c>
      <c r="AR229" s="36">
        <v>0.05</v>
      </c>
      <c r="AS229" s="36">
        <v>-0.02</v>
      </c>
      <c r="AT229" s="27">
        <v>0.09</v>
      </c>
      <c r="AU229" s="36">
        <v>0.23</v>
      </c>
      <c r="AV229" s="36">
        <v>-0.02</v>
      </c>
      <c r="AW229" s="73"/>
      <c r="AX229" s="73"/>
      <c r="AY229" s="677"/>
      <c r="AZ229" s="36"/>
      <c r="BA229" s="36"/>
      <c r="BB229" s="73"/>
      <c r="BC229" s="73"/>
      <c r="BD229" s="677"/>
      <c r="BE229" s="36"/>
      <c r="BF229" s="36"/>
      <c r="BG229" s="73"/>
      <c r="BH229" s="652">
        <f>(BI229-BD191)*10000</f>
        <v>51.947035494485092</v>
      </c>
      <c r="BI229" s="677">
        <v>0.41308408947868802</v>
      </c>
      <c r="BJ229" s="36"/>
      <c r="BK229" s="36"/>
      <c r="BL229" s="112"/>
      <c r="BM229" s="652">
        <f ca="1">(BN229-BI191)*10000</f>
        <v>75.728733751607706</v>
      </c>
      <c r="BN229" s="677">
        <v>0.41566187386092895</v>
      </c>
      <c r="BO229" s="36"/>
      <c r="BP229" s="36"/>
      <c r="BQ229" s="112"/>
      <c r="BR229" s="652">
        <f ca="1">(BS229-BN191)*10000</f>
        <v>154.40121521567707</v>
      </c>
      <c r="BS229" s="677">
        <v>0.41640630509644694</v>
      </c>
      <c r="BT229" s="36"/>
      <c r="BU229" s="36"/>
      <c r="BV229" s="112"/>
      <c r="BW229" s="112"/>
      <c r="BX229" s="677"/>
      <c r="BY229" s="36"/>
      <c r="BZ229" s="36"/>
      <c r="CA229" s="73"/>
      <c r="CB229" s="73"/>
      <c r="CC229" s="677"/>
      <c r="CD229" s="36"/>
      <c r="CE229" s="36"/>
      <c r="CF229" s="73"/>
      <c r="CG229" s="73"/>
      <c r="CH229" s="677"/>
      <c r="CI229" s="36"/>
      <c r="CJ229" s="36"/>
      <c r="CK229" s="73"/>
      <c r="CL229" s="73"/>
      <c r="CM229" s="677"/>
    </row>
    <row r="230" spans="1:91" hidden="1" x14ac:dyDescent="0.2">
      <c r="A230" s="47" t="s">
        <v>183</v>
      </c>
      <c r="B230" s="38" t="s">
        <v>169</v>
      </c>
      <c r="C230" s="38" t="s">
        <v>169</v>
      </c>
      <c r="D230" s="38" t="s">
        <v>169</v>
      </c>
      <c r="E230" s="38" t="s">
        <v>169</v>
      </c>
      <c r="F230" s="88" t="s">
        <v>169</v>
      </c>
      <c r="G230" s="38" t="s">
        <v>169</v>
      </c>
      <c r="H230" s="38" t="s">
        <v>169</v>
      </c>
      <c r="I230" s="38" t="s">
        <v>169</v>
      </c>
      <c r="J230" s="38" t="s">
        <v>169</v>
      </c>
      <c r="K230" s="88" t="s">
        <v>169</v>
      </c>
      <c r="L230" s="38" t="s">
        <v>169</v>
      </c>
      <c r="M230" s="38" t="s">
        <v>169</v>
      </c>
      <c r="N230" s="38" t="s">
        <v>169</v>
      </c>
      <c r="O230" s="38" t="s">
        <v>169</v>
      </c>
      <c r="P230" s="88" t="s">
        <v>169</v>
      </c>
      <c r="Q230" s="38" t="s">
        <v>169</v>
      </c>
      <c r="R230" s="38" t="s">
        <v>169</v>
      </c>
      <c r="S230" s="38" t="s">
        <v>169</v>
      </c>
      <c r="T230" s="38" t="s">
        <v>169</v>
      </c>
      <c r="U230" s="88" t="s">
        <v>169</v>
      </c>
      <c r="V230" s="36">
        <v>0.08</v>
      </c>
      <c r="W230" s="36">
        <v>0</v>
      </c>
      <c r="X230" s="36">
        <v>7.0000000000000007E-2</v>
      </c>
      <c r="Y230" s="36">
        <v>-0.01</v>
      </c>
      <c r="Z230" s="27">
        <v>0.04</v>
      </c>
      <c r="AA230" s="36">
        <v>0.01</v>
      </c>
      <c r="AB230" s="36">
        <v>7.0000000000000007E-2</v>
      </c>
      <c r="AC230" s="36">
        <v>0.01</v>
      </c>
      <c r="AD230" s="36">
        <v>0.02</v>
      </c>
      <c r="AE230" s="27">
        <v>0.03</v>
      </c>
      <c r="AF230" s="36">
        <v>-0.01</v>
      </c>
      <c r="AG230" s="36">
        <v>-0.01</v>
      </c>
      <c r="AH230" s="36">
        <v>0.03</v>
      </c>
      <c r="AI230" s="36">
        <v>0.04</v>
      </c>
      <c r="AJ230" s="27">
        <v>0.01</v>
      </c>
      <c r="AK230" s="36">
        <v>-0.02</v>
      </c>
      <c r="AL230" s="36">
        <v>-0.03</v>
      </c>
      <c r="AM230" s="36">
        <v>-0.08</v>
      </c>
      <c r="AN230" s="36">
        <v>0.12</v>
      </c>
      <c r="AO230" s="27">
        <v>-0.01</v>
      </c>
      <c r="AP230" s="36">
        <v>-0.01</v>
      </c>
      <c r="AQ230" s="36">
        <v>-0.03</v>
      </c>
      <c r="AR230" s="36">
        <v>0.06</v>
      </c>
      <c r="AS230" s="36">
        <v>-0.06</v>
      </c>
      <c r="AT230" s="27">
        <v>-0.01</v>
      </c>
      <c r="AU230" s="36">
        <v>0.04</v>
      </c>
      <c r="AV230" s="36">
        <v>0.01</v>
      </c>
      <c r="AW230" s="73"/>
      <c r="AX230" s="73"/>
      <c r="AY230" s="677"/>
      <c r="AZ230" s="36"/>
      <c r="BA230" s="36"/>
      <c r="BB230" s="73"/>
      <c r="BC230" s="73"/>
      <c r="BD230" s="677"/>
      <c r="BE230" s="36"/>
      <c r="BF230" s="36"/>
      <c r="BG230" s="73"/>
      <c r="BH230" s="652">
        <f>(BI230-BD192)*10000</f>
        <v>416.9266770670821</v>
      </c>
      <c r="BI230" s="677">
        <v>0.6</v>
      </c>
      <c r="BJ230" s="36"/>
      <c r="BK230" s="36"/>
      <c r="BL230" s="112"/>
      <c r="BM230" s="652">
        <f ca="1">(BN230-BI192)*10000</f>
        <v>-140.26116519925912</v>
      </c>
      <c r="BN230" s="677">
        <v>0.56000000000000005</v>
      </c>
      <c r="BO230" s="36"/>
      <c r="BP230" s="36"/>
      <c r="BQ230" s="112"/>
      <c r="BR230" s="652">
        <f ca="1">(BS230-BN192)*10000</f>
        <v>-130.49645390070918</v>
      </c>
      <c r="BS230" s="677">
        <v>0.56000000000000005</v>
      </c>
      <c r="BT230" s="36"/>
      <c r="BU230" s="36"/>
      <c r="BV230" s="112"/>
      <c r="BW230" s="112"/>
      <c r="BX230" s="677"/>
      <c r="BY230" s="36"/>
      <c r="BZ230" s="36"/>
      <c r="CA230" s="73"/>
      <c r="CB230" s="73"/>
      <c r="CC230" s="677"/>
      <c r="CD230" s="36"/>
      <c r="CE230" s="36"/>
      <c r="CF230" s="73"/>
      <c r="CG230" s="73"/>
      <c r="CH230" s="677"/>
      <c r="CI230" s="36"/>
      <c r="CJ230" s="36"/>
      <c r="CK230" s="73"/>
      <c r="CL230" s="73"/>
      <c r="CM230" s="677"/>
    </row>
    <row r="231" spans="1:91" hidden="1" x14ac:dyDescent="0.2">
      <c r="A231" s="47" t="s">
        <v>14</v>
      </c>
      <c r="B231" s="38" t="s">
        <v>169</v>
      </c>
      <c r="C231" s="38" t="s">
        <v>169</v>
      </c>
      <c r="D231" s="38" t="s">
        <v>169</v>
      </c>
      <c r="E231" s="38" t="s">
        <v>169</v>
      </c>
      <c r="F231" s="88" t="s">
        <v>169</v>
      </c>
      <c r="G231" s="38" t="s">
        <v>169</v>
      </c>
      <c r="H231" s="38" t="s">
        <v>169</v>
      </c>
      <c r="I231" s="38" t="s">
        <v>169</v>
      </c>
      <c r="J231" s="38" t="s">
        <v>169</v>
      </c>
      <c r="K231" s="88" t="s">
        <v>169</v>
      </c>
      <c r="L231" s="38" t="s">
        <v>169</v>
      </c>
      <c r="M231" s="38" t="s">
        <v>169</v>
      </c>
      <c r="N231" s="38" t="s">
        <v>169</v>
      </c>
      <c r="O231" s="38" t="s">
        <v>169</v>
      </c>
      <c r="P231" s="88" t="s">
        <v>169</v>
      </c>
      <c r="Q231" s="38" t="s">
        <v>169</v>
      </c>
      <c r="R231" s="38" t="s">
        <v>169</v>
      </c>
      <c r="S231" s="38" t="s">
        <v>169</v>
      </c>
      <c r="T231" s="38" t="s">
        <v>169</v>
      </c>
      <c r="U231" s="88" t="s">
        <v>169</v>
      </c>
      <c r="V231" s="36">
        <v>0.14000000000000001</v>
      </c>
      <c r="W231" s="36">
        <v>0.12</v>
      </c>
      <c r="X231" s="36">
        <v>0.18</v>
      </c>
      <c r="Y231" s="36">
        <v>0.16</v>
      </c>
      <c r="Z231" s="27">
        <v>0.15</v>
      </c>
      <c r="AA231" s="36">
        <v>0.27</v>
      </c>
      <c r="AB231" s="36">
        <v>0.2</v>
      </c>
      <c r="AC231" s="36">
        <v>0.16</v>
      </c>
      <c r="AD231" s="36">
        <v>0.1</v>
      </c>
      <c r="AE231" s="27">
        <v>0.18</v>
      </c>
      <c r="AF231" s="36">
        <v>0.12</v>
      </c>
      <c r="AG231" s="36">
        <v>0.08</v>
      </c>
      <c r="AH231" s="36">
        <v>0.19</v>
      </c>
      <c r="AI231" s="36">
        <v>0.12</v>
      </c>
      <c r="AJ231" s="27">
        <v>0.13</v>
      </c>
      <c r="AK231" s="36">
        <v>0.11</v>
      </c>
      <c r="AL231" s="36">
        <v>0.13</v>
      </c>
      <c r="AM231" s="36">
        <v>0.09</v>
      </c>
      <c r="AN231" s="36">
        <v>0.16</v>
      </c>
      <c r="AO231" s="27">
        <v>0.12</v>
      </c>
      <c r="AP231" s="36">
        <v>0.09</v>
      </c>
      <c r="AQ231" s="36">
        <v>0.13</v>
      </c>
      <c r="AR231" s="36">
        <v>0.11</v>
      </c>
      <c r="AS231" s="36">
        <v>0.13</v>
      </c>
      <c r="AT231" s="27">
        <v>0.12</v>
      </c>
      <c r="AU231" s="36">
        <v>0.08</v>
      </c>
      <c r="AV231" s="36">
        <v>-0.01</v>
      </c>
      <c r="AW231" s="73"/>
      <c r="AX231" s="73"/>
      <c r="AY231" s="677"/>
      <c r="AZ231" s="36"/>
      <c r="BA231" s="36"/>
      <c r="BB231" s="73"/>
      <c r="BC231" s="73"/>
      <c r="BD231" s="677"/>
      <c r="BE231" s="36"/>
      <c r="BF231" s="36"/>
      <c r="BG231" s="73"/>
      <c r="BH231" s="652">
        <f>(BI231-BD193)*10000</f>
        <v>76.263728271734891</v>
      </c>
      <c r="BI231" s="677">
        <v>0.54984532226261773</v>
      </c>
      <c r="BJ231" s="36"/>
      <c r="BK231" s="36"/>
      <c r="BL231" s="112"/>
      <c r="BM231" s="652">
        <f>(BN231-BI193)*10000</f>
        <v>225.59023261392917</v>
      </c>
      <c r="BN231" s="677">
        <v>0.55280254250726879</v>
      </c>
      <c r="BO231" s="36"/>
      <c r="BP231" s="36"/>
      <c r="BQ231" s="112"/>
      <c r="BR231" s="652">
        <f>(BS231-BN193)*10000</f>
        <v>12.418870762935796</v>
      </c>
      <c r="BS231" s="677">
        <v>0.5534881020179665</v>
      </c>
      <c r="BT231" s="36"/>
      <c r="BU231" s="36"/>
      <c r="BV231" s="112"/>
      <c r="BW231" s="112"/>
      <c r="BX231" s="677"/>
      <c r="BY231" s="36"/>
      <c r="BZ231" s="36"/>
      <c r="CA231" s="73"/>
      <c r="CB231" s="73"/>
      <c r="CC231" s="677"/>
      <c r="CD231" s="36"/>
      <c r="CE231" s="36"/>
      <c r="CF231" s="73"/>
      <c r="CG231" s="73"/>
      <c r="CH231" s="677"/>
      <c r="CI231" s="36"/>
      <c r="CJ231" s="36"/>
      <c r="CK231" s="73"/>
      <c r="CL231" s="73"/>
      <c r="CM231" s="677"/>
    </row>
    <row r="232" spans="1:91" hidden="1" x14ac:dyDescent="0.2">
      <c r="A232" s="47" t="s">
        <v>13</v>
      </c>
      <c r="B232" s="38" t="s">
        <v>169</v>
      </c>
      <c r="C232" s="38" t="s">
        <v>169</v>
      </c>
      <c r="D232" s="38" t="s">
        <v>169</v>
      </c>
      <c r="E232" s="38" t="s">
        <v>169</v>
      </c>
      <c r="F232" s="88" t="s">
        <v>169</v>
      </c>
      <c r="G232" s="38" t="s">
        <v>169</v>
      </c>
      <c r="H232" s="38" t="s">
        <v>169</v>
      </c>
      <c r="I232" s="38" t="s">
        <v>169</v>
      </c>
      <c r="J232" s="38" t="s">
        <v>169</v>
      </c>
      <c r="K232" s="88" t="s">
        <v>169</v>
      </c>
      <c r="L232" s="38" t="s">
        <v>169</v>
      </c>
      <c r="M232" s="38" t="s">
        <v>169</v>
      </c>
      <c r="N232" s="38" t="s">
        <v>169</v>
      </c>
      <c r="O232" s="38" t="s">
        <v>169</v>
      </c>
      <c r="P232" s="88" t="s">
        <v>169</v>
      </c>
      <c r="Q232" s="38" t="s">
        <v>169</v>
      </c>
      <c r="R232" s="38" t="s">
        <v>169</v>
      </c>
      <c r="S232" s="38" t="s">
        <v>169</v>
      </c>
      <c r="T232" s="38" t="s">
        <v>169</v>
      </c>
      <c r="U232" s="88" t="s">
        <v>169</v>
      </c>
      <c r="V232" s="36">
        <v>0.35</v>
      </c>
      <c r="W232" s="36">
        <v>0.01</v>
      </c>
      <c r="X232" s="36">
        <v>0.09</v>
      </c>
      <c r="Y232" s="36">
        <v>-0.1</v>
      </c>
      <c r="Z232" s="27">
        <v>7.0000000000000007E-2</v>
      </c>
      <c r="AA232" s="36">
        <v>-0.01</v>
      </c>
      <c r="AB232" s="36">
        <v>0.09</v>
      </c>
      <c r="AC232" s="36">
        <v>0.14000000000000001</v>
      </c>
      <c r="AD232" s="36">
        <v>0.27</v>
      </c>
      <c r="AE232" s="27">
        <v>0.12</v>
      </c>
      <c r="AF232" s="36">
        <v>0.28999999999999998</v>
      </c>
      <c r="AG232" s="36">
        <v>0.62</v>
      </c>
      <c r="AH232" s="36">
        <v>0.56000000000000005</v>
      </c>
      <c r="AI232" s="36">
        <v>0.25</v>
      </c>
      <c r="AJ232" s="27">
        <v>0.44</v>
      </c>
      <c r="AK232" s="36">
        <v>-0.09</v>
      </c>
      <c r="AL232" s="36">
        <v>0</v>
      </c>
      <c r="AM232" s="36">
        <v>0.03</v>
      </c>
      <c r="AN232" s="36">
        <v>0.11</v>
      </c>
      <c r="AO232" s="27">
        <v>0.02</v>
      </c>
      <c r="AP232" s="36">
        <v>-0.03</v>
      </c>
      <c r="AQ232" s="36">
        <v>0</v>
      </c>
      <c r="AR232" s="36">
        <v>0.03</v>
      </c>
      <c r="AS232" s="36">
        <v>-0.12</v>
      </c>
      <c r="AT232" s="27">
        <v>-0.03</v>
      </c>
      <c r="AU232" s="36">
        <v>-0.08</v>
      </c>
      <c r="AV232" s="36">
        <v>0.03</v>
      </c>
      <c r="AW232" s="73"/>
      <c r="AX232" s="73"/>
      <c r="AY232" s="677"/>
      <c r="AZ232" s="36"/>
      <c r="BA232" s="36"/>
      <c r="BB232" s="73"/>
      <c r="BC232" s="73"/>
      <c r="BD232" s="677"/>
      <c r="BE232" s="36"/>
      <c r="BF232" s="36"/>
      <c r="BG232" s="73"/>
      <c r="BH232" s="652">
        <f>(BI232-BD194)*10000</f>
        <v>-23.141688084254429</v>
      </c>
      <c r="BI232" s="677">
        <v>0.12957161892569133</v>
      </c>
      <c r="BJ232" s="36"/>
      <c r="BK232" s="36"/>
      <c r="BL232" s="112"/>
      <c r="BM232" s="652">
        <f>(BN232-BI194)*10000</f>
        <v>1473.2057838675748</v>
      </c>
      <c r="BN232" s="677">
        <v>0.14732057838675749</v>
      </c>
      <c r="BO232" s="36"/>
      <c r="BP232" s="36"/>
      <c r="BQ232" s="112"/>
      <c r="BR232" s="652">
        <f>(BS232-BN194)*10000</f>
        <v>2099.1477925639192</v>
      </c>
      <c r="BS232" s="677">
        <v>0.20991477925639193</v>
      </c>
      <c r="BT232" s="36"/>
      <c r="BU232" s="36"/>
      <c r="BV232" s="112"/>
      <c r="BW232" s="112"/>
      <c r="BX232" s="677"/>
      <c r="BY232" s="36"/>
      <c r="BZ232" s="36"/>
      <c r="CA232" s="73"/>
      <c r="CB232" s="73"/>
      <c r="CC232" s="677"/>
      <c r="CD232" s="36"/>
      <c r="CE232" s="36"/>
      <c r="CF232" s="73"/>
      <c r="CG232" s="73"/>
      <c r="CH232" s="677"/>
      <c r="CI232" s="36"/>
      <c r="CJ232" s="36"/>
      <c r="CK232" s="73"/>
      <c r="CL232" s="73"/>
      <c r="CM232" s="677"/>
    </row>
    <row r="233" spans="1:91" hidden="1" x14ac:dyDescent="0.2">
      <c r="A233" s="47" t="s">
        <v>184</v>
      </c>
      <c r="B233" s="38" t="s">
        <v>169</v>
      </c>
      <c r="C233" s="38" t="s">
        <v>169</v>
      </c>
      <c r="D233" s="38" t="s">
        <v>169</v>
      </c>
      <c r="E233" s="38" t="s">
        <v>169</v>
      </c>
      <c r="F233" s="88" t="s">
        <v>169</v>
      </c>
      <c r="G233" s="38" t="s">
        <v>169</v>
      </c>
      <c r="H233" s="38" t="s">
        <v>169</v>
      </c>
      <c r="I233" s="38" t="s">
        <v>169</v>
      </c>
      <c r="J233" s="38" t="s">
        <v>169</v>
      </c>
      <c r="K233" s="88" t="s">
        <v>169</v>
      </c>
      <c r="L233" s="38" t="s">
        <v>169</v>
      </c>
      <c r="M233" s="38" t="s">
        <v>169</v>
      </c>
      <c r="N233" s="38" t="s">
        <v>169</v>
      </c>
      <c r="O233" s="38" t="s">
        <v>169</v>
      </c>
      <c r="P233" s="88" t="s">
        <v>169</v>
      </c>
      <c r="Q233" s="38" t="s">
        <v>169</v>
      </c>
      <c r="R233" s="38" t="s">
        <v>169</v>
      </c>
      <c r="S233" s="38" t="s">
        <v>169</v>
      </c>
      <c r="T233" s="38" t="s">
        <v>169</v>
      </c>
      <c r="U233" s="88" t="s">
        <v>169</v>
      </c>
      <c r="V233" s="36">
        <v>0.13</v>
      </c>
      <c r="W233" s="36">
        <v>-0.02</v>
      </c>
      <c r="X233" s="36">
        <v>-0.17</v>
      </c>
      <c r="Y233" s="36">
        <v>0.03</v>
      </c>
      <c r="Z233" s="27">
        <v>-0.02</v>
      </c>
      <c r="AA233" s="183">
        <v>-0.03</v>
      </c>
      <c r="AB233" s="183">
        <v>-0.05</v>
      </c>
      <c r="AC233" s="183">
        <v>0.26</v>
      </c>
      <c r="AD233" s="183">
        <v>-0.05</v>
      </c>
      <c r="AE233" s="184">
        <v>0.02</v>
      </c>
      <c r="AF233" s="36">
        <v>0.01</v>
      </c>
      <c r="AG233" s="36">
        <v>0.1</v>
      </c>
      <c r="AH233" s="36">
        <v>-0.05</v>
      </c>
      <c r="AI233" s="36">
        <v>-0.03</v>
      </c>
      <c r="AJ233" s="27">
        <v>0.01</v>
      </c>
      <c r="AK233" s="36">
        <v>0.05</v>
      </c>
      <c r="AL233" s="36">
        <v>0.12</v>
      </c>
      <c r="AM233" s="36">
        <v>-0.02</v>
      </c>
      <c r="AN233" s="36">
        <v>0.1</v>
      </c>
      <c r="AO233" s="27">
        <v>0.06</v>
      </c>
      <c r="AP233" s="36">
        <v>0.04</v>
      </c>
      <c r="AQ233" s="36">
        <v>0</v>
      </c>
      <c r="AR233" s="36">
        <v>0.08</v>
      </c>
      <c r="AS233" s="36">
        <v>0.16</v>
      </c>
      <c r="AT233" s="27">
        <v>0.06</v>
      </c>
      <c r="AU233" s="36">
        <v>0.02</v>
      </c>
      <c r="AV233" s="36">
        <v>7.0000000000000007E-2</v>
      </c>
      <c r="AW233" s="73"/>
      <c r="AX233" s="73"/>
      <c r="AY233" s="677"/>
      <c r="AZ233" s="36"/>
      <c r="BA233" s="36"/>
      <c r="BB233" s="73"/>
      <c r="BC233" s="73"/>
      <c r="BD233" s="677"/>
      <c r="BE233" s="36"/>
      <c r="BF233" s="36"/>
      <c r="BG233" s="73"/>
      <c r="BH233" s="652">
        <f>(BI233-BD196)*10000</f>
        <v>324.44782939832442</v>
      </c>
      <c r="BI233" s="677">
        <v>0.45</v>
      </c>
      <c r="BJ233" s="36"/>
      <c r="BK233" s="36"/>
      <c r="BL233" s="112"/>
      <c r="BM233" s="652">
        <f>(BN233-BI196)*10000</f>
        <v>-102.87117491499853</v>
      </c>
      <c r="BN233" s="677">
        <v>0.41</v>
      </c>
      <c r="BO233" s="36"/>
      <c r="BP233" s="36"/>
      <c r="BQ233" s="112"/>
      <c r="BR233" s="652">
        <f>(BS233-BN196)*10000</f>
        <v>-67.310664605873541</v>
      </c>
      <c r="BS233" s="677">
        <v>0.41</v>
      </c>
      <c r="BT233" s="36"/>
      <c r="BU233" s="36"/>
      <c r="BV233" s="112"/>
      <c r="BW233" s="112"/>
      <c r="BX233" s="677"/>
      <c r="BY233" s="36"/>
      <c r="BZ233" s="36"/>
      <c r="CA233" s="73"/>
      <c r="CB233" s="73"/>
      <c r="CC233" s="677"/>
      <c r="CD233" s="36"/>
      <c r="CE233" s="36"/>
      <c r="CF233" s="73"/>
      <c r="CG233" s="73"/>
      <c r="CH233" s="677"/>
      <c r="CI233" s="36"/>
      <c r="CJ233" s="36"/>
      <c r="CK233" s="73"/>
      <c r="CL233" s="73"/>
      <c r="CM233" s="677"/>
    </row>
    <row r="234" spans="1:91" hidden="1" x14ac:dyDescent="0.2">
      <c r="A234" s="47" t="s">
        <v>185</v>
      </c>
      <c r="B234" s="38" t="s">
        <v>169</v>
      </c>
      <c r="C234" s="38" t="s">
        <v>169</v>
      </c>
      <c r="D234" s="38" t="s">
        <v>169</v>
      </c>
      <c r="E234" s="38" t="s">
        <v>169</v>
      </c>
      <c r="F234" s="88" t="s">
        <v>169</v>
      </c>
      <c r="G234" s="38" t="s">
        <v>169</v>
      </c>
      <c r="H234" s="38" t="s">
        <v>169</v>
      </c>
      <c r="I234" s="38" t="s">
        <v>169</v>
      </c>
      <c r="J234" s="38" t="s">
        <v>169</v>
      </c>
      <c r="K234" s="88" t="s">
        <v>169</v>
      </c>
      <c r="L234" s="38" t="s">
        <v>169</v>
      </c>
      <c r="M234" s="38" t="s">
        <v>169</v>
      </c>
      <c r="N234" s="38" t="s">
        <v>169</v>
      </c>
      <c r="O234" s="38" t="s">
        <v>169</v>
      </c>
      <c r="P234" s="88" t="s">
        <v>169</v>
      </c>
      <c r="Q234" s="38" t="s">
        <v>169</v>
      </c>
      <c r="R234" s="38" t="s">
        <v>169</v>
      </c>
      <c r="S234" s="38" t="s">
        <v>169</v>
      </c>
      <c r="T234" s="38" t="s">
        <v>169</v>
      </c>
      <c r="U234" s="88" t="s">
        <v>169</v>
      </c>
      <c r="V234" s="36" t="s">
        <v>169</v>
      </c>
      <c r="W234" s="36">
        <v>0.13</v>
      </c>
      <c r="X234" s="36">
        <v>0.56000000000000005</v>
      </c>
      <c r="Y234" s="36">
        <v>0.17</v>
      </c>
      <c r="Z234" s="27">
        <v>0.23</v>
      </c>
      <c r="AA234" s="36" t="s">
        <v>169</v>
      </c>
      <c r="AB234" s="36">
        <v>0.17</v>
      </c>
      <c r="AC234" s="36">
        <v>0.44</v>
      </c>
      <c r="AD234" s="36">
        <v>0.27</v>
      </c>
      <c r="AE234" s="27">
        <v>0.43</v>
      </c>
      <c r="AF234" s="36">
        <v>-0.24</v>
      </c>
      <c r="AG234" s="36">
        <v>-0.21</v>
      </c>
      <c r="AH234" s="36">
        <v>-0.1</v>
      </c>
      <c r="AI234" s="36">
        <v>0.15</v>
      </c>
      <c r="AJ234" s="27">
        <v>-0.11</v>
      </c>
      <c r="AK234" s="36">
        <v>0</v>
      </c>
      <c r="AL234" s="36">
        <v>0.19</v>
      </c>
      <c r="AM234" s="36">
        <v>-0.14000000000000001</v>
      </c>
      <c r="AN234" s="36">
        <v>0.27</v>
      </c>
      <c r="AO234" s="27">
        <v>0.1</v>
      </c>
      <c r="AP234" s="36">
        <v>1.54</v>
      </c>
      <c r="AQ234" s="36">
        <v>0.12</v>
      </c>
      <c r="AR234" s="36">
        <v>-0.11</v>
      </c>
      <c r="AS234" s="36">
        <v>-0.6</v>
      </c>
      <c r="AT234" s="27">
        <v>0</v>
      </c>
      <c r="AU234" s="36">
        <v>-0.79</v>
      </c>
      <c r="AV234" s="36">
        <v>-0.11</v>
      </c>
      <c r="AW234" s="73"/>
      <c r="AX234" s="73"/>
      <c r="AY234" s="677"/>
      <c r="AZ234" s="36"/>
      <c r="BA234" s="36"/>
      <c r="BB234" s="73"/>
      <c r="BC234" s="73"/>
      <c r="BD234" s="677"/>
      <c r="BE234" s="36"/>
      <c r="BF234" s="36"/>
      <c r="BG234" s="73"/>
      <c r="BH234" s="652">
        <f>(BI234-BD197)*10000</f>
        <v>-137.26429212810538</v>
      </c>
      <c r="BI234" s="677">
        <v>0.04</v>
      </c>
      <c r="BJ234" s="36"/>
      <c r="BK234" s="36"/>
      <c r="BL234" s="112"/>
      <c r="BM234" s="652">
        <f>(BN234-BI197)*10000</f>
        <v>300</v>
      </c>
      <c r="BN234" s="677">
        <v>0.03</v>
      </c>
      <c r="BO234" s="36"/>
      <c r="BP234" s="36"/>
      <c r="BQ234" s="112"/>
      <c r="BR234" s="652">
        <f>(BS234-BN197)*10000</f>
        <v>300</v>
      </c>
      <c r="BS234" s="677">
        <v>0.03</v>
      </c>
      <c r="BT234" s="36"/>
      <c r="BU234" s="36"/>
      <c r="BV234" s="112"/>
      <c r="BW234" s="112"/>
      <c r="BX234" s="677"/>
      <c r="BY234" s="36"/>
      <c r="BZ234" s="36"/>
      <c r="CA234" s="73"/>
      <c r="CB234" s="73"/>
      <c r="CC234" s="677"/>
      <c r="CD234" s="36"/>
      <c r="CE234" s="36"/>
      <c r="CF234" s="73"/>
      <c r="CG234" s="73"/>
      <c r="CH234" s="677"/>
      <c r="CI234" s="36"/>
      <c r="CJ234" s="36"/>
      <c r="CK234" s="73"/>
      <c r="CL234" s="73"/>
      <c r="CM234" s="677"/>
    </row>
    <row r="235" spans="1:91" hidden="1" x14ac:dyDescent="0.2">
      <c r="A235" s="47" t="s">
        <v>186</v>
      </c>
      <c r="B235" s="38" t="s">
        <v>169</v>
      </c>
      <c r="C235" s="38" t="s">
        <v>169</v>
      </c>
      <c r="D235" s="38" t="s">
        <v>169</v>
      </c>
      <c r="E235" s="38" t="s">
        <v>169</v>
      </c>
      <c r="F235" s="88" t="s">
        <v>169</v>
      </c>
      <c r="G235" s="38" t="s">
        <v>169</v>
      </c>
      <c r="H235" s="38" t="s">
        <v>169</v>
      </c>
      <c r="I235" s="38" t="s">
        <v>169</v>
      </c>
      <c r="J235" s="38" t="s">
        <v>169</v>
      </c>
      <c r="K235" s="88" t="s">
        <v>169</v>
      </c>
      <c r="L235" s="38" t="s">
        <v>169</v>
      </c>
      <c r="M235" s="38" t="s">
        <v>169</v>
      </c>
      <c r="N235" s="38" t="s">
        <v>169</v>
      </c>
      <c r="O235" s="38" t="s">
        <v>169</v>
      </c>
      <c r="P235" s="88" t="s">
        <v>169</v>
      </c>
      <c r="Q235" s="38" t="s">
        <v>169</v>
      </c>
      <c r="R235" s="38" t="s">
        <v>169</v>
      </c>
      <c r="S235" s="38" t="s">
        <v>169</v>
      </c>
      <c r="T235" s="38" t="s">
        <v>169</v>
      </c>
      <c r="U235" s="88" t="s">
        <v>169</v>
      </c>
      <c r="V235" s="36">
        <v>-0.02</v>
      </c>
      <c r="W235" s="36">
        <v>0.02</v>
      </c>
      <c r="X235" s="36">
        <v>0.1</v>
      </c>
      <c r="Y235" s="36">
        <v>-0.17</v>
      </c>
      <c r="Z235" s="27">
        <v>-0.03</v>
      </c>
      <c r="AA235" s="36">
        <v>0.02</v>
      </c>
      <c r="AB235" s="36">
        <v>0.13</v>
      </c>
      <c r="AC235" s="36">
        <v>-0.11</v>
      </c>
      <c r="AD235" s="36">
        <v>-0.02</v>
      </c>
      <c r="AE235" s="27">
        <v>0</v>
      </c>
      <c r="AF235" s="36">
        <v>-0.14000000000000001</v>
      </c>
      <c r="AG235" s="36">
        <v>-0.33</v>
      </c>
      <c r="AH235" s="36">
        <v>-0.17</v>
      </c>
      <c r="AI235" s="36">
        <v>0.03</v>
      </c>
      <c r="AJ235" s="27">
        <v>-0.13</v>
      </c>
      <c r="AK235" s="36">
        <v>0.09</v>
      </c>
      <c r="AL235" s="36">
        <v>0.04</v>
      </c>
      <c r="AM235" s="36">
        <v>0.02</v>
      </c>
      <c r="AN235" s="36">
        <v>-0.11</v>
      </c>
      <c r="AO235" s="27">
        <v>0.01</v>
      </c>
      <c r="AP235" s="36">
        <v>-7.0000000000000007E-2</v>
      </c>
      <c r="AQ235" s="36">
        <v>-0.02</v>
      </c>
      <c r="AR235" s="36">
        <v>-0.06</v>
      </c>
      <c r="AS235" s="36">
        <v>0.13</v>
      </c>
      <c r="AT235" s="27">
        <v>0</v>
      </c>
      <c r="AU235" s="36">
        <v>0.12</v>
      </c>
      <c r="AV235" s="36">
        <v>-0.01</v>
      </c>
      <c r="AW235" s="73"/>
      <c r="AX235" s="73"/>
      <c r="AY235" s="677"/>
      <c r="AZ235" s="36"/>
      <c r="BA235" s="36"/>
      <c r="BB235" s="73"/>
      <c r="BC235" s="73"/>
      <c r="BD235" s="677"/>
      <c r="BE235" s="36"/>
      <c r="BF235" s="36"/>
      <c r="BG235" s="73"/>
      <c r="BH235" s="652">
        <f>(BI235-BD199)*10000</f>
        <v>-15.439701281331798</v>
      </c>
      <c r="BI235" s="677">
        <v>2.3899656548166094E-2</v>
      </c>
      <c r="BJ235" s="36"/>
      <c r="BK235" s="36"/>
      <c r="BL235" s="112"/>
      <c r="BM235" s="652">
        <f>(BN235-BI199)*10000</f>
        <v>-70.816469444140409</v>
      </c>
      <c r="BN235" s="677">
        <v>2.4002598289016457E-2</v>
      </c>
      <c r="BO235" s="36"/>
      <c r="BP235" s="36"/>
      <c r="BQ235" s="112"/>
      <c r="BR235" s="652">
        <f>(BS235-BN199)*10000</f>
        <v>-169.42811412803607</v>
      </c>
      <c r="BS235" s="677">
        <v>2.3998152170096189E-2</v>
      </c>
      <c r="BT235" s="36"/>
      <c r="BU235" s="36"/>
      <c r="BV235" s="112"/>
      <c r="BW235" s="112"/>
      <c r="BX235" s="677"/>
      <c r="BY235" s="36"/>
      <c r="BZ235" s="36"/>
      <c r="CA235" s="73"/>
      <c r="CB235" s="73"/>
      <c r="CC235" s="677"/>
      <c r="CD235" s="36"/>
      <c r="CE235" s="36"/>
      <c r="CF235" s="73"/>
      <c r="CG235" s="73"/>
      <c r="CH235" s="677"/>
      <c r="CI235" s="36"/>
      <c r="CJ235" s="36"/>
      <c r="CK235" s="73"/>
      <c r="CL235" s="73"/>
      <c r="CM235" s="677"/>
    </row>
    <row r="236" spans="1:91" hidden="1" x14ac:dyDescent="0.2">
      <c r="A236" s="71" t="s">
        <v>198</v>
      </c>
      <c r="B236" s="37" t="s">
        <v>169</v>
      </c>
      <c r="C236" s="37" t="s">
        <v>169</v>
      </c>
      <c r="D236" s="37" t="s">
        <v>169</v>
      </c>
      <c r="E236" s="37" t="s">
        <v>169</v>
      </c>
      <c r="F236" s="90" t="s">
        <v>169</v>
      </c>
      <c r="G236" s="37" t="s">
        <v>169</v>
      </c>
      <c r="H236" s="37" t="s">
        <v>169</v>
      </c>
      <c r="I236" s="37" t="s">
        <v>169</v>
      </c>
      <c r="J236" s="37" t="s">
        <v>169</v>
      </c>
      <c r="K236" s="90" t="s">
        <v>169</v>
      </c>
      <c r="L236" s="37" t="s">
        <v>169</v>
      </c>
      <c r="M236" s="37" t="s">
        <v>169</v>
      </c>
      <c r="N236" s="37" t="s">
        <v>169</v>
      </c>
      <c r="O236" s="37" t="s">
        <v>169</v>
      </c>
      <c r="P236" s="90" t="s">
        <v>169</v>
      </c>
      <c r="Q236" s="37" t="s">
        <v>169</v>
      </c>
      <c r="R236" s="37" t="s">
        <v>169</v>
      </c>
      <c r="S236" s="37" t="s">
        <v>169</v>
      </c>
      <c r="T236" s="37" t="s">
        <v>169</v>
      </c>
      <c r="U236" s="90" t="s">
        <v>169</v>
      </c>
      <c r="V236" s="37">
        <v>0.17</v>
      </c>
      <c r="W236" s="37">
        <v>0.04</v>
      </c>
      <c r="X236" s="37">
        <v>0.09</v>
      </c>
      <c r="Y236" s="37">
        <v>0</v>
      </c>
      <c r="Z236" s="89">
        <v>7.0000000000000007E-2</v>
      </c>
      <c r="AA236" s="37">
        <v>0.09</v>
      </c>
      <c r="AB236" s="37">
        <v>0.11</v>
      </c>
      <c r="AC236" s="37">
        <v>0.14000000000000001</v>
      </c>
      <c r="AD236" s="37">
        <v>0.1</v>
      </c>
      <c r="AE236" s="89">
        <v>0.11</v>
      </c>
      <c r="AF236" s="37">
        <v>7.0000000000000007E-2</v>
      </c>
      <c r="AG236" s="37">
        <v>0.12</v>
      </c>
      <c r="AH236" s="37">
        <v>0.15</v>
      </c>
      <c r="AI236" s="37">
        <v>0.14000000000000001</v>
      </c>
      <c r="AJ236" s="89">
        <v>0.12</v>
      </c>
      <c r="AK236" s="37">
        <v>0.05</v>
      </c>
      <c r="AL236" s="37">
        <v>7.0000000000000007E-2</v>
      </c>
      <c r="AM236" s="37">
        <v>0.01</v>
      </c>
      <c r="AN236" s="37">
        <v>0.14000000000000001</v>
      </c>
      <c r="AO236" s="89">
        <v>0.06</v>
      </c>
      <c r="AP236" s="37">
        <v>0.05</v>
      </c>
      <c r="AQ236" s="37">
        <v>0.04</v>
      </c>
      <c r="AR236" s="37">
        <v>7.0000000000000007E-2</v>
      </c>
      <c r="AS236" s="37">
        <v>0.06</v>
      </c>
      <c r="AT236" s="89">
        <v>0.06</v>
      </c>
      <c r="AU236" s="37">
        <v>7.0000000000000007E-2</v>
      </c>
      <c r="AV236" s="37">
        <v>0.05</v>
      </c>
      <c r="AW236" s="74"/>
      <c r="AX236" s="74"/>
      <c r="AY236" s="678"/>
      <c r="AZ236" s="37"/>
      <c r="BA236" s="37"/>
      <c r="BB236" s="74"/>
      <c r="BC236" s="74"/>
      <c r="BD236" s="678"/>
      <c r="BE236" s="37"/>
      <c r="BF236" s="37"/>
      <c r="BG236" s="74"/>
      <c r="BH236" s="74"/>
      <c r="BI236" s="678"/>
      <c r="BJ236" s="37"/>
      <c r="BK236" s="37"/>
      <c r="BL236" s="74"/>
      <c r="BM236" s="74"/>
      <c r="BN236" s="678"/>
      <c r="BO236" s="37"/>
      <c r="BP236" s="37"/>
      <c r="BQ236" s="74"/>
      <c r="BR236" s="74"/>
      <c r="BS236" s="678"/>
      <c r="BT236" s="37"/>
      <c r="BU236" s="37"/>
      <c r="BV236" s="74"/>
      <c r="BW236" s="74"/>
      <c r="BX236" s="678"/>
      <c r="BY236" s="37"/>
      <c r="BZ236" s="37"/>
      <c r="CA236" s="74"/>
      <c r="CB236" s="74"/>
      <c r="CC236" s="678"/>
      <c r="CD236" s="37"/>
      <c r="CE236" s="37"/>
      <c r="CF236" s="74"/>
      <c r="CG236" s="74"/>
      <c r="CH236" s="678"/>
      <c r="CI236" s="37"/>
      <c r="CJ236" s="37"/>
      <c r="CK236" s="74"/>
      <c r="CL236" s="74"/>
      <c r="CM236" s="678"/>
    </row>
    <row r="237" spans="1:91" hidden="1" x14ac:dyDescent="0.2">
      <c r="A237" s="52"/>
      <c r="B237" s="38"/>
      <c r="C237" s="38"/>
      <c r="D237" s="73"/>
      <c r="E237" s="73"/>
      <c r="F237" s="98"/>
      <c r="G237" s="38"/>
      <c r="H237" s="38"/>
      <c r="I237" s="73"/>
      <c r="J237" s="73"/>
      <c r="K237" s="98"/>
      <c r="L237" s="38"/>
      <c r="M237" s="38"/>
      <c r="N237" s="73"/>
      <c r="O237" s="73"/>
      <c r="P237" s="98"/>
      <c r="Q237" s="38"/>
      <c r="R237" s="38"/>
      <c r="S237" s="73"/>
      <c r="T237" s="73"/>
      <c r="U237" s="98"/>
      <c r="V237" s="38"/>
      <c r="W237" s="73"/>
      <c r="X237" s="73"/>
      <c r="Y237" s="73"/>
      <c r="Z237" s="98"/>
      <c r="AA237" s="38"/>
      <c r="AB237" s="38"/>
      <c r="AC237" s="38"/>
      <c r="AD237" s="38"/>
      <c r="AE237" s="98"/>
      <c r="AF237" s="38"/>
      <c r="AG237" s="73"/>
      <c r="AH237" s="73"/>
      <c r="AI237" s="73"/>
      <c r="AJ237" s="98"/>
      <c r="AK237" s="38"/>
      <c r="AL237" s="73"/>
      <c r="AM237" s="73"/>
      <c r="AN237" s="73"/>
      <c r="AO237" s="98"/>
      <c r="AP237" s="38"/>
      <c r="AQ237" s="73"/>
      <c r="AR237" s="73"/>
      <c r="AS237" s="73"/>
      <c r="AT237" s="98"/>
      <c r="AU237" s="38"/>
      <c r="AV237" s="73"/>
      <c r="AW237" s="73"/>
      <c r="AX237" s="73"/>
      <c r="AY237" s="676"/>
      <c r="AZ237" s="38"/>
      <c r="BA237" s="73"/>
      <c r="BB237" s="73"/>
      <c r="BC237" s="73"/>
      <c r="BD237" s="676"/>
      <c r="BE237" s="38"/>
      <c r="BF237" s="73"/>
      <c r="BG237" s="73"/>
      <c r="BH237" s="73"/>
      <c r="BI237" s="676"/>
      <c r="BJ237" s="38"/>
      <c r="BK237" s="73"/>
      <c r="BL237" s="73"/>
      <c r="BM237" s="73"/>
      <c r="BN237" s="676"/>
      <c r="BO237" s="38"/>
      <c r="BP237" s="73"/>
      <c r="BQ237" s="73"/>
      <c r="BR237" s="73"/>
      <c r="BS237" s="676"/>
      <c r="BT237" s="38"/>
      <c r="BU237" s="73"/>
      <c r="BV237" s="73"/>
      <c r="BW237" s="73"/>
      <c r="BX237" s="676"/>
      <c r="BY237" s="38"/>
      <c r="BZ237" s="73"/>
      <c r="CA237" s="73"/>
      <c r="CB237" s="73"/>
      <c r="CC237" s="676"/>
      <c r="CD237" s="38"/>
      <c r="CE237" s="73"/>
      <c r="CF237" s="73"/>
      <c r="CG237" s="73"/>
      <c r="CH237" s="676"/>
      <c r="CI237" s="38"/>
      <c r="CJ237" s="73"/>
      <c r="CK237" s="73"/>
      <c r="CL237" s="73"/>
      <c r="CM237" s="676"/>
    </row>
    <row r="238" spans="1:91" hidden="1" x14ac:dyDescent="0.2">
      <c r="A238" s="52" t="s">
        <v>228</v>
      </c>
      <c r="B238" s="38"/>
      <c r="C238" s="38"/>
      <c r="D238" s="73"/>
      <c r="E238" s="73"/>
      <c r="F238" s="88"/>
      <c r="G238" s="38"/>
      <c r="H238" s="38"/>
      <c r="I238" s="73"/>
      <c r="J238" s="73"/>
      <c r="K238" s="88"/>
      <c r="L238" s="38"/>
      <c r="M238" s="38"/>
      <c r="N238" s="73"/>
      <c r="O238" s="73"/>
      <c r="P238" s="88"/>
      <c r="Q238" s="38"/>
      <c r="R238" s="38"/>
      <c r="S238" s="73"/>
      <c r="T238" s="73"/>
      <c r="U238" s="88"/>
      <c r="V238" s="38"/>
      <c r="W238" s="73"/>
      <c r="X238" s="73"/>
      <c r="Y238" s="73"/>
      <c r="Z238" s="88"/>
      <c r="AA238" s="38"/>
      <c r="AB238" s="38"/>
      <c r="AC238" s="38"/>
      <c r="AD238" s="38"/>
      <c r="AE238" s="88"/>
      <c r="AF238" s="38"/>
      <c r="AG238" s="73"/>
      <c r="AH238" s="73"/>
      <c r="AI238" s="73"/>
      <c r="AJ238" s="88"/>
      <c r="AK238" s="38"/>
      <c r="AL238" s="73"/>
      <c r="AM238" s="73"/>
      <c r="AN238" s="73"/>
      <c r="AO238" s="88"/>
      <c r="AP238" s="38"/>
      <c r="AQ238" s="73"/>
      <c r="AR238" s="73"/>
      <c r="AS238" s="73"/>
      <c r="AT238" s="88"/>
      <c r="AU238" s="38"/>
      <c r="AV238" s="73"/>
      <c r="AW238" s="73"/>
      <c r="AX238" s="73"/>
      <c r="AY238" s="676"/>
      <c r="AZ238" s="38"/>
      <c r="BA238" s="73"/>
      <c r="BB238" s="73"/>
      <c r="BC238" s="73"/>
      <c r="BD238" s="676"/>
      <c r="BE238" s="38"/>
      <c r="BF238" s="73"/>
      <c r="BG238" s="73"/>
      <c r="BH238" s="73"/>
      <c r="BI238" s="676"/>
      <c r="BJ238" s="38"/>
      <c r="BK238" s="73"/>
      <c r="BL238" s="73"/>
      <c r="BM238" s="73"/>
      <c r="BN238" s="676"/>
      <c r="BO238" s="38"/>
      <c r="BP238" s="73"/>
      <c r="BQ238" s="73"/>
      <c r="BR238" s="73"/>
      <c r="BS238" s="676"/>
      <c r="BT238" s="38"/>
      <c r="BU238" s="73"/>
      <c r="BV238" s="73"/>
      <c r="BW238" s="73"/>
      <c r="BX238" s="676"/>
      <c r="BY238" s="38"/>
      <c r="BZ238" s="73"/>
      <c r="CA238" s="73"/>
      <c r="CB238" s="73"/>
      <c r="CC238" s="676"/>
      <c r="CD238" s="38"/>
      <c r="CE238" s="73"/>
      <c r="CF238" s="73"/>
      <c r="CG238" s="73"/>
      <c r="CH238" s="676"/>
      <c r="CI238" s="38"/>
      <c r="CJ238" s="73"/>
      <c r="CK238" s="73"/>
      <c r="CL238" s="73"/>
      <c r="CM238" s="676"/>
    </row>
    <row r="239" spans="1:91" hidden="1" x14ac:dyDescent="0.2">
      <c r="A239" s="47" t="s">
        <v>182</v>
      </c>
      <c r="B239" s="38" t="s">
        <v>169</v>
      </c>
      <c r="C239" s="38" t="s">
        <v>169</v>
      </c>
      <c r="D239" s="38" t="s">
        <v>169</v>
      </c>
      <c r="E239" s="38" t="s">
        <v>169</v>
      </c>
      <c r="F239" s="88" t="s">
        <v>169</v>
      </c>
      <c r="G239" s="38" t="s">
        <v>169</v>
      </c>
      <c r="H239" s="38" t="s">
        <v>169</v>
      </c>
      <c r="I239" s="38" t="s">
        <v>169</v>
      </c>
      <c r="J239" s="38" t="s">
        <v>169</v>
      </c>
      <c r="K239" s="88" t="s">
        <v>169</v>
      </c>
      <c r="L239" s="38" t="s">
        <v>169</v>
      </c>
      <c r="M239" s="38" t="s">
        <v>169</v>
      </c>
      <c r="N239" s="38" t="s">
        <v>169</v>
      </c>
      <c r="O239" s="38" t="s">
        <v>169</v>
      </c>
      <c r="P239" s="88" t="s">
        <v>169</v>
      </c>
      <c r="Q239" s="38" t="s">
        <v>169</v>
      </c>
      <c r="R239" s="38" t="s">
        <v>169</v>
      </c>
      <c r="S239" s="38" t="s">
        <v>169</v>
      </c>
      <c r="T239" s="38" t="s">
        <v>169</v>
      </c>
      <c r="U239" s="88" t="s">
        <v>169</v>
      </c>
      <c r="V239" s="36">
        <v>-0.26</v>
      </c>
      <c r="W239" s="36">
        <v>-0.18</v>
      </c>
      <c r="X239" s="36">
        <v>-0.11</v>
      </c>
      <c r="Y239" s="36">
        <v>0.04</v>
      </c>
      <c r="Z239" s="27">
        <v>-0.15</v>
      </c>
      <c r="AA239" s="36">
        <v>0.13</v>
      </c>
      <c r="AB239" s="36">
        <v>0.08</v>
      </c>
      <c r="AC239" s="36">
        <v>0.02</v>
      </c>
      <c r="AD239" s="36">
        <v>0.05</v>
      </c>
      <c r="AE239" s="27">
        <v>7.0000000000000007E-2</v>
      </c>
      <c r="AF239" s="36">
        <v>0</v>
      </c>
      <c r="AG239" s="36">
        <v>0</v>
      </c>
      <c r="AH239" s="36">
        <v>0.02</v>
      </c>
      <c r="AI239" s="36">
        <v>-0.08</v>
      </c>
      <c r="AJ239" s="27">
        <v>-0.01</v>
      </c>
      <c r="AK239" s="36">
        <v>-0.08</v>
      </c>
      <c r="AL239" s="36">
        <v>-0.12</v>
      </c>
      <c r="AM239" s="36">
        <v>-0.15</v>
      </c>
      <c r="AN239" s="36">
        <v>-7.0000000000000007E-2</v>
      </c>
      <c r="AO239" s="27">
        <v>-0.11</v>
      </c>
      <c r="AP239" s="36">
        <v>-0.06</v>
      </c>
      <c r="AQ239" s="36">
        <v>-7.0000000000000007E-2</v>
      </c>
      <c r="AR239" s="36">
        <v>-0.11</v>
      </c>
      <c r="AS239" s="36">
        <v>-0.08</v>
      </c>
      <c r="AT239" s="27">
        <v>-0.08</v>
      </c>
      <c r="AU239" s="36">
        <v>-0.16</v>
      </c>
      <c r="AV239" s="36">
        <v>-0.11</v>
      </c>
      <c r="AW239" s="73"/>
      <c r="AX239" s="73"/>
      <c r="AY239" s="676"/>
      <c r="AZ239" s="36"/>
      <c r="BA239" s="36"/>
      <c r="BB239" s="73"/>
      <c r="BC239" s="73"/>
      <c r="BD239" s="676"/>
      <c r="BE239" s="36"/>
      <c r="BF239" s="36"/>
      <c r="BG239" s="73"/>
      <c r="BH239" s="73"/>
      <c r="BI239" s="676"/>
      <c r="BJ239" s="36"/>
      <c r="BK239" s="36"/>
      <c r="BL239" s="73"/>
      <c r="BM239" s="73"/>
      <c r="BN239" s="676"/>
      <c r="BO239" s="36"/>
      <c r="BP239" s="36"/>
      <c r="BQ239" s="73"/>
      <c r="BR239" s="73"/>
      <c r="BS239" s="676"/>
      <c r="BT239" s="36"/>
      <c r="BU239" s="36"/>
      <c r="BV239" s="73"/>
      <c r="BW239" s="73"/>
      <c r="BX239" s="676"/>
      <c r="BY239" s="36"/>
      <c r="BZ239" s="36"/>
      <c r="CA239" s="73"/>
      <c r="CB239" s="73"/>
      <c r="CC239" s="676"/>
      <c r="CD239" s="36"/>
      <c r="CE239" s="36"/>
      <c r="CF239" s="73"/>
      <c r="CG239" s="73"/>
      <c r="CH239" s="676"/>
      <c r="CI239" s="36"/>
      <c r="CJ239" s="36"/>
      <c r="CK239" s="73"/>
      <c r="CL239" s="73"/>
      <c r="CM239" s="676"/>
    </row>
    <row r="240" spans="1:91" hidden="1" x14ac:dyDescent="0.2">
      <c r="A240" s="47" t="s">
        <v>183</v>
      </c>
      <c r="B240" s="38" t="s">
        <v>169</v>
      </c>
      <c r="C240" s="38" t="s">
        <v>169</v>
      </c>
      <c r="D240" s="38" t="s">
        <v>169</v>
      </c>
      <c r="E240" s="38" t="s">
        <v>169</v>
      </c>
      <c r="F240" s="88" t="s">
        <v>169</v>
      </c>
      <c r="G240" s="38" t="s">
        <v>169</v>
      </c>
      <c r="H240" s="38" t="s">
        <v>169</v>
      </c>
      <c r="I240" s="38" t="s">
        <v>169</v>
      </c>
      <c r="J240" s="38" t="s">
        <v>169</v>
      </c>
      <c r="K240" s="88" t="s">
        <v>169</v>
      </c>
      <c r="L240" s="38" t="s">
        <v>169</v>
      </c>
      <c r="M240" s="38" t="s">
        <v>169</v>
      </c>
      <c r="N240" s="38" t="s">
        <v>169</v>
      </c>
      <c r="O240" s="38" t="s">
        <v>169</v>
      </c>
      <c r="P240" s="88" t="s">
        <v>169</v>
      </c>
      <c r="Q240" s="38" t="s">
        <v>169</v>
      </c>
      <c r="R240" s="38" t="s">
        <v>169</v>
      </c>
      <c r="S240" s="38" t="s">
        <v>169</v>
      </c>
      <c r="T240" s="38" t="s">
        <v>169</v>
      </c>
      <c r="U240" s="88" t="s">
        <v>169</v>
      </c>
      <c r="V240" s="36">
        <v>-0.14000000000000001</v>
      </c>
      <c r="W240" s="36">
        <v>-0.15</v>
      </c>
      <c r="X240" s="36">
        <v>-0.1</v>
      </c>
      <c r="Y240" s="36">
        <v>0</v>
      </c>
      <c r="Z240" s="27">
        <v>-0.11</v>
      </c>
      <c r="AA240" s="36">
        <v>0.06</v>
      </c>
      <c r="AB240" s="36">
        <v>0.02</v>
      </c>
      <c r="AC240" s="36">
        <v>-0.04</v>
      </c>
      <c r="AD240" s="36">
        <v>-7.0000000000000007E-2</v>
      </c>
      <c r="AE240" s="27">
        <v>-0.01</v>
      </c>
      <c r="AF240" s="36">
        <v>-0.02</v>
      </c>
      <c r="AG240" s="36">
        <v>0.05</v>
      </c>
      <c r="AH240" s="36">
        <v>0.05</v>
      </c>
      <c r="AI240" s="36">
        <v>-0.01</v>
      </c>
      <c r="AJ240" s="27">
        <v>0.02</v>
      </c>
      <c r="AK240" s="36">
        <v>-0.01</v>
      </c>
      <c r="AL240" s="36">
        <v>-0.05</v>
      </c>
      <c r="AM240" s="36">
        <v>-0.06</v>
      </c>
      <c r="AN240" s="36">
        <v>-0.03</v>
      </c>
      <c r="AO240" s="27">
        <v>-0.04</v>
      </c>
      <c r="AP240" s="36">
        <v>-0.01</v>
      </c>
      <c r="AQ240" s="36">
        <v>-0.03</v>
      </c>
      <c r="AR240" s="36">
        <v>0.01</v>
      </c>
      <c r="AS240" s="36">
        <v>0.02</v>
      </c>
      <c r="AT240" s="27">
        <v>0</v>
      </c>
      <c r="AU240" s="36">
        <v>0.01</v>
      </c>
      <c r="AV240" s="36">
        <v>0.05</v>
      </c>
      <c r="AW240" s="73"/>
      <c r="AX240" s="73"/>
      <c r="AY240" s="676"/>
      <c r="AZ240" s="36"/>
      <c r="BA240" s="36"/>
      <c r="BB240" s="73"/>
      <c r="BC240" s="73"/>
      <c r="BD240" s="676"/>
      <c r="BE240" s="36"/>
      <c r="BF240" s="36"/>
      <c r="BG240" s="73"/>
      <c r="BH240" s="73"/>
      <c r="BI240" s="676"/>
      <c r="BJ240" s="36"/>
      <c r="BK240" s="36"/>
      <c r="BL240" s="73"/>
      <c r="BM240" s="73"/>
      <c r="BN240" s="676"/>
      <c r="BO240" s="36"/>
      <c r="BP240" s="36"/>
      <c r="BQ240" s="73"/>
      <c r="BR240" s="73"/>
      <c r="BS240" s="676"/>
      <c r="BT240" s="36"/>
      <c r="BU240" s="36"/>
      <c r="BV240" s="73"/>
      <c r="BW240" s="73"/>
      <c r="BX240" s="676"/>
      <c r="BY240" s="36"/>
      <c r="BZ240" s="36"/>
      <c r="CA240" s="73"/>
      <c r="CB240" s="73"/>
      <c r="CC240" s="676"/>
      <c r="CD240" s="36"/>
      <c r="CE240" s="36"/>
      <c r="CF240" s="73"/>
      <c r="CG240" s="73"/>
      <c r="CH240" s="676"/>
      <c r="CI240" s="36"/>
      <c r="CJ240" s="36"/>
      <c r="CK240" s="73"/>
      <c r="CL240" s="73"/>
      <c r="CM240" s="676"/>
    </row>
    <row r="241" spans="1:91" hidden="1" x14ac:dyDescent="0.2">
      <c r="A241" s="47" t="s">
        <v>14</v>
      </c>
      <c r="B241" s="38" t="s">
        <v>169</v>
      </c>
      <c r="C241" s="38" t="s">
        <v>169</v>
      </c>
      <c r="D241" s="38" t="s">
        <v>169</v>
      </c>
      <c r="E241" s="38" t="s">
        <v>169</v>
      </c>
      <c r="F241" s="88" t="s">
        <v>169</v>
      </c>
      <c r="G241" s="38" t="s">
        <v>169</v>
      </c>
      <c r="H241" s="38" t="s">
        <v>169</v>
      </c>
      <c r="I241" s="38" t="s">
        <v>169</v>
      </c>
      <c r="J241" s="38" t="s">
        <v>169</v>
      </c>
      <c r="K241" s="88" t="s">
        <v>169</v>
      </c>
      <c r="L241" s="38" t="s">
        <v>169</v>
      </c>
      <c r="M241" s="38" t="s">
        <v>169</v>
      </c>
      <c r="N241" s="38" t="s">
        <v>169</v>
      </c>
      <c r="O241" s="38" t="s">
        <v>169</v>
      </c>
      <c r="P241" s="88" t="s">
        <v>169</v>
      </c>
      <c r="Q241" s="38" t="s">
        <v>169</v>
      </c>
      <c r="R241" s="38" t="s">
        <v>169</v>
      </c>
      <c r="S241" s="38" t="s">
        <v>169</v>
      </c>
      <c r="T241" s="38" t="s">
        <v>169</v>
      </c>
      <c r="U241" s="88" t="s">
        <v>169</v>
      </c>
      <c r="V241" s="36">
        <v>-0.24</v>
      </c>
      <c r="W241" s="36">
        <v>-0.23</v>
      </c>
      <c r="X241" s="36">
        <v>-0.19</v>
      </c>
      <c r="Y241" s="36">
        <v>-0.05</v>
      </c>
      <c r="Z241" s="27">
        <v>-0.18</v>
      </c>
      <c r="AA241" s="36">
        <v>0.09</v>
      </c>
      <c r="AB241" s="36">
        <v>0.05</v>
      </c>
      <c r="AC241" s="36">
        <v>-0.03</v>
      </c>
      <c r="AD241" s="36">
        <v>0.04</v>
      </c>
      <c r="AE241" s="27">
        <v>0.03</v>
      </c>
      <c r="AF241" s="36">
        <v>7.0000000000000007E-2</v>
      </c>
      <c r="AG241" s="36">
        <v>0.09</v>
      </c>
      <c r="AH241" s="36">
        <v>0.06</v>
      </c>
      <c r="AI241" s="36">
        <v>-0.05</v>
      </c>
      <c r="AJ241" s="27">
        <v>0.04</v>
      </c>
      <c r="AK241" s="36">
        <v>-7.0000000000000007E-2</v>
      </c>
      <c r="AL241" s="36">
        <v>-0.12</v>
      </c>
      <c r="AM241" s="36">
        <v>-0.15</v>
      </c>
      <c r="AN241" s="36">
        <v>-0.06</v>
      </c>
      <c r="AO241" s="27">
        <v>-0.1</v>
      </c>
      <c r="AP241" s="36">
        <v>-0.06</v>
      </c>
      <c r="AQ241" s="36">
        <v>-0.08</v>
      </c>
      <c r="AR241" s="36">
        <v>-0.12</v>
      </c>
      <c r="AS241" s="36">
        <v>-0.16</v>
      </c>
      <c r="AT241" s="27">
        <v>-0.1</v>
      </c>
      <c r="AU241" s="36">
        <v>-0.21</v>
      </c>
      <c r="AV241" s="36">
        <v>-0.12</v>
      </c>
      <c r="AW241" s="73"/>
      <c r="AX241" s="73"/>
      <c r="AY241" s="676"/>
      <c r="AZ241" s="36"/>
      <c r="BA241" s="36"/>
      <c r="BB241" s="73"/>
      <c r="BC241" s="73"/>
      <c r="BD241" s="676"/>
      <c r="BE241" s="36"/>
      <c r="BF241" s="36"/>
      <c r="BG241" s="73"/>
      <c r="BH241" s="73"/>
      <c r="BI241" s="676"/>
      <c r="BJ241" s="36"/>
      <c r="BK241" s="36"/>
      <c r="BL241" s="73"/>
      <c r="BM241" s="73"/>
      <c r="BN241" s="676"/>
      <c r="BO241" s="36"/>
      <c r="BP241" s="36"/>
      <c r="BQ241" s="73"/>
      <c r="BR241" s="73"/>
      <c r="BS241" s="676"/>
      <c r="BT241" s="36"/>
      <c r="BU241" s="36"/>
      <c r="BV241" s="73"/>
      <c r="BW241" s="73"/>
      <c r="BX241" s="676"/>
      <c r="BY241" s="36"/>
      <c r="BZ241" s="36"/>
      <c r="CA241" s="73"/>
      <c r="CB241" s="73"/>
      <c r="CC241" s="676"/>
      <c r="CD241" s="36"/>
      <c r="CE241" s="36"/>
      <c r="CF241" s="73"/>
      <c r="CG241" s="73"/>
      <c r="CH241" s="676"/>
      <c r="CI241" s="36"/>
      <c r="CJ241" s="36"/>
      <c r="CK241" s="73"/>
      <c r="CL241" s="73"/>
      <c r="CM241" s="676"/>
    </row>
    <row r="242" spans="1:91" hidden="1" x14ac:dyDescent="0.2">
      <c r="A242" s="47" t="s">
        <v>13</v>
      </c>
      <c r="B242" s="38" t="s">
        <v>169</v>
      </c>
      <c r="C242" s="38" t="s">
        <v>169</v>
      </c>
      <c r="D242" s="38" t="s">
        <v>169</v>
      </c>
      <c r="E242" s="38" t="s">
        <v>169</v>
      </c>
      <c r="F242" s="88" t="s">
        <v>169</v>
      </c>
      <c r="G242" s="38" t="s">
        <v>169</v>
      </c>
      <c r="H242" s="38" t="s">
        <v>169</v>
      </c>
      <c r="I242" s="38" t="s">
        <v>169</v>
      </c>
      <c r="J242" s="38" t="s">
        <v>169</v>
      </c>
      <c r="K242" s="88" t="s">
        <v>169</v>
      </c>
      <c r="L242" s="38" t="s">
        <v>169</v>
      </c>
      <c r="M242" s="38" t="s">
        <v>169</v>
      </c>
      <c r="N242" s="38" t="s">
        <v>169</v>
      </c>
      <c r="O242" s="38" t="s">
        <v>169</v>
      </c>
      <c r="P242" s="88" t="s">
        <v>169</v>
      </c>
      <c r="Q242" s="38" t="s">
        <v>169</v>
      </c>
      <c r="R242" s="38" t="s">
        <v>169</v>
      </c>
      <c r="S242" s="38" t="s">
        <v>169</v>
      </c>
      <c r="T242" s="38" t="s">
        <v>169</v>
      </c>
      <c r="U242" s="88" t="s">
        <v>169</v>
      </c>
      <c r="V242" s="36">
        <v>-0.02</v>
      </c>
      <c r="W242" s="36">
        <v>-0.01</v>
      </c>
      <c r="X242" s="36">
        <v>0</v>
      </c>
      <c r="Y242" s="36">
        <v>-0.02</v>
      </c>
      <c r="Z242" s="27">
        <v>-0.02</v>
      </c>
      <c r="AA242" s="36">
        <v>-0.01</v>
      </c>
      <c r="AB242" s="36">
        <v>0.01</v>
      </c>
      <c r="AC242" s="36">
        <v>0</v>
      </c>
      <c r="AD242" s="36">
        <v>0</v>
      </c>
      <c r="AE242" s="27">
        <v>0</v>
      </c>
      <c r="AF242" s="36">
        <v>0.01</v>
      </c>
      <c r="AG242" s="36">
        <v>0.01</v>
      </c>
      <c r="AH242" s="36">
        <v>0.01</v>
      </c>
      <c r="AI242" s="36">
        <v>0</v>
      </c>
      <c r="AJ242" s="27">
        <v>0.01</v>
      </c>
      <c r="AK242" s="36">
        <v>0</v>
      </c>
      <c r="AL242" s="36">
        <v>0</v>
      </c>
      <c r="AM242" s="36">
        <v>0</v>
      </c>
      <c r="AN242" s="36">
        <v>0</v>
      </c>
      <c r="AO242" s="27">
        <v>0</v>
      </c>
      <c r="AP242" s="36">
        <v>0</v>
      </c>
      <c r="AQ242" s="36">
        <v>0</v>
      </c>
      <c r="AR242" s="36">
        <v>0</v>
      </c>
      <c r="AS242" s="36">
        <v>0</v>
      </c>
      <c r="AT242" s="27">
        <v>0</v>
      </c>
      <c r="AU242" s="36">
        <v>0</v>
      </c>
      <c r="AV242" s="36">
        <v>0</v>
      </c>
      <c r="AW242" s="73"/>
      <c r="AX242" s="73"/>
      <c r="AY242" s="676"/>
      <c r="AZ242" s="36"/>
      <c r="BA242" s="36"/>
      <c r="BB242" s="73"/>
      <c r="BC242" s="73"/>
      <c r="BD242" s="676"/>
      <c r="BE242" s="36"/>
      <c r="BF242" s="36"/>
      <c r="BG242" s="73"/>
      <c r="BH242" s="73"/>
      <c r="BI242" s="676"/>
      <c r="BJ242" s="36"/>
      <c r="BK242" s="36"/>
      <c r="BL242" s="73"/>
      <c r="BM242" s="73"/>
      <c r="BN242" s="676"/>
      <c r="BO242" s="36"/>
      <c r="BP242" s="36"/>
      <c r="BQ242" s="73"/>
      <c r="BR242" s="73"/>
      <c r="BS242" s="676"/>
      <c r="BT242" s="36"/>
      <c r="BU242" s="36"/>
      <c r="BV242" s="73"/>
      <c r="BW242" s="73"/>
      <c r="BX242" s="676"/>
      <c r="BY242" s="36"/>
      <c r="BZ242" s="36"/>
      <c r="CA242" s="73"/>
      <c r="CB242" s="73"/>
      <c r="CC242" s="676"/>
      <c r="CD242" s="36"/>
      <c r="CE242" s="36"/>
      <c r="CF242" s="73"/>
      <c r="CG242" s="73"/>
      <c r="CH242" s="676"/>
      <c r="CI242" s="36"/>
      <c r="CJ242" s="36"/>
      <c r="CK242" s="73"/>
      <c r="CL242" s="73"/>
      <c r="CM242" s="676"/>
    </row>
    <row r="243" spans="1:91" hidden="1" x14ac:dyDescent="0.2">
      <c r="A243" s="47" t="s">
        <v>184</v>
      </c>
      <c r="B243" s="38" t="s">
        <v>169</v>
      </c>
      <c r="C243" s="38" t="s">
        <v>169</v>
      </c>
      <c r="D243" s="38" t="s">
        <v>169</v>
      </c>
      <c r="E243" s="38" t="s">
        <v>169</v>
      </c>
      <c r="F243" s="88" t="s">
        <v>169</v>
      </c>
      <c r="G243" s="38" t="s">
        <v>169</v>
      </c>
      <c r="H243" s="38" t="s">
        <v>169</v>
      </c>
      <c r="I243" s="38" t="s">
        <v>169</v>
      </c>
      <c r="J243" s="38" t="s">
        <v>169</v>
      </c>
      <c r="K243" s="88" t="s">
        <v>169</v>
      </c>
      <c r="L243" s="38" t="s">
        <v>169</v>
      </c>
      <c r="M243" s="38" t="s">
        <v>169</v>
      </c>
      <c r="N243" s="38" t="s">
        <v>169</v>
      </c>
      <c r="O243" s="38" t="s">
        <v>169</v>
      </c>
      <c r="P243" s="88" t="s">
        <v>169</v>
      </c>
      <c r="Q243" s="38" t="s">
        <v>169</v>
      </c>
      <c r="R243" s="38" t="s">
        <v>169</v>
      </c>
      <c r="S243" s="38" t="s">
        <v>169</v>
      </c>
      <c r="T243" s="38" t="s">
        <v>169</v>
      </c>
      <c r="U243" s="88" t="s">
        <v>169</v>
      </c>
      <c r="V243" s="36">
        <v>0.05</v>
      </c>
      <c r="W243" s="36">
        <v>0</v>
      </c>
      <c r="X243" s="36">
        <v>7.0000000000000007E-2</v>
      </c>
      <c r="Y243" s="36">
        <v>0.02</v>
      </c>
      <c r="Z243" s="27">
        <v>0.04</v>
      </c>
      <c r="AA243" s="36">
        <v>0.09</v>
      </c>
      <c r="AB243" s="36">
        <v>7.0000000000000007E-2</v>
      </c>
      <c r="AC243" s="36">
        <v>0.11</v>
      </c>
      <c r="AD243" s="36">
        <v>0.08</v>
      </c>
      <c r="AE243" s="27">
        <v>0.09</v>
      </c>
      <c r="AF243" s="36">
        <v>0.08</v>
      </c>
      <c r="AG243" s="36">
        <v>0.11</v>
      </c>
      <c r="AH243" s="36">
        <v>7.0000000000000007E-2</v>
      </c>
      <c r="AI243" s="36">
        <v>0</v>
      </c>
      <c r="AJ243" s="27">
        <v>7.0000000000000007E-2</v>
      </c>
      <c r="AK243" s="36">
        <v>0.05</v>
      </c>
      <c r="AL243" s="36">
        <v>0.02</v>
      </c>
      <c r="AM243" s="36">
        <v>0.01</v>
      </c>
      <c r="AN243" s="36">
        <v>0.02</v>
      </c>
      <c r="AO243" s="27">
        <v>0.02</v>
      </c>
      <c r="AP243" s="36">
        <v>-0.02</v>
      </c>
      <c r="AQ243" s="36">
        <v>-0.02</v>
      </c>
      <c r="AR243" s="36">
        <v>-0.04</v>
      </c>
      <c r="AS243" s="36">
        <v>-0.05</v>
      </c>
      <c r="AT243" s="27">
        <v>-0.03</v>
      </c>
      <c r="AU243" s="36">
        <v>-0.09</v>
      </c>
      <c r="AV243" s="36">
        <v>-0.08</v>
      </c>
      <c r="AW243" s="73"/>
      <c r="AX243" s="73"/>
      <c r="AY243" s="676"/>
      <c r="AZ243" s="36"/>
      <c r="BA243" s="36"/>
      <c r="BB243" s="73"/>
      <c r="BC243" s="73"/>
      <c r="BD243" s="676"/>
      <c r="BE243" s="36"/>
      <c r="BF243" s="36"/>
      <c r="BG243" s="73"/>
      <c r="BH243" s="73"/>
      <c r="BI243" s="676"/>
      <c r="BJ243" s="36"/>
      <c r="BK243" s="36"/>
      <c r="BL243" s="73"/>
      <c r="BM243" s="73"/>
      <c r="BN243" s="676"/>
      <c r="BO243" s="36"/>
      <c r="BP243" s="36"/>
      <c r="BQ243" s="73"/>
      <c r="BR243" s="73"/>
      <c r="BS243" s="676"/>
      <c r="BT243" s="36"/>
      <c r="BU243" s="36"/>
      <c r="BV243" s="73"/>
      <c r="BW243" s="73"/>
      <c r="BX243" s="676"/>
      <c r="BY243" s="36"/>
      <c r="BZ243" s="36"/>
      <c r="CA243" s="73"/>
      <c r="CB243" s="73"/>
      <c r="CC243" s="676"/>
      <c r="CD243" s="36"/>
      <c r="CE243" s="36"/>
      <c r="CF243" s="73"/>
      <c r="CG243" s="73"/>
      <c r="CH243" s="676"/>
      <c r="CI243" s="36"/>
      <c r="CJ243" s="36"/>
      <c r="CK243" s="73"/>
      <c r="CL243" s="73"/>
      <c r="CM243" s="676"/>
    </row>
    <row r="244" spans="1:91" hidden="1" x14ac:dyDescent="0.2">
      <c r="A244" s="47" t="s">
        <v>185</v>
      </c>
      <c r="B244" s="38" t="s">
        <v>169</v>
      </c>
      <c r="C244" s="38" t="s">
        <v>169</v>
      </c>
      <c r="D244" s="38" t="s">
        <v>169</v>
      </c>
      <c r="E244" s="38" t="s">
        <v>169</v>
      </c>
      <c r="F244" s="88" t="s">
        <v>169</v>
      </c>
      <c r="G244" s="38" t="s">
        <v>169</v>
      </c>
      <c r="H244" s="38" t="s">
        <v>169</v>
      </c>
      <c r="I244" s="38" t="s">
        <v>169</v>
      </c>
      <c r="J244" s="38" t="s">
        <v>169</v>
      </c>
      <c r="K244" s="88" t="s">
        <v>169</v>
      </c>
      <c r="L244" s="38" t="s">
        <v>169</v>
      </c>
      <c r="M244" s="38" t="s">
        <v>169</v>
      </c>
      <c r="N244" s="38" t="s">
        <v>169</v>
      </c>
      <c r="O244" s="38" t="s">
        <v>169</v>
      </c>
      <c r="P244" s="88" t="s">
        <v>169</v>
      </c>
      <c r="Q244" s="38" t="s">
        <v>169</v>
      </c>
      <c r="R244" s="38" t="s">
        <v>169</v>
      </c>
      <c r="S244" s="38" t="s">
        <v>169</v>
      </c>
      <c r="T244" s="38" t="s">
        <v>169</v>
      </c>
      <c r="U244" s="88" t="s">
        <v>169</v>
      </c>
      <c r="V244" s="36" t="s">
        <v>169</v>
      </c>
      <c r="W244" s="36">
        <v>-0.23</v>
      </c>
      <c r="X244" s="36">
        <v>-0.27</v>
      </c>
      <c r="Y244" s="36">
        <v>0.46</v>
      </c>
      <c r="Z244" s="27">
        <v>-0.2</v>
      </c>
      <c r="AA244" s="36" t="s">
        <v>169</v>
      </c>
      <c r="AB244" s="36">
        <v>0.04</v>
      </c>
      <c r="AC244" s="36">
        <v>-0.03</v>
      </c>
      <c r="AD244" s="36">
        <v>-0.03</v>
      </c>
      <c r="AE244" s="27">
        <v>0.05</v>
      </c>
      <c r="AF244" s="36">
        <v>0.06</v>
      </c>
      <c r="AG244" s="36">
        <v>7.0000000000000007E-2</v>
      </c>
      <c r="AH244" s="36">
        <v>0.12</v>
      </c>
      <c r="AI244" s="36">
        <v>-0.06</v>
      </c>
      <c r="AJ244" s="27">
        <v>0.06</v>
      </c>
      <c r="AK244" s="36">
        <v>-7.0000000000000007E-2</v>
      </c>
      <c r="AL244" s="36">
        <v>-0.18</v>
      </c>
      <c r="AM244" s="36">
        <v>-0.2</v>
      </c>
      <c r="AN244" s="36">
        <v>-0.14000000000000001</v>
      </c>
      <c r="AO244" s="27">
        <v>-0.17</v>
      </c>
      <c r="AP244" s="36">
        <v>-0.26</v>
      </c>
      <c r="AQ244" s="36">
        <v>-0.01</v>
      </c>
      <c r="AR244" s="36">
        <v>0.1</v>
      </c>
      <c r="AS244" s="36">
        <v>0.01</v>
      </c>
      <c r="AT244" s="27">
        <v>-0.01</v>
      </c>
      <c r="AU244" s="36">
        <v>0.01</v>
      </c>
      <c r="AV244" s="36">
        <v>-0.02</v>
      </c>
      <c r="AW244" s="73"/>
      <c r="AX244" s="73"/>
      <c r="AY244" s="676"/>
      <c r="AZ244" s="36"/>
      <c r="BA244" s="36"/>
      <c r="BB244" s="73"/>
      <c r="BC244" s="73"/>
      <c r="BD244" s="676"/>
      <c r="BE244" s="36"/>
      <c r="BF244" s="36"/>
      <c r="BG244" s="73"/>
      <c r="BH244" s="73"/>
      <c r="BI244" s="676"/>
      <c r="BJ244" s="36"/>
      <c r="BK244" s="36"/>
      <c r="BL244" s="73"/>
      <c r="BM244" s="73"/>
      <c r="BN244" s="676"/>
      <c r="BO244" s="36"/>
      <c r="BP244" s="36"/>
      <c r="BQ244" s="73"/>
      <c r="BR244" s="73"/>
      <c r="BS244" s="676"/>
      <c r="BT244" s="36"/>
      <c r="BU244" s="36"/>
      <c r="BV244" s="73"/>
      <c r="BW244" s="73"/>
      <c r="BX244" s="676"/>
      <c r="BY244" s="36"/>
      <c r="BZ244" s="36"/>
      <c r="CA244" s="73"/>
      <c r="CB244" s="73"/>
      <c r="CC244" s="676"/>
      <c r="CD244" s="36"/>
      <c r="CE244" s="36"/>
      <c r="CF244" s="73"/>
      <c r="CG244" s="73"/>
      <c r="CH244" s="676"/>
      <c r="CI244" s="36"/>
      <c r="CJ244" s="36"/>
      <c r="CK244" s="73"/>
      <c r="CL244" s="73"/>
      <c r="CM244" s="676"/>
    </row>
    <row r="245" spans="1:91" hidden="1" x14ac:dyDescent="0.2">
      <c r="A245" s="47" t="s">
        <v>186</v>
      </c>
      <c r="B245" s="38" t="s">
        <v>169</v>
      </c>
      <c r="C245" s="38" t="s">
        <v>169</v>
      </c>
      <c r="D245" s="38" t="s">
        <v>169</v>
      </c>
      <c r="E245" s="38" t="s">
        <v>169</v>
      </c>
      <c r="F245" s="88" t="s">
        <v>169</v>
      </c>
      <c r="G245" s="38" t="s">
        <v>169</v>
      </c>
      <c r="H245" s="38" t="s">
        <v>169</v>
      </c>
      <c r="I245" s="38" t="s">
        <v>169</v>
      </c>
      <c r="J245" s="38" t="s">
        <v>169</v>
      </c>
      <c r="K245" s="88" t="s">
        <v>169</v>
      </c>
      <c r="L245" s="38" t="s">
        <v>169</v>
      </c>
      <c r="M245" s="38" t="s">
        <v>169</v>
      </c>
      <c r="N245" s="38" t="s">
        <v>169</v>
      </c>
      <c r="O245" s="38" t="s">
        <v>169</v>
      </c>
      <c r="P245" s="88" t="s">
        <v>169</v>
      </c>
      <c r="Q245" s="38" t="s">
        <v>169</v>
      </c>
      <c r="R245" s="38" t="s">
        <v>169</v>
      </c>
      <c r="S245" s="38" t="s">
        <v>169</v>
      </c>
      <c r="T245" s="38" t="s">
        <v>169</v>
      </c>
      <c r="U245" s="88" t="s">
        <v>169</v>
      </c>
      <c r="V245" s="36">
        <v>-0.14000000000000001</v>
      </c>
      <c r="W245" s="36">
        <v>-0.09</v>
      </c>
      <c r="X245" s="36">
        <v>-0.21</v>
      </c>
      <c r="Y245" s="36">
        <v>0.18</v>
      </c>
      <c r="Z245" s="27">
        <v>-0.04</v>
      </c>
      <c r="AA245" s="36">
        <v>0.03</v>
      </c>
      <c r="AB245" s="36">
        <v>-0.01</v>
      </c>
      <c r="AC245" s="36">
        <v>-0.02</v>
      </c>
      <c r="AD245" s="36">
        <v>0.01</v>
      </c>
      <c r="AE245" s="27">
        <v>0.01</v>
      </c>
      <c r="AF245" s="36">
        <v>-0.01</v>
      </c>
      <c r="AG245" s="36">
        <v>-0.01</v>
      </c>
      <c r="AH245" s="36">
        <v>0.04</v>
      </c>
      <c r="AI245" s="36">
        <v>-0.02</v>
      </c>
      <c r="AJ245" s="27">
        <v>0</v>
      </c>
      <c r="AK245" s="36">
        <v>-0.02</v>
      </c>
      <c r="AL245" s="36">
        <v>0.02</v>
      </c>
      <c r="AM245" s="36">
        <v>0</v>
      </c>
      <c r="AN245" s="36">
        <v>0</v>
      </c>
      <c r="AO245" s="27">
        <v>0</v>
      </c>
      <c r="AP245" s="36">
        <v>0.04</v>
      </c>
      <c r="AQ245" s="36">
        <v>0</v>
      </c>
      <c r="AR245" s="36">
        <v>0</v>
      </c>
      <c r="AS245" s="36">
        <v>0.01</v>
      </c>
      <c r="AT245" s="27">
        <v>0.01</v>
      </c>
      <c r="AU245" s="36">
        <v>-0.03</v>
      </c>
      <c r="AV245" s="36">
        <v>0</v>
      </c>
      <c r="AW245" s="73"/>
      <c r="AX245" s="73"/>
      <c r="AY245" s="676"/>
      <c r="AZ245" s="36"/>
      <c r="BA245" s="36"/>
      <c r="BB245" s="73"/>
      <c r="BC245" s="73"/>
      <c r="BD245" s="676"/>
      <c r="BE245" s="36"/>
      <c r="BF245" s="36"/>
      <c r="BG245" s="73"/>
      <c r="BH245" s="73"/>
      <c r="BI245" s="676"/>
      <c r="BJ245" s="36"/>
      <c r="BK245" s="36"/>
      <c r="BL245" s="73"/>
      <c r="BM245" s="73"/>
      <c r="BN245" s="676"/>
      <c r="BO245" s="36"/>
      <c r="BP245" s="36"/>
      <c r="BQ245" s="73"/>
      <c r="BR245" s="73"/>
      <c r="BS245" s="676"/>
      <c r="BT245" s="36"/>
      <c r="BU245" s="36"/>
      <c r="BV245" s="73"/>
      <c r="BW245" s="73"/>
      <c r="BX245" s="676"/>
      <c r="BY245" s="36"/>
      <c r="BZ245" s="36"/>
      <c r="CA245" s="73"/>
      <c r="CB245" s="73"/>
      <c r="CC245" s="676"/>
      <c r="CD245" s="36"/>
      <c r="CE245" s="36"/>
      <c r="CF245" s="73"/>
      <c r="CG245" s="73"/>
      <c r="CH245" s="676"/>
      <c r="CI245" s="36"/>
      <c r="CJ245" s="36"/>
      <c r="CK245" s="73"/>
      <c r="CL245" s="73"/>
      <c r="CM245" s="676"/>
    </row>
    <row r="246" spans="1:91" hidden="1" x14ac:dyDescent="0.2">
      <c r="A246" s="71" t="s">
        <v>198</v>
      </c>
      <c r="B246" s="37" t="s">
        <v>169</v>
      </c>
      <c r="C246" s="37" t="s">
        <v>169</v>
      </c>
      <c r="D246" s="37" t="s">
        <v>169</v>
      </c>
      <c r="E246" s="37" t="s">
        <v>169</v>
      </c>
      <c r="F246" s="90" t="s">
        <v>169</v>
      </c>
      <c r="G246" s="37" t="s">
        <v>169</v>
      </c>
      <c r="H246" s="37" t="s">
        <v>169</v>
      </c>
      <c r="I246" s="37" t="s">
        <v>169</v>
      </c>
      <c r="J246" s="37" t="s">
        <v>169</v>
      </c>
      <c r="K246" s="90" t="s">
        <v>169</v>
      </c>
      <c r="L246" s="37" t="s">
        <v>169</v>
      </c>
      <c r="M246" s="37" t="s">
        <v>169</v>
      </c>
      <c r="N246" s="37" t="s">
        <v>169</v>
      </c>
      <c r="O246" s="37" t="s">
        <v>169</v>
      </c>
      <c r="P246" s="90" t="s">
        <v>169</v>
      </c>
      <c r="Q246" s="37" t="s">
        <v>169</v>
      </c>
      <c r="R246" s="37" t="s">
        <v>169</v>
      </c>
      <c r="S246" s="37" t="s">
        <v>169</v>
      </c>
      <c r="T246" s="37" t="s">
        <v>169</v>
      </c>
      <c r="U246" s="90" t="s">
        <v>169</v>
      </c>
      <c r="V246" s="37">
        <v>-0.17</v>
      </c>
      <c r="W246" s="37">
        <v>-0.14000000000000001</v>
      </c>
      <c r="X246" s="37">
        <v>-0.11</v>
      </c>
      <c r="Y246" s="37">
        <v>0.04</v>
      </c>
      <c r="Z246" s="89">
        <v>-0.1</v>
      </c>
      <c r="AA246" s="120">
        <v>0.08</v>
      </c>
      <c r="AB246" s="37">
        <v>0.04</v>
      </c>
      <c r="AC246" s="37">
        <v>0</v>
      </c>
      <c r="AD246" s="37">
        <v>0.01</v>
      </c>
      <c r="AE246" s="89">
        <v>0.03</v>
      </c>
      <c r="AF246" s="120">
        <v>0.03</v>
      </c>
      <c r="AG246" s="37">
        <v>0.06</v>
      </c>
      <c r="AH246" s="37">
        <v>0.06</v>
      </c>
      <c r="AI246" s="37">
        <v>-0.03</v>
      </c>
      <c r="AJ246" s="89">
        <v>0.03</v>
      </c>
      <c r="AK246" s="120">
        <v>-0.02</v>
      </c>
      <c r="AL246" s="37">
        <v>-0.05</v>
      </c>
      <c r="AM246" s="37">
        <v>-7.0000000000000007E-2</v>
      </c>
      <c r="AN246" s="37">
        <v>-0.04</v>
      </c>
      <c r="AO246" s="89">
        <v>-0.05</v>
      </c>
      <c r="AP246" s="120">
        <v>-0.03</v>
      </c>
      <c r="AQ246" s="37">
        <v>-0.03</v>
      </c>
      <c r="AR246" s="37">
        <v>-0.05</v>
      </c>
      <c r="AS246" s="37">
        <v>-0.06</v>
      </c>
      <c r="AT246" s="89">
        <v>-0.04</v>
      </c>
      <c r="AU246" s="120">
        <v>-0.1</v>
      </c>
      <c r="AV246" s="37">
        <v>-0.04</v>
      </c>
      <c r="AW246" s="74"/>
      <c r="AX246" s="74"/>
      <c r="AY246" s="678"/>
      <c r="AZ246" s="120"/>
      <c r="BA246" s="37"/>
      <c r="BB246" s="74"/>
      <c r="BC246" s="74"/>
      <c r="BD246" s="678"/>
      <c r="BE246" s="120"/>
      <c r="BF246" s="37"/>
      <c r="BG246" s="74"/>
      <c r="BH246" s="74"/>
      <c r="BI246" s="678"/>
      <c r="BJ246" s="37"/>
      <c r="BK246" s="37"/>
      <c r="BL246" s="74"/>
      <c r="BM246" s="74"/>
      <c r="BN246" s="678"/>
      <c r="BO246" s="120"/>
      <c r="BP246" s="37"/>
      <c r="BQ246" s="74"/>
      <c r="BR246" s="74"/>
      <c r="BS246" s="678"/>
      <c r="BT246" s="120"/>
      <c r="BU246" s="37"/>
      <c r="BV246" s="74"/>
      <c r="BW246" s="74"/>
      <c r="BX246" s="678"/>
      <c r="BY246" s="120"/>
      <c r="BZ246" s="37"/>
      <c r="CA246" s="74"/>
      <c r="CB246" s="74"/>
      <c r="CC246" s="678"/>
      <c r="CD246" s="120"/>
      <c r="CE246" s="37"/>
      <c r="CF246" s="74"/>
      <c r="CG246" s="74"/>
      <c r="CH246" s="678"/>
      <c r="CI246" s="120"/>
      <c r="CJ246" s="37"/>
      <c r="CK246" s="74"/>
      <c r="CL246" s="74"/>
      <c r="CM246" s="678"/>
    </row>
    <row r="247" spans="1:91" hidden="1" x14ac:dyDescent="0.2">
      <c r="A247" s="52"/>
      <c r="B247" s="38"/>
      <c r="C247" s="38"/>
      <c r="D247" s="73"/>
      <c r="E247" s="73"/>
      <c r="F247" s="88"/>
      <c r="G247" s="38"/>
      <c r="H247" s="38"/>
      <c r="I247" s="73"/>
      <c r="J247" s="73"/>
      <c r="K247" s="88"/>
      <c r="L247" s="38"/>
      <c r="M247" s="38"/>
      <c r="N247" s="73"/>
      <c r="O247" s="73"/>
      <c r="P247" s="88"/>
      <c r="Q247" s="38"/>
      <c r="R247" s="38"/>
      <c r="S247" s="73"/>
      <c r="T247" s="73"/>
      <c r="U247" s="88"/>
      <c r="V247" s="38"/>
      <c r="W247" s="38"/>
      <c r="X247" s="73"/>
      <c r="Y247" s="73"/>
      <c r="Z247" s="88"/>
      <c r="AA247" s="38"/>
      <c r="AB247" s="38"/>
      <c r="AC247" s="73"/>
      <c r="AD247" s="73"/>
      <c r="AE247" s="88"/>
      <c r="AF247" s="171">
        <f>AF246/AF11</f>
        <v>1.5</v>
      </c>
      <c r="AG247" s="171">
        <f>AG246/AG11</f>
        <v>1</v>
      </c>
      <c r="AH247" s="171">
        <f>AH246/AH11</f>
        <v>1.2</v>
      </c>
      <c r="AI247" s="171">
        <f>AI246/AI11</f>
        <v>3</v>
      </c>
      <c r="AJ247" s="88"/>
      <c r="AK247" s="171"/>
      <c r="AL247" s="171"/>
      <c r="AM247" s="171"/>
      <c r="AN247" s="171"/>
      <c r="AO247" s="88"/>
      <c r="AP247" s="171"/>
      <c r="AQ247" s="171"/>
      <c r="AR247" s="171"/>
      <c r="AS247" s="171"/>
      <c r="AT247" s="88"/>
      <c r="AU247" s="40"/>
      <c r="AV247" s="40"/>
      <c r="AW247" s="73"/>
      <c r="AX247" s="73"/>
      <c r="AY247" s="676"/>
      <c r="AZ247" s="40"/>
      <c r="BA247" s="40"/>
      <c r="BB247" s="73"/>
      <c r="BC247" s="73"/>
      <c r="BD247" s="676"/>
      <c r="BE247" s="40"/>
      <c r="BF247" s="40"/>
      <c r="BG247" s="73"/>
      <c r="BH247" s="73"/>
      <c r="BI247" s="676"/>
      <c r="BJ247" s="40"/>
      <c r="BK247" s="40"/>
      <c r="BL247" s="73"/>
      <c r="BM247" s="73"/>
      <c r="BN247" s="676"/>
      <c r="BO247" s="40"/>
      <c r="BP247" s="40"/>
      <c r="BQ247" s="73"/>
      <c r="BR247" s="73"/>
      <c r="BS247" s="676"/>
      <c r="BT247" s="40"/>
      <c r="BU247" s="40"/>
      <c r="BV247" s="73"/>
      <c r="BW247" s="73"/>
      <c r="BX247" s="676"/>
      <c r="BY247" s="40"/>
      <c r="BZ247" s="40"/>
      <c r="CA247" s="73"/>
      <c r="CB247" s="73"/>
      <c r="CC247" s="676"/>
      <c r="CD247" s="40"/>
      <c r="CE247" s="40"/>
      <c r="CF247" s="73"/>
      <c r="CG247" s="73"/>
      <c r="CH247" s="676"/>
      <c r="CI247" s="40"/>
      <c r="CJ247" s="40"/>
      <c r="CK247" s="73"/>
      <c r="CL247" s="73"/>
      <c r="CM247" s="676"/>
    </row>
    <row r="248" spans="1:91" hidden="1" x14ac:dyDescent="0.2">
      <c r="A248" s="52" t="s">
        <v>229</v>
      </c>
      <c r="B248" s="38"/>
      <c r="C248" s="38"/>
      <c r="D248" s="73"/>
      <c r="E248" s="73"/>
      <c r="F248" s="88"/>
      <c r="G248" s="38"/>
      <c r="H248" s="38"/>
      <c r="I248" s="73"/>
      <c r="J248" s="73"/>
      <c r="K248" s="88"/>
      <c r="L248" s="38"/>
      <c r="M248" s="38"/>
      <c r="N248" s="73"/>
      <c r="O248" s="73"/>
      <c r="P248" s="88"/>
      <c r="Q248" s="38"/>
      <c r="R248" s="38"/>
      <c r="S248" s="73"/>
      <c r="T248" s="73"/>
      <c r="U248" s="88"/>
      <c r="V248" s="124"/>
      <c r="W248" s="124"/>
      <c r="X248" s="124"/>
      <c r="Y248" s="124"/>
      <c r="Z248" s="125"/>
      <c r="AA248" s="124"/>
      <c r="AB248" s="124"/>
      <c r="AC248" s="124"/>
      <c r="AD248" s="124"/>
      <c r="AE248" s="125"/>
      <c r="AF248" s="38"/>
      <c r="AG248" s="73"/>
      <c r="AH248" s="73"/>
      <c r="AI248" s="73"/>
      <c r="AJ248" s="125"/>
      <c r="AK248" s="38"/>
      <c r="AL248" s="73"/>
      <c r="AM248" s="73"/>
      <c r="AN248" s="73"/>
      <c r="AO248" s="125"/>
      <c r="AP248" s="73"/>
      <c r="AQ248" s="73"/>
      <c r="AR248" s="73"/>
      <c r="AS248" s="73"/>
      <c r="AT248" s="125"/>
      <c r="AU248" s="38"/>
      <c r="AV248" s="73"/>
      <c r="AW248" s="73"/>
      <c r="AX248" s="73"/>
      <c r="AY248" s="676"/>
      <c r="AZ248" s="38"/>
      <c r="BA248" s="73"/>
      <c r="BB248" s="73"/>
      <c r="BC248" s="73"/>
      <c r="BD248" s="676"/>
      <c r="BE248" s="38"/>
      <c r="BF248" s="73"/>
      <c r="BG248" s="73"/>
      <c r="BH248" s="73"/>
      <c r="BI248" s="676"/>
      <c r="BJ248" s="38"/>
      <c r="BK248" s="73"/>
      <c r="BL248" s="73"/>
      <c r="BM248" s="73"/>
      <c r="BN248" s="676"/>
      <c r="BO248" s="38"/>
      <c r="BP248" s="73"/>
      <c r="BQ248" s="73"/>
      <c r="BR248" s="73"/>
      <c r="BS248" s="676"/>
      <c r="BT248" s="38"/>
      <c r="BU248" s="73"/>
      <c r="BV248" s="73"/>
      <c r="BW248" s="73"/>
      <c r="BX248" s="676"/>
      <c r="BY248" s="38"/>
      <c r="BZ248" s="73"/>
      <c r="CA248" s="73"/>
      <c r="CB248" s="73"/>
      <c r="CC248" s="676"/>
      <c r="CD248" s="38"/>
      <c r="CE248" s="73"/>
      <c r="CF248" s="73"/>
      <c r="CG248" s="73"/>
      <c r="CH248" s="676"/>
      <c r="CI248" s="38"/>
      <c r="CJ248" s="73"/>
      <c r="CK248" s="73"/>
      <c r="CL248" s="73"/>
      <c r="CM248" s="676"/>
    </row>
    <row r="249" spans="1:91" hidden="1" x14ac:dyDescent="0.2">
      <c r="A249" s="47" t="s">
        <v>182</v>
      </c>
      <c r="B249" s="38" t="s">
        <v>169</v>
      </c>
      <c r="C249" s="38" t="s">
        <v>169</v>
      </c>
      <c r="D249" s="38" t="s">
        <v>169</v>
      </c>
      <c r="E249" s="38" t="s">
        <v>169</v>
      </c>
      <c r="F249" s="88" t="s">
        <v>169</v>
      </c>
      <c r="G249" s="38" t="s">
        <v>169</v>
      </c>
      <c r="H249" s="38" t="s">
        <v>169</v>
      </c>
      <c r="I249" s="38" t="s">
        <v>169</v>
      </c>
      <c r="J249" s="38" t="s">
        <v>169</v>
      </c>
      <c r="K249" s="88" t="s">
        <v>169</v>
      </c>
      <c r="L249" s="38" t="s">
        <v>169</v>
      </c>
      <c r="M249" s="38" t="s">
        <v>169</v>
      </c>
      <c r="N249" s="38" t="s">
        <v>169</v>
      </c>
      <c r="O249" s="38" t="s">
        <v>169</v>
      </c>
      <c r="P249" s="88" t="s">
        <v>169</v>
      </c>
      <c r="Q249" s="38" t="s">
        <v>169</v>
      </c>
      <c r="R249" s="38" t="s">
        <v>169</v>
      </c>
      <c r="S249" s="38" t="s">
        <v>169</v>
      </c>
      <c r="T249" s="38" t="s">
        <v>169</v>
      </c>
      <c r="U249" s="88" t="s">
        <v>169</v>
      </c>
      <c r="V249" s="36">
        <f t="shared" ref="V249:AB249" si="477">V239+V229</f>
        <v>-0.09</v>
      </c>
      <c r="W249" s="36">
        <f t="shared" si="477"/>
        <v>-0.09</v>
      </c>
      <c r="X249" s="36">
        <f t="shared" si="477"/>
        <v>2.0000000000000004E-2</v>
      </c>
      <c r="Y249" s="36">
        <f t="shared" si="477"/>
        <v>0.11000000000000001</v>
      </c>
      <c r="Z249" s="27">
        <f t="shared" si="477"/>
        <v>-0.03</v>
      </c>
      <c r="AA249" s="183">
        <f>AA239+AA229</f>
        <v>0.23</v>
      </c>
      <c r="AB249" s="183">
        <f t="shared" si="477"/>
        <v>0.25</v>
      </c>
      <c r="AC249" s="183">
        <f t="shared" ref="AC249:AD256" si="478">AC239+AC229</f>
        <v>0.21</v>
      </c>
      <c r="AD249" s="183">
        <f t="shared" si="478"/>
        <v>0.14000000000000001</v>
      </c>
      <c r="AE249" s="184">
        <f t="shared" ref="AE249:AF256" si="479">AE239+AE229</f>
        <v>0.21000000000000002</v>
      </c>
      <c r="AF249" s="36">
        <f t="shared" si="479"/>
        <v>0.04</v>
      </c>
      <c r="AG249" s="36">
        <f>AG239+AG229</f>
        <v>0.1</v>
      </c>
      <c r="AH249" s="36">
        <f>AH239+AH229</f>
        <v>0.19</v>
      </c>
      <c r="AI249" s="36">
        <f>AI239+AI229</f>
        <v>0.15999999999999998</v>
      </c>
      <c r="AJ249" s="27">
        <f>AJ239+AJ229</f>
        <v>0.12000000000000001</v>
      </c>
      <c r="AK249" s="36">
        <f t="shared" ref="AK249:AL254" si="480">AK239+AK229</f>
        <v>0.11</v>
      </c>
      <c r="AL249" s="36">
        <f t="shared" si="480"/>
        <v>0.03</v>
      </c>
      <c r="AM249" s="36">
        <f t="shared" ref="AM249:AP251" si="481">AM239+AM229</f>
        <v>-3.9999999999999994E-2</v>
      </c>
      <c r="AN249" s="36">
        <f t="shared" si="481"/>
        <v>0.16</v>
      </c>
      <c r="AO249" s="27">
        <v>0.06</v>
      </c>
      <c r="AP249" s="36">
        <f t="shared" si="481"/>
        <v>7.0000000000000007E-2</v>
      </c>
      <c r="AQ249" s="36">
        <f>AQ239+AQ229</f>
        <v>0.12</v>
      </c>
      <c r="AR249" s="36">
        <f>AR239+AR229</f>
        <v>-0.06</v>
      </c>
      <c r="AS249" s="36">
        <v>-0.11</v>
      </c>
      <c r="AT249" s="27">
        <f t="shared" ref="AT249:AT256" si="482">AT239+AT229</f>
        <v>9.999999999999995E-3</v>
      </c>
      <c r="AU249" s="36">
        <v>7.0000000000000007E-2</v>
      </c>
      <c r="AV249" s="36">
        <v>-0.13</v>
      </c>
      <c r="AW249" s="73"/>
      <c r="AX249" s="73"/>
      <c r="AY249" s="676"/>
      <c r="AZ249" s="36"/>
      <c r="BA249" s="36"/>
      <c r="BB249" s="73"/>
      <c r="BC249" s="73"/>
      <c r="BD249" s="676"/>
      <c r="BE249" s="36"/>
      <c r="BF249" s="36"/>
      <c r="BG249" s="73"/>
      <c r="BH249" s="73"/>
      <c r="BI249" s="676"/>
      <c r="BJ249" s="36"/>
      <c r="BK249" s="36"/>
      <c r="BL249" s="73"/>
      <c r="BM249" s="73"/>
      <c r="BN249" s="676"/>
      <c r="BO249" s="36"/>
      <c r="BP249" s="36"/>
      <c r="BQ249" s="73"/>
      <c r="BR249" s="73"/>
      <c r="BS249" s="676"/>
      <c r="BT249" s="36"/>
      <c r="BU249" s="36"/>
      <c r="BV249" s="73"/>
      <c r="BW249" s="73"/>
      <c r="BX249" s="676"/>
      <c r="BY249" s="36"/>
      <c r="BZ249" s="36"/>
      <c r="CA249" s="73"/>
      <c r="CB249" s="73"/>
      <c r="CC249" s="676"/>
      <c r="CD249" s="36"/>
      <c r="CE249" s="36"/>
      <c r="CF249" s="73"/>
      <c r="CG249" s="73"/>
      <c r="CH249" s="676"/>
      <c r="CI249" s="36"/>
      <c r="CJ249" s="36"/>
      <c r="CK249" s="73"/>
      <c r="CL249" s="73"/>
      <c r="CM249" s="676"/>
    </row>
    <row r="250" spans="1:91" hidden="1" x14ac:dyDescent="0.2">
      <c r="A250" s="47" t="s">
        <v>183</v>
      </c>
      <c r="B250" s="38" t="s">
        <v>169</v>
      </c>
      <c r="C250" s="38" t="s">
        <v>169</v>
      </c>
      <c r="D250" s="38" t="s">
        <v>169</v>
      </c>
      <c r="E250" s="38" t="s">
        <v>169</v>
      </c>
      <c r="F250" s="88" t="s">
        <v>169</v>
      </c>
      <c r="G250" s="38" t="s">
        <v>169</v>
      </c>
      <c r="H250" s="38" t="s">
        <v>169</v>
      </c>
      <c r="I250" s="38" t="s">
        <v>169</v>
      </c>
      <c r="J250" s="38" t="s">
        <v>169</v>
      </c>
      <c r="K250" s="88" t="s">
        <v>169</v>
      </c>
      <c r="L250" s="38" t="s">
        <v>169</v>
      </c>
      <c r="M250" s="38" t="s">
        <v>169</v>
      </c>
      <c r="N250" s="38" t="s">
        <v>169</v>
      </c>
      <c r="O250" s="38" t="s">
        <v>169</v>
      </c>
      <c r="P250" s="88" t="s">
        <v>169</v>
      </c>
      <c r="Q250" s="38" t="s">
        <v>169</v>
      </c>
      <c r="R250" s="38" t="s">
        <v>169</v>
      </c>
      <c r="S250" s="38" t="s">
        <v>169</v>
      </c>
      <c r="T250" s="38" t="s">
        <v>169</v>
      </c>
      <c r="U250" s="88" t="s">
        <v>169</v>
      </c>
      <c r="V250" s="36">
        <f t="shared" ref="V250:X253" si="483">V240+V230</f>
        <v>-6.0000000000000012E-2</v>
      </c>
      <c r="W250" s="36">
        <f t="shared" si="483"/>
        <v>-0.15</v>
      </c>
      <c r="X250" s="36">
        <f t="shared" si="483"/>
        <v>-0.03</v>
      </c>
      <c r="Y250" s="36">
        <f t="shared" ref="Y250:Z256" si="484">Y240+Y230</f>
        <v>-0.01</v>
      </c>
      <c r="Z250" s="27">
        <f t="shared" si="484"/>
        <v>-7.0000000000000007E-2</v>
      </c>
      <c r="AA250" s="36">
        <f t="shared" ref="AA250:AB253" si="485">AA240+AA230</f>
        <v>6.9999999999999993E-2</v>
      </c>
      <c r="AB250" s="36">
        <f t="shared" si="485"/>
        <v>9.0000000000000011E-2</v>
      </c>
      <c r="AC250" s="36">
        <f t="shared" si="478"/>
        <v>-0.03</v>
      </c>
      <c r="AD250" s="36">
        <f t="shared" si="478"/>
        <v>-0.05</v>
      </c>
      <c r="AE250" s="27">
        <f t="shared" si="479"/>
        <v>1.9999999999999997E-2</v>
      </c>
      <c r="AF250" s="36">
        <f t="shared" si="479"/>
        <v>-0.03</v>
      </c>
      <c r="AG250" s="36">
        <f>AG240+AG230</f>
        <v>0.04</v>
      </c>
      <c r="AH250" s="36">
        <f>AH240+AH230</f>
        <v>0.08</v>
      </c>
      <c r="AI250" s="36">
        <v>0.04</v>
      </c>
      <c r="AJ250" s="27">
        <f>AJ240+AJ230</f>
        <v>0.03</v>
      </c>
      <c r="AK250" s="36">
        <f t="shared" si="480"/>
        <v>-0.03</v>
      </c>
      <c r="AL250" s="36">
        <f t="shared" si="480"/>
        <v>-0.08</v>
      </c>
      <c r="AM250" s="36">
        <f t="shared" si="481"/>
        <v>-0.14000000000000001</v>
      </c>
      <c r="AN250" s="36">
        <f t="shared" si="481"/>
        <v>0.09</v>
      </c>
      <c r="AO250" s="27">
        <f t="shared" si="481"/>
        <v>-0.05</v>
      </c>
      <c r="AP250" s="36">
        <f t="shared" si="481"/>
        <v>-0.02</v>
      </c>
      <c r="AQ250" s="36">
        <f>AQ240+AQ230</f>
        <v>-0.06</v>
      </c>
      <c r="AR250" s="36">
        <v>0.06</v>
      </c>
      <c r="AS250" s="36">
        <v>-0.03</v>
      </c>
      <c r="AT250" s="27">
        <f t="shared" si="482"/>
        <v>-0.01</v>
      </c>
      <c r="AU250" s="36">
        <v>0.05</v>
      </c>
      <c r="AV250" s="36">
        <v>0.06</v>
      </c>
      <c r="AW250" s="73"/>
      <c r="AX250" s="73"/>
      <c r="AY250" s="676"/>
      <c r="AZ250" s="36"/>
      <c r="BA250" s="36"/>
      <c r="BB250" s="73"/>
      <c r="BC250" s="73"/>
      <c r="BD250" s="676"/>
      <c r="BE250" s="36"/>
      <c r="BF250" s="36"/>
      <c r="BG250" s="73"/>
      <c r="BH250" s="73"/>
      <c r="BI250" s="676"/>
      <c r="BJ250" s="36"/>
      <c r="BK250" s="36"/>
      <c r="BL250" s="73"/>
      <c r="BM250" s="73"/>
      <c r="BN250" s="676"/>
      <c r="BO250" s="36"/>
      <c r="BP250" s="36"/>
      <c r="BQ250" s="73"/>
      <c r="BR250" s="73"/>
      <c r="BS250" s="676"/>
      <c r="BT250" s="36"/>
      <c r="BU250" s="36"/>
      <c r="BV250" s="73"/>
      <c r="BW250" s="73"/>
      <c r="BX250" s="676"/>
      <c r="BY250" s="36"/>
      <c r="BZ250" s="36"/>
      <c r="CA250" s="73"/>
      <c r="CB250" s="73"/>
      <c r="CC250" s="676"/>
      <c r="CD250" s="36"/>
      <c r="CE250" s="36"/>
      <c r="CF250" s="73"/>
      <c r="CG250" s="73"/>
      <c r="CH250" s="676"/>
      <c r="CI250" s="36"/>
      <c r="CJ250" s="36"/>
      <c r="CK250" s="73"/>
      <c r="CL250" s="73"/>
      <c r="CM250" s="676"/>
    </row>
    <row r="251" spans="1:91" hidden="1" x14ac:dyDescent="0.2">
      <c r="A251" s="47" t="s">
        <v>14</v>
      </c>
      <c r="B251" s="38" t="s">
        <v>169</v>
      </c>
      <c r="C251" s="38" t="s">
        <v>169</v>
      </c>
      <c r="D251" s="38" t="s">
        <v>169</v>
      </c>
      <c r="E251" s="38" t="s">
        <v>169</v>
      </c>
      <c r="F251" s="88" t="s">
        <v>169</v>
      </c>
      <c r="G251" s="38" t="s">
        <v>169</v>
      </c>
      <c r="H251" s="38" t="s">
        <v>169</v>
      </c>
      <c r="I251" s="38" t="s">
        <v>169</v>
      </c>
      <c r="J251" s="38" t="s">
        <v>169</v>
      </c>
      <c r="K251" s="88" t="s">
        <v>169</v>
      </c>
      <c r="L251" s="38" t="s">
        <v>169</v>
      </c>
      <c r="M251" s="38" t="s">
        <v>169</v>
      </c>
      <c r="N251" s="38" t="s">
        <v>169</v>
      </c>
      <c r="O251" s="38" t="s">
        <v>169</v>
      </c>
      <c r="P251" s="88" t="s">
        <v>169</v>
      </c>
      <c r="Q251" s="38" t="s">
        <v>169</v>
      </c>
      <c r="R251" s="38" t="s">
        <v>169</v>
      </c>
      <c r="S251" s="38" t="s">
        <v>169</v>
      </c>
      <c r="T251" s="38" t="s">
        <v>169</v>
      </c>
      <c r="U251" s="88" t="s">
        <v>169</v>
      </c>
      <c r="V251" s="36">
        <f t="shared" si="483"/>
        <v>-9.9999999999999978E-2</v>
      </c>
      <c r="W251" s="36">
        <f t="shared" si="483"/>
        <v>-0.11000000000000001</v>
      </c>
      <c r="X251" s="36">
        <f t="shared" si="483"/>
        <v>-1.0000000000000009E-2</v>
      </c>
      <c r="Y251" s="36">
        <f t="shared" si="484"/>
        <v>0.11</v>
      </c>
      <c r="Z251" s="27">
        <f t="shared" si="484"/>
        <v>-0.03</v>
      </c>
      <c r="AA251" s="36">
        <f t="shared" si="485"/>
        <v>0.36</v>
      </c>
      <c r="AB251" s="36">
        <f t="shared" si="485"/>
        <v>0.25</v>
      </c>
      <c r="AC251" s="36">
        <f t="shared" si="478"/>
        <v>0.13</v>
      </c>
      <c r="AD251" s="36">
        <f t="shared" si="478"/>
        <v>0.14000000000000001</v>
      </c>
      <c r="AE251" s="27">
        <f t="shared" si="479"/>
        <v>0.21</v>
      </c>
      <c r="AF251" s="36">
        <f t="shared" si="479"/>
        <v>0.19</v>
      </c>
      <c r="AG251" s="36">
        <f>AG241+AG231</f>
        <v>0.16999999999999998</v>
      </c>
      <c r="AH251" s="36">
        <v>0.26</v>
      </c>
      <c r="AI251" s="36">
        <f>AI241+AI231</f>
        <v>6.9999999999999993E-2</v>
      </c>
      <c r="AJ251" s="27">
        <f>AJ241+AJ231</f>
        <v>0.17</v>
      </c>
      <c r="AK251" s="36">
        <f t="shared" si="480"/>
        <v>3.9999999999999994E-2</v>
      </c>
      <c r="AL251" s="36">
        <v>0.02</v>
      </c>
      <c r="AM251" s="36">
        <v>-0.05</v>
      </c>
      <c r="AN251" s="36">
        <f t="shared" si="481"/>
        <v>0.1</v>
      </c>
      <c r="AO251" s="27">
        <f>AO241+AO231</f>
        <v>1.999999999999999E-2</v>
      </c>
      <c r="AP251" s="36">
        <f>AP241+AP231</f>
        <v>0.03</v>
      </c>
      <c r="AQ251" s="36">
        <v>0.06</v>
      </c>
      <c r="AR251" s="36">
        <f>AR241+AR231</f>
        <v>-9.999999999999995E-3</v>
      </c>
      <c r="AS251" s="36">
        <v>-0.02</v>
      </c>
      <c r="AT251" s="27">
        <v>0.01</v>
      </c>
      <c r="AU251" s="36">
        <v>-0.12</v>
      </c>
      <c r="AV251" s="36">
        <v>-0.13</v>
      </c>
      <c r="AW251" s="73"/>
      <c r="AX251" s="73"/>
      <c r="AY251" s="676"/>
      <c r="AZ251" s="36"/>
      <c r="BA251" s="36"/>
      <c r="BB251" s="73"/>
      <c r="BC251" s="73"/>
      <c r="BD251" s="676"/>
      <c r="BE251" s="36"/>
      <c r="BF251" s="36"/>
      <c r="BG251" s="73"/>
      <c r="BH251" s="73"/>
      <c r="BI251" s="676"/>
      <c r="BJ251" s="36"/>
      <c r="BK251" s="36"/>
      <c r="BL251" s="73"/>
      <c r="BM251" s="73"/>
      <c r="BN251" s="676"/>
      <c r="BO251" s="36"/>
      <c r="BP251" s="36"/>
      <c r="BQ251" s="73"/>
      <c r="BR251" s="73"/>
      <c r="BS251" s="676"/>
      <c r="BT251" s="36"/>
      <c r="BU251" s="36"/>
      <c r="BV251" s="73"/>
      <c r="BW251" s="73"/>
      <c r="BX251" s="676"/>
      <c r="BY251" s="36"/>
      <c r="BZ251" s="36"/>
      <c r="CA251" s="73"/>
      <c r="CB251" s="73"/>
      <c r="CC251" s="676"/>
      <c r="CD251" s="36"/>
      <c r="CE251" s="36"/>
      <c r="CF251" s="73"/>
      <c r="CG251" s="73"/>
      <c r="CH251" s="676"/>
      <c r="CI251" s="36"/>
      <c r="CJ251" s="36"/>
      <c r="CK251" s="73"/>
      <c r="CL251" s="73"/>
      <c r="CM251" s="676"/>
    </row>
    <row r="252" spans="1:91" hidden="1" x14ac:dyDescent="0.2">
      <c r="A252" s="47" t="s">
        <v>13</v>
      </c>
      <c r="B252" s="38" t="s">
        <v>169</v>
      </c>
      <c r="C252" s="38" t="s">
        <v>169</v>
      </c>
      <c r="D252" s="38" t="s">
        <v>169</v>
      </c>
      <c r="E252" s="38" t="s">
        <v>169</v>
      </c>
      <c r="F252" s="88" t="s">
        <v>169</v>
      </c>
      <c r="G252" s="38" t="s">
        <v>169</v>
      </c>
      <c r="H252" s="38" t="s">
        <v>169</v>
      </c>
      <c r="I252" s="38" t="s">
        <v>169</v>
      </c>
      <c r="J252" s="38" t="s">
        <v>169</v>
      </c>
      <c r="K252" s="88" t="s">
        <v>169</v>
      </c>
      <c r="L252" s="38" t="s">
        <v>169</v>
      </c>
      <c r="M252" s="38" t="s">
        <v>169</v>
      </c>
      <c r="N252" s="38" t="s">
        <v>169</v>
      </c>
      <c r="O252" s="38" t="s">
        <v>169</v>
      </c>
      <c r="P252" s="88" t="s">
        <v>169</v>
      </c>
      <c r="Q252" s="38" t="s">
        <v>169</v>
      </c>
      <c r="R252" s="38" t="s">
        <v>169</v>
      </c>
      <c r="S252" s="38" t="s">
        <v>169</v>
      </c>
      <c r="T252" s="38" t="s">
        <v>169</v>
      </c>
      <c r="U252" s="88" t="s">
        <v>169</v>
      </c>
      <c r="V252" s="36">
        <f t="shared" si="483"/>
        <v>0.32999999999999996</v>
      </c>
      <c r="W252" s="36">
        <f t="shared" si="483"/>
        <v>0</v>
      </c>
      <c r="X252" s="36">
        <f t="shared" si="483"/>
        <v>0.09</v>
      </c>
      <c r="Y252" s="36">
        <f t="shared" si="484"/>
        <v>-0.12000000000000001</v>
      </c>
      <c r="Z252" s="27">
        <f t="shared" si="484"/>
        <v>0.05</v>
      </c>
      <c r="AA252" s="36">
        <f t="shared" si="485"/>
        <v>-0.02</v>
      </c>
      <c r="AB252" s="36">
        <f t="shared" si="485"/>
        <v>9.9999999999999992E-2</v>
      </c>
      <c r="AC252" s="36">
        <f t="shared" si="478"/>
        <v>0.14000000000000001</v>
      </c>
      <c r="AD252" s="36">
        <f t="shared" si="478"/>
        <v>0.27</v>
      </c>
      <c r="AE252" s="27">
        <f t="shared" si="479"/>
        <v>0.12</v>
      </c>
      <c r="AF252" s="36">
        <f t="shared" si="479"/>
        <v>0.3</v>
      </c>
      <c r="AG252" s="36">
        <f t="shared" ref="AG252:AI254" si="486">AG242+AG232</f>
        <v>0.63</v>
      </c>
      <c r="AH252" s="36">
        <f t="shared" si="486"/>
        <v>0.57000000000000006</v>
      </c>
      <c r="AI252" s="36">
        <f t="shared" si="486"/>
        <v>0.25</v>
      </c>
      <c r="AJ252" s="27">
        <v>0.44</v>
      </c>
      <c r="AK252" s="36">
        <f t="shared" si="480"/>
        <v>-0.09</v>
      </c>
      <c r="AL252" s="36">
        <v>-0.01</v>
      </c>
      <c r="AM252" s="36">
        <v>0.02</v>
      </c>
      <c r="AN252" s="36">
        <f>AN242+AN232</f>
        <v>0.11</v>
      </c>
      <c r="AO252" s="27">
        <v>0.01</v>
      </c>
      <c r="AP252" s="36">
        <f>AP242+AP232</f>
        <v>-0.03</v>
      </c>
      <c r="AQ252" s="36">
        <v>-0.01</v>
      </c>
      <c r="AR252" s="36">
        <f>AR242+AR232</f>
        <v>0.03</v>
      </c>
      <c r="AS252" s="36">
        <f>AS242+AS232</f>
        <v>-0.12</v>
      </c>
      <c r="AT252" s="27">
        <f t="shared" si="482"/>
        <v>-0.03</v>
      </c>
      <c r="AU252" s="36">
        <v>-0.08</v>
      </c>
      <c r="AV252" s="36">
        <v>0.02</v>
      </c>
      <c r="AW252" s="73"/>
      <c r="AX252" s="73"/>
      <c r="AY252" s="676"/>
      <c r="AZ252" s="36"/>
      <c r="BA252" s="36"/>
      <c r="BB252" s="73"/>
      <c r="BC252" s="73"/>
      <c r="BD252" s="676"/>
      <c r="BE252" s="36"/>
      <c r="BF252" s="36"/>
      <c r="BG252" s="73"/>
      <c r="BH252" s="73"/>
      <c r="BI252" s="676"/>
      <c r="BJ252" s="36"/>
      <c r="BK252" s="36"/>
      <c r="BL252" s="73"/>
      <c r="BM252" s="73"/>
      <c r="BN252" s="676"/>
      <c r="BO252" s="36"/>
      <c r="BP252" s="36"/>
      <c r="BQ252" s="73"/>
      <c r="BR252" s="73"/>
      <c r="BS252" s="676"/>
      <c r="BT252" s="36"/>
      <c r="BU252" s="36"/>
      <c r="BV252" s="73"/>
      <c r="BW252" s="73"/>
      <c r="BX252" s="676"/>
      <c r="BY252" s="36"/>
      <c r="BZ252" s="36"/>
      <c r="CA252" s="73"/>
      <c r="CB252" s="73"/>
      <c r="CC252" s="676"/>
      <c r="CD252" s="36"/>
      <c r="CE252" s="36"/>
      <c r="CF252" s="73"/>
      <c r="CG252" s="73"/>
      <c r="CH252" s="676"/>
      <c r="CI252" s="36"/>
      <c r="CJ252" s="36"/>
      <c r="CK252" s="73"/>
      <c r="CL252" s="73"/>
      <c r="CM252" s="676"/>
    </row>
    <row r="253" spans="1:91" hidden="1" x14ac:dyDescent="0.2">
      <c r="A253" s="47" t="s">
        <v>184</v>
      </c>
      <c r="B253" s="38" t="s">
        <v>169</v>
      </c>
      <c r="C253" s="38" t="s">
        <v>169</v>
      </c>
      <c r="D253" s="38" t="s">
        <v>169</v>
      </c>
      <c r="E253" s="38" t="s">
        <v>169</v>
      </c>
      <c r="F253" s="88" t="s">
        <v>169</v>
      </c>
      <c r="G253" s="38" t="s">
        <v>169</v>
      </c>
      <c r="H253" s="38" t="s">
        <v>169</v>
      </c>
      <c r="I253" s="38" t="s">
        <v>169</v>
      </c>
      <c r="J253" s="38" t="s">
        <v>169</v>
      </c>
      <c r="K253" s="88" t="s">
        <v>169</v>
      </c>
      <c r="L253" s="38" t="s">
        <v>169</v>
      </c>
      <c r="M253" s="38" t="s">
        <v>169</v>
      </c>
      <c r="N253" s="38" t="s">
        <v>169</v>
      </c>
      <c r="O253" s="38" t="s">
        <v>169</v>
      </c>
      <c r="P253" s="88" t="s">
        <v>169</v>
      </c>
      <c r="Q253" s="38" t="s">
        <v>169</v>
      </c>
      <c r="R253" s="38" t="s">
        <v>169</v>
      </c>
      <c r="S253" s="38" t="s">
        <v>169</v>
      </c>
      <c r="T253" s="38" t="s">
        <v>169</v>
      </c>
      <c r="U253" s="88" t="s">
        <v>169</v>
      </c>
      <c r="V253" s="36">
        <f t="shared" si="483"/>
        <v>0.18</v>
      </c>
      <c r="W253" s="36">
        <f t="shared" si="483"/>
        <v>-0.02</v>
      </c>
      <c r="X253" s="36">
        <f t="shared" si="483"/>
        <v>-0.1</v>
      </c>
      <c r="Y253" s="36">
        <f t="shared" si="484"/>
        <v>0.05</v>
      </c>
      <c r="Z253" s="27">
        <f t="shared" si="484"/>
        <v>0.02</v>
      </c>
      <c r="AA253" s="183">
        <f t="shared" si="485"/>
        <v>0.06</v>
      </c>
      <c r="AB253" s="183">
        <f t="shared" si="485"/>
        <v>2.0000000000000004E-2</v>
      </c>
      <c r="AC253" s="183">
        <f t="shared" si="478"/>
        <v>0.37</v>
      </c>
      <c r="AD253" s="183">
        <f t="shared" si="478"/>
        <v>0.03</v>
      </c>
      <c r="AE253" s="184">
        <f t="shared" si="479"/>
        <v>0.11</v>
      </c>
      <c r="AF253" s="36">
        <f t="shared" si="479"/>
        <v>0.09</v>
      </c>
      <c r="AG253" s="36">
        <f t="shared" si="486"/>
        <v>0.21000000000000002</v>
      </c>
      <c r="AH253" s="36">
        <v>0.03</v>
      </c>
      <c r="AI253" s="36">
        <v>-0.04</v>
      </c>
      <c r="AJ253" s="27">
        <f>AJ243+AJ233</f>
        <v>0.08</v>
      </c>
      <c r="AK253" s="36">
        <f t="shared" si="480"/>
        <v>0.1</v>
      </c>
      <c r="AL253" s="36">
        <f t="shared" si="480"/>
        <v>0.13999999999999999</v>
      </c>
      <c r="AM253" s="36">
        <v>-0.01</v>
      </c>
      <c r="AN253" s="36">
        <v>0.11</v>
      </c>
      <c r="AO253" s="27">
        <f>AO243+AO233</f>
        <v>0.08</v>
      </c>
      <c r="AP253" s="36">
        <v>0.01</v>
      </c>
      <c r="AQ253" s="36">
        <v>-0.03</v>
      </c>
      <c r="AR253" s="36">
        <v>0.05</v>
      </c>
      <c r="AS253" s="36">
        <f>AS243+AS233</f>
        <v>0.11</v>
      </c>
      <c r="AT253" s="27">
        <v>0.02</v>
      </c>
      <c r="AU253" s="36">
        <v>-0.08</v>
      </c>
      <c r="AV253" s="36">
        <v>-0.01</v>
      </c>
      <c r="AW253" s="73"/>
      <c r="AX253" s="73"/>
      <c r="AY253" s="676"/>
      <c r="AZ253" s="36"/>
      <c r="BA253" s="36"/>
      <c r="BB253" s="73"/>
      <c r="BC253" s="73"/>
      <c r="BD253" s="676"/>
      <c r="BE253" s="36"/>
      <c r="BF253" s="36"/>
      <c r="BG253" s="73"/>
      <c r="BH253" s="73"/>
      <c r="BI253" s="676"/>
      <c r="BJ253" s="36"/>
      <c r="BK253" s="36"/>
      <c r="BL253" s="73"/>
      <c r="BM253" s="73"/>
      <c r="BN253" s="676"/>
      <c r="BO253" s="36"/>
      <c r="BP253" s="36"/>
      <c r="BQ253" s="73"/>
      <c r="BR253" s="73"/>
      <c r="BS253" s="676"/>
      <c r="BT253" s="36"/>
      <c r="BU253" s="36"/>
      <c r="BV253" s="73"/>
      <c r="BW253" s="73"/>
      <c r="BX253" s="676"/>
      <c r="BY253" s="36"/>
      <c r="BZ253" s="36"/>
      <c r="CA253" s="73"/>
      <c r="CB253" s="73"/>
      <c r="CC253" s="676"/>
      <c r="CD253" s="36"/>
      <c r="CE253" s="36"/>
      <c r="CF253" s="73"/>
      <c r="CG253" s="73"/>
      <c r="CH253" s="676"/>
      <c r="CI253" s="36"/>
      <c r="CJ253" s="36"/>
      <c r="CK253" s="73"/>
      <c r="CL253" s="73"/>
      <c r="CM253" s="676"/>
    </row>
    <row r="254" spans="1:91" hidden="1" x14ac:dyDescent="0.2">
      <c r="A254" s="47" t="s">
        <v>185</v>
      </c>
      <c r="B254" s="38" t="s">
        <v>169</v>
      </c>
      <c r="C254" s="38" t="s">
        <v>169</v>
      </c>
      <c r="D254" s="38" t="s">
        <v>169</v>
      </c>
      <c r="E254" s="38" t="s">
        <v>169</v>
      </c>
      <c r="F254" s="88" t="s">
        <v>169</v>
      </c>
      <c r="G254" s="38" t="s">
        <v>169</v>
      </c>
      <c r="H254" s="38" t="s">
        <v>169</v>
      </c>
      <c r="I254" s="38" t="s">
        <v>169</v>
      </c>
      <c r="J254" s="38" t="s">
        <v>169</v>
      </c>
      <c r="K254" s="88" t="s">
        <v>169</v>
      </c>
      <c r="L254" s="38" t="s">
        <v>169</v>
      </c>
      <c r="M254" s="38" t="s">
        <v>169</v>
      </c>
      <c r="N254" s="38" t="s">
        <v>169</v>
      </c>
      <c r="O254" s="38" t="s">
        <v>169</v>
      </c>
      <c r="P254" s="88" t="s">
        <v>169</v>
      </c>
      <c r="Q254" s="38" t="s">
        <v>169</v>
      </c>
      <c r="R254" s="38" t="s">
        <v>169</v>
      </c>
      <c r="S254" s="38" t="s">
        <v>169</v>
      </c>
      <c r="T254" s="38" t="s">
        <v>169</v>
      </c>
      <c r="U254" s="88" t="s">
        <v>169</v>
      </c>
      <c r="V254" s="36" t="s">
        <v>169</v>
      </c>
      <c r="W254" s="36">
        <f t="shared" ref="W254:X256" si="487">W244+W234</f>
        <v>-0.1</v>
      </c>
      <c r="X254" s="36">
        <f t="shared" si="487"/>
        <v>0.29000000000000004</v>
      </c>
      <c r="Y254" s="36">
        <f t="shared" si="484"/>
        <v>0.63</v>
      </c>
      <c r="Z254" s="27">
        <f t="shared" si="484"/>
        <v>0.03</v>
      </c>
      <c r="AA254" s="36" t="s">
        <v>169</v>
      </c>
      <c r="AB254" s="36">
        <f>AB244+AB234</f>
        <v>0.21000000000000002</v>
      </c>
      <c r="AC254" s="36">
        <f t="shared" si="478"/>
        <v>0.41000000000000003</v>
      </c>
      <c r="AD254" s="36">
        <f t="shared" si="478"/>
        <v>0.24000000000000002</v>
      </c>
      <c r="AE254" s="27">
        <f t="shared" si="479"/>
        <v>0.48</v>
      </c>
      <c r="AF254" s="36">
        <f t="shared" si="479"/>
        <v>-0.18</v>
      </c>
      <c r="AG254" s="36">
        <f>AG244+AG234</f>
        <v>-0.13999999999999999</v>
      </c>
      <c r="AH254" s="36">
        <f t="shared" si="486"/>
        <v>1.999999999999999E-2</v>
      </c>
      <c r="AI254" s="36">
        <f t="shared" si="486"/>
        <v>0.09</v>
      </c>
      <c r="AJ254" s="27">
        <f>AJ244+AJ234</f>
        <v>-0.05</v>
      </c>
      <c r="AK254" s="36">
        <f t="shared" si="480"/>
        <v>-7.0000000000000007E-2</v>
      </c>
      <c r="AL254" s="36">
        <f>AL244+AL234</f>
        <v>1.0000000000000009E-2</v>
      </c>
      <c r="AM254" s="36">
        <f>AM244+AM234</f>
        <v>-0.34</v>
      </c>
      <c r="AN254" s="36">
        <f>AN244+AN234</f>
        <v>0.13</v>
      </c>
      <c r="AO254" s="27">
        <v>-0.06</v>
      </c>
      <c r="AP254" s="36">
        <f t="shared" ref="AP254:AQ256" si="488">AP244+AP234</f>
        <v>1.28</v>
      </c>
      <c r="AQ254" s="36">
        <f t="shared" si="488"/>
        <v>0.11</v>
      </c>
      <c r="AR254" s="36">
        <f>AR244+AR234</f>
        <v>-9.999999999999995E-3</v>
      </c>
      <c r="AS254" s="36">
        <f>AS244+AS234</f>
        <v>-0.59</v>
      </c>
      <c r="AT254" s="27">
        <f t="shared" si="482"/>
        <v>-0.01</v>
      </c>
      <c r="AU254" s="36">
        <v>-0.78</v>
      </c>
      <c r="AV254" s="36">
        <v>-0.13</v>
      </c>
      <c r="AW254" s="73"/>
      <c r="AX254" s="73"/>
      <c r="AY254" s="676"/>
      <c r="AZ254" s="36"/>
      <c r="BA254" s="36"/>
      <c r="BB254" s="73"/>
      <c r="BC254" s="73"/>
      <c r="BD254" s="676"/>
      <c r="BE254" s="36"/>
      <c r="BF254" s="36"/>
      <c r="BG254" s="73"/>
      <c r="BH254" s="73"/>
      <c r="BI254" s="676"/>
      <c r="BJ254" s="36"/>
      <c r="BK254" s="36"/>
      <c r="BL254" s="73"/>
      <c r="BM254" s="73"/>
      <c r="BN254" s="676"/>
      <c r="BO254" s="36"/>
      <c r="BP254" s="36"/>
      <c r="BQ254" s="73"/>
      <c r="BR254" s="73"/>
      <c r="BS254" s="676"/>
      <c r="BT254" s="36"/>
      <c r="BU254" s="36"/>
      <c r="BV254" s="73"/>
      <c r="BW254" s="73"/>
      <c r="BX254" s="676"/>
      <c r="BY254" s="36"/>
      <c r="BZ254" s="36"/>
      <c r="CA254" s="73"/>
      <c r="CB254" s="73"/>
      <c r="CC254" s="676"/>
      <c r="CD254" s="36"/>
      <c r="CE254" s="36"/>
      <c r="CF254" s="73"/>
      <c r="CG254" s="73"/>
      <c r="CH254" s="676"/>
      <c r="CI254" s="36"/>
      <c r="CJ254" s="36"/>
      <c r="CK254" s="73"/>
      <c r="CL254" s="73"/>
      <c r="CM254" s="676"/>
    </row>
    <row r="255" spans="1:91" hidden="1" x14ac:dyDescent="0.2">
      <c r="A255" s="47" t="s">
        <v>186</v>
      </c>
      <c r="B255" s="38" t="s">
        <v>169</v>
      </c>
      <c r="C255" s="38" t="s">
        <v>169</v>
      </c>
      <c r="D255" s="38" t="s">
        <v>169</v>
      </c>
      <c r="E255" s="38" t="s">
        <v>169</v>
      </c>
      <c r="F255" s="88" t="s">
        <v>169</v>
      </c>
      <c r="G255" s="38" t="s">
        <v>169</v>
      </c>
      <c r="H255" s="38" t="s">
        <v>169</v>
      </c>
      <c r="I255" s="38" t="s">
        <v>169</v>
      </c>
      <c r="J255" s="38" t="s">
        <v>169</v>
      </c>
      <c r="K255" s="88" t="s">
        <v>169</v>
      </c>
      <c r="L255" s="38" t="s">
        <v>169</v>
      </c>
      <c r="M255" s="38" t="s">
        <v>169</v>
      </c>
      <c r="N255" s="38" t="s">
        <v>169</v>
      </c>
      <c r="O255" s="38" t="s">
        <v>169</v>
      </c>
      <c r="P255" s="88" t="s">
        <v>169</v>
      </c>
      <c r="Q255" s="38" t="s">
        <v>169</v>
      </c>
      <c r="R255" s="38" t="s">
        <v>169</v>
      </c>
      <c r="S255" s="38" t="s">
        <v>169</v>
      </c>
      <c r="T255" s="38" t="s">
        <v>169</v>
      </c>
      <c r="U255" s="88" t="s">
        <v>169</v>
      </c>
      <c r="V255" s="36">
        <f>V245+V235</f>
        <v>-0.16</v>
      </c>
      <c r="W255" s="36">
        <f t="shared" si="487"/>
        <v>-6.9999999999999993E-2</v>
      </c>
      <c r="X255" s="36">
        <f t="shared" si="487"/>
        <v>-0.10999999999999999</v>
      </c>
      <c r="Y255" s="36">
        <f t="shared" si="484"/>
        <v>9.9999999999999811E-3</v>
      </c>
      <c r="Z255" s="27">
        <f t="shared" si="484"/>
        <v>-7.0000000000000007E-2</v>
      </c>
      <c r="AA255" s="36">
        <f>AA245+AA235</f>
        <v>0.05</v>
      </c>
      <c r="AB255" s="36">
        <f>AB245+AB235</f>
        <v>0.12000000000000001</v>
      </c>
      <c r="AC255" s="36">
        <f t="shared" si="478"/>
        <v>-0.13</v>
      </c>
      <c r="AD255" s="36">
        <f t="shared" si="478"/>
        <v>-0.01</v>
      </c>
      <c r="AE255" s="27">
        <f t="shared" si="479"/>
        <v>0.01</v>
      </c>
      <c r="AF255" s="36">
        <f t="shared" ref="AF255:AI256" si="489">AF245+AF235</f>
        <v>-0.15000000000000002</v>
      </c>
      <c r="AG255" s="36">
        <v>-0.33</v>
      </c>
      <c r="AH255" s="36">
        <f t="shared" si="489"/>
        <v>-0.13</v>
      </c>
      <c r="AI255" s="36">
        <v>0</v>
      </c>
      <c r="AJ255" s="27">
        <f>AJ245+AJ235</f>
        <v>-0.13</v>
      </c>
      <c r="AK255" s="36">
        <f>AK245+AK235</f>
        <v>6.9999999999999993E-2</v>
      </c>
      <c r="AL255" s="36">
        <f>AL245+AL235</f>
        <v>0.06</v>
      </c>
      <c r="AM255" s="36">
        <v>0.03</v>
      </c>
      <c r="AN255" s="36">
        <f>AN245+AN235</f>
        <v>-0.11</v>
      </c>
      <c r="AO255" s="27">
        <f>AO245+AO235</f>
        <v>0.01</v>
      </c>
      <c r="AP255" s="36">
        <f t="shared" si="488"/>
        <v>-3.0000000000000006E-2</v>
      </c>
      <c r="AQ255" s="36">
        <f t="shared" si="488"/>
        <v>-0.02</v>
      </c>
      <c r="AR255" s="36">
        <v>-0.05</v>
      </c>
      <c r="AS255" s="36">
        <f>AS245+AS235</f>
        <v>0.14000000000000001</v>
      </c>
      <c r="AT255" s="27">
        <v>0.02</v>
      </c>
      <c r="AU255" s="36">
        <v>0.1</v>
      </c>
      <c r="AV255" s="36">
        <v>0</v>
      </c>
      <c r="AW255" s="73"/>
      <c r="AX255" s="73"/>
      <c r="AY255" s="676"/>
      <c r="AZ255" s="36"/>
      <c r="BA255" s="36"/>
      <c r="BB255" s="73"/>
      <c r="BC255" s="73"/>
      <c r="BD255" s="676"/>
      <c r="BE255" s="36"/>
      <c r="BF255" s="36"/>
      <c r="BG255" s="73"/>
      <c r="BH255" s="73"/>
      <c r="BI255" s="676"/>
      <c r="BJ255" s="36"/>
      <c r="BK255" s="36"/>
      <c r="BL255" s="73"/>
      <c r="BM255" s="73"/>
      <c r="BN255" s="676"/>
      <c r="BO255" s="36"/>
      <c r="BP255" s="36"/>
      <c r="BQ255" s="73"/>
      <c r="BR255" s="73"/>
      <c r="BS255" s="676"/>
      <c r="BT255" s="36"/>
      <c r="BU255" s="36"/>
      <c r="BV255" s="73"/>
      <c r="BW255" s="73"/>
      <c r="BX255" s="676"/>
      <c r="BY255" s="36"/>
      <c r="BZ255" s="36"/>
      <c r="CA255" s="73"/>
      <c r="CB255" s="73"/>
      <c r="CC255" s="676"/>
      <c r="CD255" s="36"/>
      <c r="CE255" s="36"/>
      <c r="CF255" s="73"/>
      <c r="CG255" s="73"/>
      <c r="CH255" s="676"/>
      <c r="CI255" s="36"/>
      <c r="CJ255" s="36"/>
      <c r="CK255" s="73"/>
      <c r="CL255" s="73"/>
      <c r="CM255" s="676"/>
    </row>
    <row r="256" spans="1:91" hidden="1" x14ac:dyDescent="0.2">
      <c r="A256" s="71" t="s">
        <v>198</v>
      </c>
      <c r="B256" s="37" t="s">
        <v>169</v>
      </c>
      <c r="C256" s="37" t="s">
        <v>169</v>
      </c>
      <c r="D256" s="37" t="s">
        <v>169</v>
      </c>
      <c r="E256" s="37" t="s">
        <v>169</v>
      </c>
      <c r="F256" s="90" t="s">
        <v>169</v>
      </c>
      <c r="G256" s="37" t="s">
        <v>169</v>
      </c>
      <c r="H256" s="37" t="s">
        <v>169</v>
      </c>
      <c r="I256" s="37" t="s">
        <v>169</v>
      </c>
      <c r="J256" s="37" t="s">
        <v>169</v>
      </c>
      <c r="K256" s="90" t="s">
        <v>169</v>
      </c>
      <c r="L256" s="37" t="s">
        <v>169</v>
      </c>
      <c r="M256" s="37" t="s">
        <v>169</v>
      </c>
      <c r="N256" s="37" t="s">
        <v>169</v>
      </c>
      <c r="O256" s="37" t="s">
        <v>169</v>
      </c>
      <c r="P256" s="90" t="s">
        <v>169</v>
      </c>
      <c r="Q256" s="37" t="s">
        <v>169</v>
      </c>
      <c r="R256" s="37" t="s">
        <v>169</v>
      </c>
      <c r="S256" s="37" t="s">
        <v>169</v>
      </c>
      <c r="T256" s="37" t="s">
        <v>169</v>
      </c>
      <c r="U256" s="90" t="s">
        <v>169</v>
      </c>
      <c r="V256" s="37">
        <f>V246+V236</f>
        <v>0</v>
      </c>
      <c r="W256" s="37">
        <f t="shared" si="487"/>
        <v>-0.1</v>
      </c>
      <c r="X256" s="37">
        <f t="shared" si="487"/>
        <v>-2.0000000000000004E-2</v>
      </c>
      <c r="Y256" s="37">
        <f t="shared" si="484"/>
        <v>0.04</v>
      </c>
      <c r="Z256" s="89">
        <f t="shared" si="484"/>
        <v>-0.03</v>
      </c>
      <c r="AA256" s="120">
        <f>AA246+AA236</f>
        <v>0.16999999999999998</v>
      </c>
      <c r="AB256" s="37">
        <f>AB246+AB236</f>
        <v>0.15</v>
      </c>
      <c r="AC256" s="37">
        <f t="shared" si="478"/>
        <v>0.14000000000000001</v>
      </c>
      <c r="AD256" s="37">
        <f t="shared" si="478"/>
        <v>0.11</v>
      </c>
      <c r="AE256" s="89">
        <f t="shared" si="479"/>
        <v>0.14000000000000001</v>
      </c>
      <c r="AF256" s="120">
        <f t="shared" si="489"/>
        <v>0.1</v>
      </c>
      <c r="AG256" s="37">
        <f t="shared" si="489"/>
        <v>0.18</v>
      </c>
      <c r="AH256" s="37">
        <f t="shared" si="489"/>
        <v>0.21</v>
      </c>
      <c r="AI256" s="37">
        <f t="shared" si="489"/>
        <v>0.11000000000000001</v>
      </c>
      <c r="AJ256" s="89">
        <f>AJ246+AJ236</f>
        <v>0.15</v>
      </c>
      <c r="AK256" s="37">
        <v>0.02</v>
      </c>
      <c r="AL256" s="37">
        <f>AL246+AL236</f>
        <v>2.0000000000000004E-2</v>
      </c>
      <c r="AM256" s="37">
        <f>AM246+AM236</f>
        <v>-6.0000000000000005E-2</v>
      </c>
      <c r="AN256" s="37">
        <v>0.11</v>
      </c>
      <c r="AO256" s="89">
        <v>0.02</v>
      </c>
      <c r="AP256" s="37">
        <f t="shared" si="488"/>
        <v>2.0000000000000004E-2</v>
      </c>
      <c r="AQ256" s="37">
        <f t="shared" si="488"/>
        <v>1.0000000000000002E-2</v>
      </c>
      <c r="AR256" s="37">
        <f>AR246+AR236</f>
        <v>2.0000000000000004E-2</v>
      </c>
      <c r="AS256" s="37">
        <v>-0.04</v>
      </c>
      <c r="AT256" s="89">
        <f t="shared" si="482"/>
        <v>1.9999999999999997E-2</v>
      </c>
      <c r="AU256" s="120">
        <v>-0.06</v>
      </c>
      <c r="AV256" s="37">
        <v>-0.03</v>
      </c>
      <c r="AW256" s="74"/>
      <c r="AX256" s="74"/>
      <c r="AY256" s="678"/>
      <c r="AZ256" s="120"/>
      <c r="BA256" s="37"/>
      <c r="BB256" s="74"/>
      <c r="BC256" s="74"/>
      <c r="BD256" s="678"/>
      <c r="BE256" s="120"/>
      <c r="BF256" s="37"/>
      <c r="BG256" s="74"/>
      <c r="BH256" s="74"/>
      <c r="BI256" s="678"/>
      <c r="BJ256" s="37"/>
      <c r="BK256" s="37"/>
      <c r="BL256" s="74"/>
      <c r="BM256" s="74"/>
      <c r="BN256" s="678"/>
      <c r="BO256" s="120"/>
      <c r="BP256" s="37"/>
      <c r="BQ256" s="74"/>
      <c r="BR256" s="74"/>
      <c r="BS256" s="678"/>
      <c r="BT256" s="120"/>
      <c r="BU256" s="37"/>
      <c r="BV256" s="74"/>
      <c r="BW256" s="74"/>
      <c r="BX256" s="678"/>
      <c r="BY256" s="120"/>
      <c r="BZ256" s="37"/>
      <c r="CA256" s="74"/>
      <c r="CB256" s="74"/>
      <c r="CC256" s="678"/>
      <c r="CD256" s="120"/>
      <c r="CE256" s="37"/>
      <c r="CF256" s="74"/>
      <c r="CG256" s="74"/>
      <c r="CH256" s="678"/>
      <c r="CI256" s="120"/>
      <c r="CJ256" s="37"/>
      <c r="CK256" s="74"/>
      <c r="CL256" s="74"/>
      <c r="CM256" s="678"/>
    </row>
    <row r="257" spans="1:91" x14ac:dyDescent="0.2">
      <c r="A257" s="52"/>
      <c r="B257" s="73"/>
      <c r="C257" s="73"/>
      <c r="D257" s="73"/>
      <c r="E257" s="46"/>
      <c r="F257" s="38"/>
      <c r="G257" s="36"/>
      <c r="H257" s="36"/>
      <c r="I257" s="36"/>
      <c r="J257" s="36"/>
      <c r="K257" s="38"/>
      <c r="L257" s="73"/>
      <c r="M257" s="73"/>
      <c r="N257" s="38"/>
      <c r="O257" s="38"/>
      <c r="P257" s="38"/>
      <c r="Q257" s="38"/>
      <c r="R257" s="38"/>
      <c r="S257" s="73"/>
      <c r="T257" s="73"/>
      <c r="U257" s="73"/>
      <c r="V257" s="128"/>
      <c r="W257" s="128"/>
      <c r="X257" s="128"/>
      <c r="Y257" s="128"/>
      <c r="Z257" s="128"/>
      <c r="AA257" s="128"/>
      <c r="AB257" s="128"/>
      <c r="AC257" s="128"/>
      <c r="AD257" s="128"/>
      <c r="AE257" s="128"/>
      <c r="AF257" s="38"/>
      <c r="AG257" s="73"/>
      <c r="AH257" s="73"/>
      <c r="AI257" s="73"/>
      <c r="AJ257" s="73"/>
      <c r="AK257" s="38"/>
      <c r="AL257" s="73"/>
      <c r="AM257" s="73"/>
      <c r="AN257" s="73"/>
      <c r="AO257" s="73"/>
      <c r="AP257" s="38"/>
      <c r="AQ257" s="73"/>
      <c r="AR257" s="73"/>
      <c r="AS257" s="73"/>
      <c r="AT257" s="73"/>
      <c r="AU257" s="38"/>
      <c r="AV257" s="73"/>
      <c r="AW257" s="73"/>
      <c r="AX257" s="73"/>
      <c r="AY257" s="676"/>
      <c r="AZ257" s="38"/>
      <c r="BA257" s="73"/>
      <c r="BB257" s="73"/>
      <c r="BC257" s="73"/>
      <c r="BD257" s="676"/>
      <c r="BE257" s="38"/>
      <c r="BF257" s="73"/>
      <c r="BG257" s="73"/>
      <c r="BH257" s="73"/>
      <c r="BI257" s="676"/>
      <c r="BJ257" s="38"/>
      <c r="BK257" s="73"/>
      <c r="BL257" s="73"/>
      <c r="BM257" s="73"/>
      <c r="BN257" s="676"/>
      <c r="BO257" s="38"/>
      <c r="BP257" s="73"/>
      <c r="BQ257" s="73"/>
      <c r="BR257" s="73"/>
      <c r="BS257" s="676"/>
      <c r="BT257" s="38"/>
      <c r="BU257" s="73"/>
      <c r="BV257" s="73"/>
      <c r="BW257" s="73"/>
      <c r="BX257" s="676"/>
      <c r="BY257" s="38"/>
      <c r="BZ257" s="73"/>
      <c r="CA257" s="73"/>
      <c r="CB257" s="73"/>
      <c r="CC257" s="676"/>
      <c r="CD257" s="38"/>
      <c r="CE257" s="73"/>
      <c r="CF257" s="73"/>
      <c r="CG257" s="73"/>
      <c r="CH257" s="676"/>
      <c r="CI257" s="38"/>
      <c r="CJ257" s="73"/>
      <c r="CK257" s="73"/>
      <c r="CL257" s="73"/>
      <c r="CM257" s="676"/>
    </row>
    <row r="258" spans="1:91" ht="12.75" hidden="1" customHeight="1" outlineLevel="1" x14ac:dyDescent="0.2">
      <c r="A258" s="52" t="s">
        <v>318</v>
      </c>
      <c r="B258" s="38"/>
      <c r="C258" s="38"/>
      <c r="D258" s="73"/>
      <c r="E258" s="73"/>
      <c r="F258" s="133"/>
      <c r="G258" s="38"/>
      <c r="H258" s="38"/>
      <c r="I258" s="73"/>
      <c r="J258" s="73"/>
      <c r="K258" s="133"/>
      <c r="L258" s="38"/>
      <c r="M258" s="38"/>
      <c r="N258" s="73"/>
      <c r="O258" s="73"/>
      <c r="P258" s="133"/>
      <c r="Q258" s="38"/>
      <c r="R258" s="38"/>
      <c r="S258" s="73"/>
      <c r="T258" s="73"/>
      <c r="U258" s="133"/>
      <c r="V258" s="38"/>
      <c r="W258" s="38"/>
      <c r="X258" s="38"/>
      <c r="Y258" s="38"/>
      <c r="Z258" s="133"/>
      <c r="AA258" s="38"/>
      <c r="AB258" s="38">
        <v>0.02</v>
      </c>
      <c r="AC258" s="38"/>
      <c r="AD258" s="38"/>
      <c r="AE258" s="133"/>
      <c r="AF258" s="38">
        <v>0.02</v>
      </c>
      <c r="AG258" s="38">
        <v>0.06</v>
      </c>
      <c r="AH258" s="38">
        <v>0.06</v>
      </c>
      <c r="AI258" s="38">
        <v>-0.01</v>
      </c>
      <c r="AJ258" s="133">
        <v>0.03</v>
      </c>
      <c r="AK258" s="38">
        <v>-0.02</v>
      </c>
      <c r="AL258" s="38">
        <v>-0.04</v>
      </c>
      <c r="AM258" s="38">
        <v>-0.05</v>
      </c>
      <c r="AN258" s="38">
        <v>-0.02</v>
      </c>
      <c r="AO258" s="133">
        <v>-0.03</v>
      </c>
      <c r="AP258" s="38">
        <v>-0.02</v>
      </c>
      <c r="AQ258" s="38">
        <v>-0.02</v>
      </c>
      <c r="AR258" s="38">
        <v>-0.02</v>
      </c>
      <c r="AS258" s="38">
        <v>-0.03</v>
      </c>
      <c r="AT258" s="133">
        <v>-0.02</v>
      </c>
      <c r="AU258" s="38">
        <v>-0.05</v>
      </c>
      <c r="AV258" s="38">
        <v>-0.03</v>
      </c>
      <c r="AW258" s="38"/>
      <c r="AX258" s="38"/>
      <c r="AY258" s="679"/>
      <c r="AZ258" s="38"/>
      <c r="BA258" s="38"/>
      <c r="BB258" s="38"/>
      <c r="BC258" s="38"/>
      <c r="BD258" s="679"/>
      <c r="BE258" s="38"/>
      <c r="BF258" s="38"/>
      <c r="BG258" s="38"/>
      <c r="BH258" s="38"/>
      <c r="BI258" s="679"/>
      <c r="BJ258" s="38"/>
      <c r="BK258" s="38"/>
      <c r="BL258" s="38"/>
      <c r="BM258" s="38"/>
      <c r="BN258" s="679"/>
      <c r="BO258" s="38"/>
      <c r="BP258" s="38"/>
      <c r="BQ258" s="38"/>
      <c r="BR258" s="38"/>
      <c r="BS258" s="679"/>
      <c r="BT258" s="38"/>
      <c r="BU258" s="38"/>
      <c r="BV258" s="38"/>
      <c r="BW258" s="38"/>
      <c r="BX258" s="679"/>
      <c r="BY258" s="38"/>
      <c r="BZ258" s="38"/>
      <c r="CA258" s="38"/>
      <c r="CB258" s="38"/>
      <c r="CC258" s="133"/>
      <c r="CD258" s="38"/>
      <c r="CE258" s="38"/>
      <c r="CF258" s="38"/>
      <c r="CG258" s="38"/>
      <c r="CH258" s="133"/>
      <c r="CI258" s="38"/>
      <c r="CJ258" s="38"/>
      <c r="CK258" s="38"/>
      <c r="CL258" s="38"/>
      <c r="CM258" s="133"/>
    </row>
    <row r="259" spans="1:91" ht="12.75" hidden="1" customHeight="1" outlineLevel="1" x14ac:dyDescent="0.2">
      <c r="A259" s="52"/>
      <c r="B259" s="38"/>
      <c r="C259" s="38"/>
      <c r="D259" s="73"/>
      <c r="E259" s="73"/>
      <c r="F259" s="88"/>
      <c r="G259" s="38"/>
      <c r="H259" s="38"/>
      <c r="I259" s="73"/>
      <c r="J259" s="73"/>
      <c r="K259" s="88"/>
      <c r="L259" s="38"/>
      <c r="M259" s="38"/>
      <c r="N259" s="73"/>
      <c r="O259" s="73"/>
      <c r="P259" s="88"/>
      <c r="Q259" s="38"/>
      <c r="R259" s="38"/>
      <c r="S259" s="73"/>
      <c r="T259" s="73"/>
      <c r="U259" s="88"/>
      <c r="V259" s="38"/>
      <c r="W259" s="73"/>
      <c r="X259" s="73"/>
      <c r="Y259" s="73"/>
      <c r="Z259" s="88"/>
      <c r="AA259" s="38"/>
      <c r="AB259" s="112"/>
      <c r="AC259" s="112"/>
      <c r="AD259" s="112"/>
      <c r="AE259" s="88"/>
      <c r="AF259" s="38"/>
      <c r="AG259" s="112"/>
      <c r="AH259" s="73"/>
      <c r="AI259" s="73"/>
      <c r="AJ259" s="88"/>
      <c r="AK259" s="38"/>
      <c r="AL259" s="112"/>
      <c r="AM259" s="73"/>
      <c r="AN259" s="73"/>
      <c r="AO259" s="88"/>
      <c r="AP259" s="38"/>
      <c r="AQ259" s="112"/>
      <c r="AR259" s="73"/>
      <c r="AS259" s="73"/>
      <c r="AT259" s="88"/>
      <c r="AU259" s="38"/>
      <c r="AV259" s="112"/>
      <c r="AW259" s="73"/>
      <c r="AX259" s="73"/>
      <c r="AY259" s="676"/>
      <c r="AZ259" s="38"/>
      <c r="BA259" s="112"/>
      <c r="BB259" s="73"/>
      <c r="BC259" s="73"/>
      <c r="BD259" s="676"/>
      <c r="BE259" s="38"/>
      <c r="BF259" s="112"/>
      <c r="BG259" s="73"/>
      <c r="BH259" s="73"/>
      <c r="BI259" s="676"/>
      <c r="BJ259" s="38"/>
      <c r="BK259" s="112"/>
      <c r="BL259" s="73"/>
      <c r="BM259" s="73"/>
      <c r="BN259" s="676"/>
      <c r="BO259" s="38"/>
      <c r="BP259" s="112"/>
      <c r="BQ259" s="73"/>
      <c r="BR259" s="73"/>
      <c r="BS259" s="676"/>
      <c r="BT259" s="38"/>
      <c r="BU259" s="112"/>
      <c r="BV259" s="73"/>
      <c r="BW259" s="73"/>
      <c r="BX259" s="676"/>
      <c r="BY259" s="38"/>
      <c r="BZ259" s="112"/>
      <c r="CA259" s="73"/>
      <c r="CB259" s="73"/>
      <c r="CC259" s="88"/>
      <c r="CD259" s="38"/>
      <c r="CE259" s="112"/>
      <c r="CF259" s="73"/>
      <c r="CG259" s="73"/>
      <c r="CH259" s="88"/>
      <c r="CI259" s="38"/>
      <c r="CJ259" s="112"/>
      <c r="CK259" s="73"/>
      <c r="CL259" s="73"/>
      <c r="CM259" s="88"/>
    </row>
    <row r="260" spans="1:91" s="121" customFormat="1" ht="12.75" hidden="1" customHeight="1" outlineLevel="1" x14ac:dyDescent="0.2">
      <c r="A260" s="188" t="s">
        <v>236</v>
      </c>
      <c r="B260" s="38"/>
      <c r="C260" s="38"/>
      <c r="D260" s="38"/>
      <c r="E260" s="38"/>
      <c r="F260" s="93"/>
      <c r="G260" s="38"/>
      <c r="H260" s="38"/>
      <c r="I260" s="38"/>
      <c r="J260" s="38"/>
      <c r="K260" s="93"/>
      <c r="L260" s="38"/>
      <c r="M260" s="38"/>
      <c r="N260" s="38"/>
      <c r="O260" s="38"/>
      <c r="P260" s="93"/>
      <c r="Q260" s="38"/>
      <c r="R260" s="38"/>
      <c r="S260" s="38"/>
      <c r="T260" s="38"/>
      <c r="U260" s="93"/>
      <c r="V260" s="38"/>
      <c r="W260" s="38"/>
      <c r="X260" s="38"/>
      <c r="Y260" s="38"/>
      <c r="Z260" s="93"/>
      <c r="AA260" s="38"/>
      <c r="AB260" s="38">
        <v>0.06</v>
      </c>
      <c r="AC260" s="38">
        <v>0.03</v>
      </c>
      <c r="AD260" s="38">
        <v>0.36</v>
      </c>
      <c r="AE260" s="93">
        <f>AE236-AE262</f>
        <v>0.14000000000000001</v>
      </c>
      <c r="AF260" s="38">
        <v>0.3</v>
      </c>
      <c r="AG260" s="38">
        <v>0.3</v>
      </c>
      <c r="AH260" s="38">
        <v>0.3</v>
      </c>
      <c r="AI260" s="38">
        <v>0.04</v>
      </c>
      <c r="AJ260" s="93">
        <v>0.23</v>
      </c>
      <c r="AK260" s="38">
        <v>0.04</v>
      </c>
      <c r="AL260" s="38">
        <v>0.06</v>
      </c>
      <c r="AM260" s="38">
        <v>0.05</v>
      </c>
      <c r="AN260" s="38">
        <v>0.06</v>
      </c>
      <c r="AO260" s="93">
        <v>0.05</v>
      </c>
      <c r="AP260" s="38">
        <v>0.02</v>
      </c>
      <c r="AQ260" s="38">
        <v>0.02</v>
      </c>
      <c r="AR260" s="38">
        <v>0.02</v>
      </c>
      <c r="AS260" s="38">
        <v>0.04</v>
      </c>
      <c r="AT260" s="93">
        <v>0.03</v>
      </c>
      <c r="AU260" s="38">
        <v>0.02</v>
      </c>
      <c r="AV260" s="38">
        <v>0.04</v>
      </c>
      <c r="AW260" s="38"/>
      <c r="AX260" s="38"/>
      <c r="AY260" s="680"/>
      <c r="AZ260" s="38"/>
      <c r="BA260" s="38"/>
      <c r="BB260" s="38"/>
      <c r="BC260" s="38"/>
      <c r="BD260" s="680"/>
      <c r="BE260" s="38"/>
      <c r="BF260" s="38"/>
      <c r="BG260" s="38"/>
      <c r="BH260" s="38"/>
      <c r="BI260" s="680"/>
      <c r="BJ260" s="38"/>
      <c r="BK260" s="38"/>
      <c r="BL260" s="38"/>
      <c r="BM260" s="38"/>
      <c r="BN260" s="680"/>
      <c r="BO260" s="38"/>
      <c r="BP260" s="38"/>
      <c r="BQ260" s="38"/>
      <c r="BR260" s="38"/>
      <c r="BS260" s="680"/>
      <c r="BT260" s="38"/>
      <c r="BU260" s="38"/>
      <c r="BV260" s="38"/>
      <c r="BW260" s="38"/>
      <c r="BX260" s="680"/>
      <c r="BY260" s="38"/>
      <c r="BZ260" s="38"/>
      <c r="CA260" s="38"/>
      <c r="CB260" s="38"/>
      <c r="CC260" s="93"/>
      <c r="CD260" s="38"/>
      <c r="CE260" s="38"/>
      <c r="CF260" s="38"/>
      <c r="CG260" s="38"/>
      <c r="CH260" s="93"/>
      <c r="CI260" s="38"/>
      <c r="CJ260" s="38"/>
      <c r="CK260" s="38"/>
      <c r="CL260" s="38"/>
      <c r="CM260" s="93"/>
    </row>
    <row r="261" spans="1:91" ht="12.75" hidden="1" customHeight="1" outlineLevel="1" x14ac:dyDescent="0.2">
      <c r="A261" s="52"/>
      <c r="B261" s="38"/>
      <c r="C261" s="38"/>
      <c r="D261" s="73"/>
      <c r="E261" s="73"/>
      <c r="F261" s="88"/>
      <c r="G261" s="38"/>
      <c r="H261" s="38"/>
      <c r="I261" s="73"/>
      <c r="J261" s="73"/>
      <c r="K261" s="88"/>
      <c r="L261" s="38"/>
      <c r="M261" s="38"/>
      <c r="N261" s="73"/>
      <c r="O261" s="73"/>
      <c r="P261" s="88"/>
      <c r="Q261" s="38"/>
      <c r="R261" s="38"/>
      <c r="S261" s="73"/>
      <c r="T261" s="73"/>
      <c r="U261" s="88"/>
      <c r="V261" s="38"/>
      <c r="W261" s="73"/>
      <c r="X261" s="73"/>
      <c r="Y261" s="73"/>
      <c r="Z261" s="88"/>
      <c r="AA261" s="38"/>
      <c r="AB261" s="112"/>
      <c r="AC261" s="112"/>
      <c r="AD261" s="112"/>
      <c r="AE261" s="88"/>
      <c r="AF261" s="38"/>
      <c r="AG261" s="112"/>
      <c r="AH261" s="73"/>
      <c r="AI261" s="73"/>
      <c r="AJ261" s="88"/>
      <c r="AK261" s="38"/>
      <c r="AL261" s="112"/>
      <c r="AM261" s="73"/>
      <c r="AN261" s="73"/>
      <c r="AO261" s="88"/>
      <c r="AP261" s="38"/>
      <c r="AQ261" s="112"/>
      <c r="AR261" s="73"/>
      <c r="AS261" s="73"/>
      <c r="AT261" s="88"/>
      <c r="AU261" s="38"/>
      <c r="AV261" s="112"/>
      <c r="AW261" s="73"/>
      <c r="AX261" s="73"/>
      <c r="AY261" s="676"/>
      <c r="AZ261" s="38"/>
      <c r="BA261" s="112"/>
      <c r="BB261" s="73"/>
      <c r="BC261" s="73"/>
      <c r="BD261" s="676"/>
      <c r="BE261" s="38"/>
      <c r="BF261" s="112"/>
      <c r="BG261" s="73"/>
      <c r="BH261" s="73"/>
      <c r="BI261" s="676"/>
      <c r="BJ261" s="38"/>
      <c r="BK261" s="112"/>
      <c r="BL261" s="73"/>
      <c r="BM261" s="73"/>
      <c r="BN261" s="676"/>
      <c r="BO261" s="38"/>
      <c r="BP261" s="112"/>
      <c r="BQ261" s="73"/>
      <c r="BR261" s="73"/>
      <c r="BS261" s="676"/>
      <c r="BT261" s="38"/>
      <c r="BU261" s="112"/>
      <c r="BV261" s="73"/>
      <c r="BW261" s="73"/>
      <c r="BX261" s="676"/>
      <c r="BY261" s="38"/>
      <c r="BZ261" s="112"/>
      <c r="CA261" s="73"/>
      <c r="CB261" s="73"/>
      <c r="CC261" s="88"/>
      <c r="CD261" s="38"/>
      <c r="CE261" s="112"/>
      <c r="CF261" s="73"/>
      <c r="CG261" s="73"/>
      <c r="CH261" s="88"/>
      <c r="CI261" s="38"/>
      <c r="CJ261" s="112"/>
      <c r="CK261" s="73"/>
      <c r="CL261" s="73"/>
      <c r="CM261" s="88"/>
    </row>
    <row r="262" spans="1:91" s="121" customFormat="1" ht="12.75" hidden="1" customHeight="1" outlineLevel="1" x14ac:dyDescent="0.2">
      <c r="A262" s="188" t="s">
        <v>237</v>
      </c>
      <c r="B262" s="38"/>
      <c r="C262" s="38"/>
      <c r="D262" s="38"/>
      <c r="E262" s="38"/>
      <c r="F262" s="93"/>
      <c r="G262" s="38"/>
      <c r="H262" s="38"/>
      <c r="I262" s="38"/>
      <c r="J262" s="38"/>
      <c r="K262" s="93"/>
      <c r="L262" s="38"/>
      <c r="M262" s="38"/>
      <c r="N262" s="38"/>
      <c r="O262" s="38"/>
      <c r="P262" s="93"/>
      <c r="Q262" s="38"/>
      <c r="R262" s="38"/>
      <c r="S262" s="38"/>
      <c r="T262" s="38"/>
      <c r="U262" s="93"/>
      <c r="V262" s="38"/>
      <c r="W262" s="38"/>
      <c r="X262" s="38"/>
      <c r="Y262" s="38"/>
      <c r="Z262" s="93"/>
      <c r="AA262" s="38"/>
      <c r="AB262" s="38">
        <f>AB236-AB260</f>
        <v>0.05</v>
      </c>
      <c r="AC262" s="38">
        <f>AC236-AC260</f>
        <v>0.11000000000000001</v>
      </c>
      <c r="AD262" s="38">
        <f>AD236-AD260</f>
        <v>-0.26</v>
      </c>
      <c r="AE262" s="93">
        <v>-0.03</v>
      </c>
      <c r="AF262" s="38">
        <f t="shared" ref="AF262:AS262" si="490">AF236-AF260</f>
        <v>-0.22999999999999998</v>
      </c>
      <c r="AG262" s="38">
        <f t="shared" si="490"/>
        <v>-0.18</v>
      </c>
      <c r="AH262" s="38">
        <f t="shared" si="490"/>
        <v>-0.15</v>
      </c>
      <c r="AI262" s="38">
        <f t="shared" si="490"/>
        <v>0.1</v>
      </c>
      <c r="AJ262" s="93">
        <f t="shared" si="490"/>
        <v>-0.11000000000000001</v>
      </c>
      <c r="AK262" s="38">
        <f t="shared" si="490"/>
        <v>1.0000000000000002E-2</v>
      </c>
      <c r="AL262" s="38">
        <f t="shared" si="490"/>
        <v>1.0000000000000009E-2</v>
      </c>
      <c r="AM262" s="38">
        <f t="shared" si="490"/>
        <v>-0.04</v>
      </c>
      <c r="AN262" s="38">
        <f t="shared" si="490"/>
        <v>8.0000000000000016E-2</v>
      </c>
      <c r="AO262" s="93">
        <f t="shared" si="490"/>
        <v>9.999999999999995E-3</v>
      </c>
      <c r="AP262" s="38">
        <f t="shared" si="490"/>
        <v>3.0000000000000002E-2</v>
      </c>
      <c r="AQ262" s="38">
        <f t="shared" si="490"/>
        <v>0.02</v>
      </c>
      <c r="AR262" s="38">
        <f t="shared" si="490"/>
        <v>0.05</v>
      </c>
      <c r="AS262" s="38">
        <f t="shared" si="490"/>
        <v>1.9999999999999997E-2</v>
      </c>
      <c r="AT262" s="93">
        <f>AT236-AT260</f>
        <v>0.03</v>
      </c>
      <c r="AU262" s="38">
        <f>AU236-AU260</f>
        <v>0.05</v>
      </c>
      <c r="AV262" s="38">
        <f>AV236-AV260</f>
        <v>1.0000000000000002E-2</v>
      </c>
      <c r="AW262" s="38"/>
      <c r="AX262" s="38"/>
      <c r="AY262" s="680"/>
      <c r="AZ262" s="38"/>
      <c r="BA262" s="38"/>
      <c r="BB262" s="38"/>
      <c r="BC262" s="38"/>
      <c r="BD262" s="680"/>
      <c r="BE262" s="38"/>
      <c r="BF262" s="38"/>
      <c r="BG262" s="38"/>
      <c r="BH262" s="38"/>
      <c r="BI262" s="680"/>
      <c r="BJ262" s="38"/>
      <c r="BK262" s="38"/>
      <c r="BL262" s="38"/>
      <c r="BM262" s="38"/>
      <c r="BN262" s="680"/>
      <c r="BO262" s="38"/>
      <c r="BP262" s="38"/>
      <c r="BQ262" s="38"/>
      <c r="BR262" s="38"/>
      <c r="BS262" s="680"/>
      <c r="BT262" s="38"/>
      <c r="BU262" s="38"/>
      <c r="BV262" s="38"/>
      <c r="BW262" s="38"/>
      <c r="BX262" s="680"/>
      <c r="BY262" s="38"/>
      <c r="BZ262" s="38"/>
      <c r="CA262" s="38"/>
      <c r="CB262" s="38"/>
      <c r="CC262" s="93"/>
      <c r="CD262" s="38"/>
      <c r="CE262" s="38"/>
      <c r="CF262" s="38"/>
      <c r="CG262" s="38"/>
      <c r="CH262" s="93"/>
      <c r="CI262" s="38"/>
      <c r="CJ262" s="38"/>
      <c r="CK262" s="38"/>
      <c r="CL262" s="38"/>
      <c r="CM262" s="93"/>
    </row>
    <row r="263" spans="1:91" ht="12.75" hidden="1" customHeight="1" outlineLevel="1" x14ac:dyDescent="0.2">
      <c r="A263" s="52"/>
      <c r="B263" s="38"/>
      <c r="C263" s="38"/>
      <c r="D263" s="73"/>
      <c r="E263" s="73"/>
      <c r="F263" s="88"/>
      <c r="G263" s="38"/>
      <c r="H263" s="38"/>
      <c r="I263" s="73"/>
      <c r="J263" s="73"/>
      <c r="K263" s="88"/>
      <c r="L263" s="38"/>
      <c r="M263" s="38"/>
      <c r="N263" s="73"/>
      <c r="O263" s="73"/>
      <c r="P263" s="88"/>
      <c r="Q263" s="38"/>
      <c r="R263" s="38"/>
      <c r="S263" s="73"/>
      <c r="T263" s="73"/>
      <c r="U263" s="88"/>
      <c r="V263" s="38"/>
      <c r="W263" s="73"/>
      <c r="X263" s="73"/>
      <c r="Y263" s="73"/>
      <c r="Z263" s="88"/>
      <c r="AA263" s="38"/>
      <c r="AB263" s="73"/>
      <c r="AC263" s="73"/>
      <c r="AD263" s="73"/>
      <c r="AE263" s="88"/>
      <c r="AF263" s="38"/>
      <c r="AG263" s="73"/>
      <c r="AH263" s="73"/>
      <c r="AI263" s="73"/>
      <c r="AJ263" s="88"/>
      <c r="AK263" s="38"/>
      <c r="AL263" s="73"/>
      <c r="AM263" s="73"/>
      <c r="AN263" s="73"/>
      <c r="AO263" s="88"/>
      <c r="AP263" s="38"/>
      <c r="AQ263" s="73"/>
      <c r="AR263" s="73"/>
      <c r="AS263" s="73"/>
      <c r="AT263" s="88"/>
      <c r="AU263" s="38"/>
      <c r="AV263" s="73"/>
      <c r="AW263" s="73"/>
      <c r="AX263" s="73"/>
      <c r="AY263" s="676"/>
      <c r="AZ263" s="38"/>
      <c r="BA263" s="73"/>
      <c r="BB263" s="73"/>
      <c r="BC263" s="73"/>
      <c r="BD263" s="676"/>
      <c r="BE263" s="38"/>
      <c r="BF263" s="73"/>
      <c r="BG263" s="73"/>
      <c r="BH263" s="73"/>
      <c r="BI263" s="676"/>
      <c r="BJ263" s="38"/>
      <c r="BK263" s="73"/>
      <c r="BL263" s="73"/>
      <c r="BM263" s="73"/>
      <c r="BN263" s="676"/>
      <c r="BO263" s="38"/>
      <c r="BP263" s="73"/>
      <c r="BQ263" s="73"/>
      <c r="BR263" s="73"/>
      <c r="BS263" s="676"/>
      <c r="BT263" s="38"/>
      <c r="BU263" s="73"/>
      <c r="BV263" s="73"/>
      <c r="BW263" s="73"/>
      <c r="BX263" s="676"/>
      <c r="BY263" s="38"/>
      <c r="BZ263" s="73"/>
      <c r="CA263" s="73"/>
      <c r="CB263" s="73"/>
      <c r="CC263" s="88"/>
      <c r="CD263" s="38"/>
      <c r="CE263" s="73"/>
      <c r="CF263" s="73"/>
      <c r="CG263" s="73"/>
      <c r="CH263" s="88"/>
      <c r="CI263" s="38"/>
      <c r="CJ263" s="73"/>
      <c r="CK263" s="73"/>
      <c r="CL263" s="73"/>
      <c r="CM263" s="88"/>
    </row>
    <row r="264" spans="1:91" ht="12.75" hidden="1" customHeight="1" outlineLevel="1" x14ac:dyDescent="0.2">
      <c r="A264" s="52" t="s">
        <v>271</v>
      </c>
      <c r="B264" s="38"/>
      <c r="C264" s="38"/>
      <c r="D264" s="73"/>
      <c r="E264" s="73"/>
      <c r="F264" s="88"/>
      <c r="G264" s="38"/>
      <c r="H264" s="38"/>
      <c r="I264" s="73"/>
      <c r="J264" s="73"/>
      <c r="K264" s="88"/>
      <c r="L264" s="38"/>
      <c r="M264" s="38"/>
      <c r="N264" s="73"/>
      <c r="O264" s="73"/>
      <c r="P264" s="88"/>
      <c r="Q264" s="38"/>
      <c r="R264" s="38"/>
      <c r="S264" s="73"/>
      <c r="T264" s="73"/>
      <c r="U264" s="88"/>
      <c r="V264" s="38"/>
      <c r="W264" s="73"/>
      <c r="X264" s="73"/>
      <c r="Y264" s="73"/>
      <c r="Z264" s="88"/>
      <c r="AA264" s="38"/>
      <c r="AB264" s="73"/>
      <c r="AC264" s="73"/>
      <c r="AD264" s="73"/>
      <c r="AE264" s="88"/>
      <c r="AF264" s="38"/>
      <c r="AG264" s="73"/>
      <c r="AH264" s="73"/>
      <c r="AI264" s="73"/>
      <c r="AJ264" s="88"/>
      <c r="AK264" s="38"/>
      <c r="AL264" s="73"/>
      <c r="AM264" s="73"/>
      <c r="AN264" s="73"/>
      <c r="AO264" s="88"/>
      <c r="AP264" s="38"/>
      <c r="AQ264" s="73"/>
      <c r="AR264" s="73"/>
      <c r="AS264" s="73"/>
      <c r="AT264" s="88"/>
      <c r="AU264" s="38"/>
      <c r="AV264" s="73"/>
      <c r="AW264" s="73"/>
      <c r="AX264" s="73"/>
      <c r="AY264" s="676"/>
      <c r="AZ264" s="38"/>
      <c r="BA264" s="73"/>
      <c r="BB264" s="73"/>
      <c r="BC264" s="73"/>
      <c r="BD264" s="676"/>
      <c r="BE264" s="38"/>
      <c r="BF264" s="73"/>
      <c r="BG264" s="73"/>
      <c r="BH264" s="73"/>
      <c r="BI264" s="676"/>
      <c r="BJ264" s="38"/>
      <c r="BK264" s="73"/>
      <c r="BL264" s="73"/>
      <c r="BM264" s="73"/>
      <c r="BN264" s="676"/>
      <c r="BO264" s="38"/>
      <c r="BP264" s="73"/>
      <c r="BQ264" s="73"/>
      <c r="BR264" s="73"/>
      <c r="BS264" s="676"/>
      <c r="BT264" s="38"/>
      <c r="BU264" s="73"/>
      <c r="BV264" s="73"/>
      <c r="BW264" s="73"/>
      <c r="BX264" s="676"/>
      <c r="BY264" s="38"/>
      <c r="BZ264" s="73"/>
      <c r="CA264" s="73"/>
      <c r="CB264" s="73"/>
      <c r="CC264" s="88"/>
      <c r="CD264" s="38"/>
      <c r="CE264" s="73"/>
      <c r="CF264" s="73"/>
      <c r="CG264" s="73"/>
      <c r="CH264" s="88"/>
      <c r="CI264" s="38"/>
      <c r="CJ264" s="73"/>
      <c r="CK264" s="73"/>
      <c r="CL264" s="73"/>
      <c r="CM264" s="88"/>
    </row>
    <row r="265" spans="1:91" ht="12.75" hidden="1" customHeight="1" outlineLevel="1" x14ac:dyDescent="0.2">
      <c r="A265" s="47" t="s">
        <v>249</v>
      </c>
      <c r="B265" s="55"/>
      <c r="C265" s="55"/>
      <c r="D265" s="50"/>
      <c r="E265" s="50"/>
      <c r="F265" s="67"/>
      <c r="G265" s="55"/>
      <c r="H265" s="55"/>
      <c r="I265" s="50"/>
      <c r="J265" s="50"/>
      <c r="K265" s="67"/>
      <c r="L265" s="55"/>
      <c r="M265" s="55"/>
      <c r="N265" s="50"/>
      <c r="O265" s="50"/>
      <c r="P265" s="67"/>
      <c r="Q265" s="55"/>
      <c r="R265" s="55"/>
      <c r="S265" s="50"/>
      <c r="T265" s="50"/>
      <c r="U265" s="67"/>
      <c r="V265" s="50"/>
      <c r="W265" s="50"/>
      <c r="X265" s="50"/>
      <c r="Y265" s="50"/>
      <c r="Z265" s="67"/>
      <c r="AA265" s="50"/>
      <c r="AB265" s="50"/>
      <c r="AC265" s="50"/>
      <c r="AD265" s="50"/>
      <c r="AE265" s="67"/>
      <c r="AF265" s="50"/>
      <c r="AG265" s="50"/>
      <c r="AH265" s="50"/>
      <c r="AI265" s="50"/>
      <c r="AJ265" s="67"/>
      <c r="AK265" s="50"/>
      <c r="AL265" s="50"/>
      <c r="AM265" s="50"/>
      <c r="AN265" s="50"/>
      <c r="AO265" s="67"/>
      <c r="AP265" s="50"/>
      <c r="AQ265" s="50"/>
      <c r="AR265" s="50"/>
      <c r="AS265" s="50"/>
      <c r="AT265" s="67"/>
      <c r="AU265" s="50"/>
      <c r="AV265" s="50"/>
      <c r="AW265" s="50"/>
      <c r="AX265" s="50"/>
      <c r="AY265" s="681"/>
      <c r="AZ265" s="50"/>
      <c r="BA265" s="50"/>
      <c r="BB265" s="50"/>
      <c r="BC265" s="50"/>
      <c r="BD265" s="681"/>
      <c r="BE265" s="50"/>
      <c r="BF265" s="50"/>
      <c r="BG265" s="50"/>
      <c r="BH265" s="50"/>
      <c r="BI265" s="681"/>
      <c r="BJ265" s="50"/>
      <c r="BK265" s="50"/>
      <c r="BL265" s="50"/>
      <c r="BM265" s="50"/>
      <c r="BN265" s="681"/>
      <c r="BO265" s="50"/>
      <c r="BP265" s="50"/>
      <c r="BQ265" s="50"/>
      <c r="BR265" s="50"/>
      <c r="BS265" s="681"/>
      <c r="BT265" s="50"/>
      <c r="BU265" s="50"/>
      <c r="BV265" s="50"/>
      <c r="BW265" s="50"/>
      <c r="BX265" s="681"/>
      <c r="BY265" s="50"/>
      <c r="BZ265" s="50"/>
      <c r="CA265" s="50"/>
      <c r="CB265" s="50"/>
      <c r="CC265" s="67"/>
      <c r="CD265" s="50"/>
      <c r="CE265" s="50"/>
      <c r="CF265" s="50"/>
      <c r="CG265" s="50"/>
      <c r="CH265" s="67"/>
      <c r="CI265" s="50"/>
      <c r="CJ265" s="50"/>
      <c r="CK265" s="50"/>
      <c r="CL265" s="50"/>
      <c r="CM265" s="67"/>
    </row>
    <row r="266" spans="1:91" ht="12.75" hidden="1" customHeight="1" outlineLevel="1" x14ac:dyDescent="0.2">
      <c r="A266" s="45" t="s">
        <v>272</v>
      </c>
      <c r="B266" s="55"/>
      <c r="C266" s="55"/>
      <c r="D266" s="50"/>
      <c r="E266" s="50"/>
      <c r="F266" s="65"/>
      <c r="G266" s="55"/>
      <c r="H266" s="55"/>
      <c r="I266" s="50"/>
      <c r="J266" s="50"/>
      <c r="K266" s="65"/>
      <c r="L266" s="55"/>
      <c r="M266" s="55"/>
      <c r="N266" s="50"/>
      <c r="O266" s="50"/>
      <c r="P266" s="65">
        <v>7556</v>
      </c>
      <c r="Q266" s="55"/>
      <c r="R266" s="55"/>
      <c r="S266" s="50"/>
      <c r="T266" s="50"/>
      <c r="U266" s="65">
        <v>8014</v>
      </c>
      <c r="V266" s="50"/>
      <c r="W266" s="50"/>
      <c r="X266" s="50"/>
      <c r="Y266" s="50"/>
      <c r="Z266" s="65">
        <v>8011</v>
      </c>
      <c r="AA266" s="50"/>
      <c r="AB266" s="50"/>
      <c r="AC266" s="50"/>
      <c r="AD266" s="50"/>
      <c r="AE266" s="65">
        <v>10629</v>
      </c>
      <c r="AF266" s="50"/>
      <c r="AG266" s="50"/>
      <c r="AH266" s="50"/>
      <c r="AI266" s="50"/>
      <c r="AJ266" s="67"/>
      <c r="AK266" s="50"/>
      <c r="AL266" s="50"/>
      <c r="AM266" s="50"/>
      <c r="AN266" s="50"/>
      <c r="AO266" s="67"/>
      <c r="AP266" s="50"/>
      <c r="AQ266" s="50"/>
      <c r="AR266" s="50"/>
      <c r="AS266" s="50"/>
      <c r="AT266" s="67"/>
      <c r="AU266" s="50"/>
      <c r="AV266" s="50"/>
      <c r="AW266" s="50"/>
      <c r="AX266" s="50"/>
      <c r="AY266" s="681"/>
      <c r="AZ266" s="50"/>
      <c r="BA266" s="50"/>
      <c r="BB266" s="50"/>
      <c r="BC266" s="50"/>
      <c r="BD266" s="681"/>
      <c r="BE266" s="50"/>
      <c r="BF266" s="50"/>
      <c r="BG266" s="50"/>
      <c r="BH266" s="50"/>
      <c r="BI266" s="681"/>
      <c r="BJ266" s="50"/>
      <c r="BK266" s="50"/>
      <c r="BL266" s="50"/>
      <c r="BM266" s="50"/>
      <c r="BN266" s="681"/>
      <c r="BO266" s="50"/>
      <c r="BP266" s="50"/>
      <c r="BQ266" s="50"/>
      <c r="BR266" s="50"/>
      <c r="BS266" s="681"/>
      <c r="BT266" s="50"/>
      <c r="BU266" s="50"/>
      <c r="BV266" s="50"/>
      <c r="BW266" s="50"/>
      <c r="BX266" s="681"/>
      <c r="BY266" s="50"/>
      <c r="BZ266" s="50"/>
      <c r="CA266" s="50"/>
      <c r="CB266" s="50"/>
      <c r="CC266" s="67"/>
      <c r="CD266" s="50"/>
      <c r="CE266" s="50"/>
      <c r="CF266" s="50"/>
      <c r="CG266" s="50"/>
      <c r="CH266" s="67"/>
      <c r="CI266" s="50"/>
      <c r="CJ266" s="50"/>
      <c r="CK266" s="50"/>
      <c r="CL266" s="50"/>
      <c r="CM266" s="67"/>
    </row>
    <row r="267" spans="1:91" ht="12.75" hidden="1" customHeight="1" outlineLevel="1" x14ac:dyDescent="0.2">
      <c r="A267" s="45" t="s">
        <v>273</v>
      </c>
      <c r="B267" s="55"/>
      <c r="C267" s="55"/>
      <c r="D267" s="50"/>
      <c r="E267" s="50"/>
      <c r="F267" s="77"/>
      <c r="G267" s="55"/>
      <c r="H267" s="55"/>
      <c r="I267" s="50"/>
      <c r="J267" s="50"/>
      <c r="K267" s="77"/>
      <c r="L267" s="55"/>
      <c r="M267" s="55"/>
      <c r="N267" s="50"/>
      <c r="O267" s="50"/>
      <c r="P267" s="77">
        <v>21301</v>
      </c>
      <c r="Q267" s="55"/>
      <c r="R267" s="55"/>
      <c r="S267" s="50"/>
      <c r="T267" s="50"/>
      <c r="U267" s="77">
        <v>23930</v>
      </c>
      <c r="V267" s="50"/>
      <c r="W267" s="50"/>
      <c r="X267" s="50"/>
      <c r="Y267" s="50"/>
      <c r="Z267" s="77">
        <v>22979</v>
      </c>
      <c r="AA267" s="50"/>
      <c r="AB267" s="50"/>
      <c r="AC267" s="50"/>
      <c r="AD267" s="50"/>
      <c r="AE267" s="77">
        <v>24490</v>
      </c>
      <c r="AF267" s="50"/>
      <c r="AG267" s="50"/>
      <c r="AH267" s="50"/>
      <c r="AI267" s="50"/>
      <c r="AJ267" s="67"/>
      <c r="AK267" s="50"/>
      <c r="AL267" s="50"/>
      <c r="AM267" s="50"/>
      <c r="AN267" s="50"/>
      <c r="AO267" s="67"/>
      <c r="AP267" s="50"/>
      <c r="AQ267" s="50"/>
      <c r="AR267" s="50"/>
      <c r="AS267" s="50"/>
      <c r="AT267" s="67"/>
      <c r="AU267" s="50"/>
      <c r="AV267" s="50"/>
      <c r="AW267" s="50"/>
      <c r="AX267" s="50"/>
      <c r="AY267" s="681"/>
      <c r="AZ267" s="50"/>
      <c r="BA267" s="50"/>
      <c r="BB267" s="50"/>
      <c r="BC267" s="50"/>
      <c r="BD267" s="681"/>
      <c r="BE267" s="50"/>
      <c r="BF267" s="50"/>
      <c r="BG267" s="50"/>
      <c r="BH267" s="50"/>
      <c r="BI267" s="681"/>
      <c r="BJ267" s="50"/>
      <c r="BK267" s="50"/>
      <c r="BL267" s="50"/>
      <c r="BM267" s="50"/>
      <c r="BN267" s="681"/>
      <c r="BO267" s="50"/>
      <c r="BP267" s="50"/>
      <c r="BQ267" s="50"/>
      <c r="BR267" s="50"/>
      <c r="BS267" s="681"/>
      <c r="BT267" s="50"/>
      <c r="BU267" s="50"/>
      <c r="BV267" s="50"/>
      <c r="BW267" s="50"/>
      <c r="BX267" s="681"/>
      <c r="BY267" s="50"/>
      <c r="BZ267" s="50"/>
      <c r="CA267" s="50"/>
      <c r="CB267" s="50"/>
      <c r="CC267" s="67"/>
      <c r="CD267" s="50"/>
      <c r="CE267" s="50"/>
      <c r="CF267" s="50"/>
      <c r="CG267" s="50"/>
      <c r="CH267" s="67"/>
      <c r="CI267" s="50"/>
      <c r="CJ267" s="50"/>
      <c r="CK267" s="50"/>
      <c r="CL267" s="50"/>
      <c r="CM267" s="67"/>
    </row>
    <row r="268" spans="1:91" ht="12.75" hidden="1" customHeight="1" outlineLevel="1" x14ac:dyDescent="0.2">
      <c r="A268" s="45" t="s">
        <v>274</v>
      </c>
      <c r="B268" s="55"/>
      <c r="C268" s="55"/>
      <c r="D268" s="50"/>
      <c r="E268" s="50"/>
      <c r="F268" s="65"/>
      <c r="G268" s="55"/>
      <c r="H268" s="55"/>
      <c r="I268" s="50"/>
      <c r="J268" s="50"/>
      <c r="K268" s="65"/>
      <c r="L268" s="55"/>
      <c r="M268" s="55"/>
      <c r="N268" s="50"/>
      <c r="O268" s="50"/>
      <c r="P268" s="65">
        <f>SUM(P266:P267)</f>
        <v>28857</v>
      </c>
      <c r="Q268" s="55"/>
      <c r="R268" s="55"/>
      <c r="S268" s="50"/>
      <c r="T268" s="50"/>
      <c r="U268" s="65">
        <f>SUM(U266:U267)</f>
        <v>31944</v>
      </c>
      <c r="V268" s="50"/>
      <c r="W268" s="50"/>
      <c r="X268" s="50"/>
      <c r="Y268" s="50"/>
      <c r="Z268" s="65">
        <f>SUM(Z266:Z267)</f>
        <v>30990</v>
      </c>
      <c r="AA268" s="50"/>
      <c r="AB268" s="50"/>
      <c r="AC268" s="50"/>
      <c r="AD268" s="50"/>
      <c r="AE268" s="65">
        <f>SUM(AE266:AE267)</f>
        <v>35119</v>
      </c>
      <c r="AF268" s="50"/>
      <c r="AG268" s="50"/>
      <c r="AH268" s="50"/>
      <c r="AI268" s="50"/>
      <c r="AJ268" s="67"/>
      <c r="AK268" s="50"/>
      <c r="AL268" s="50"/>
      <c r="AM268" s="50"/>
      <c r="AN268" s="50"/>
      <c r="AO268" s="67"/>
      <c r="AP268" s="50"/>
      <c r="AQ268" s="50"/>
      <c r="AR268" s="50"/>
      <c r="AS268" s="50"/>
      <c r="AT268" s="67"/>
      <c r="AU268" s="50"/>
      <c r="AV268" s="50"/>
      <c r="AW268" s="50"/>
      <c r="AX268" s="50"/>
      <c r="AY268" s="681"/>
      <c r="AZ268" s="50"/>
      <c r="BA268" s="50"/>
      <c r="BB268" s="50"/>
      <c r="BC268" s="50"/>
      <c r="BD268" s="681"/>
      <c r="BE268" s="50"/>
      <c r="BF268" s="50"/>
      <c r="BG268" s="50"/>
      <c r="BH268" s="50"/>
      <c r="BI268" s="681"/>
      <c r="BJ268" s="50"/>
      <c r="BK268" s="50"/>
      <c r="BL268" s="50"/>
      <c r="BM268" s="50"/>
      <c r="BN268" s="681"/>
      <c r="BO268" s="50"/>
      <c r="BP268" s="50"/>
      <c r="BQ268" s="50"/>
      <c r="BR268" s="50"/>
      <c r="BS268" s="681"/>
      <c r="BT268" s="50"/>
      <c r="BU268" s="50"/>
      <c r="BV268" s="50"/>
      <c r="BW268" s="50"/>
      <c r="BX268" s="681"/>
      <c r="BY268" s="50"/>
      <c r="BZ268" s="50"/>
      <c r="CA268" s="50"/>
      <c r="CB268" s="50"/>
      <c r="CC268" s="67"/>
      <c r="CD268" s="50"/>
      <c r="CE268" s="50"/>
      <c r="CF268" s="50"/>
      <c r="CG268" s="50"/>
      <c r="CH268" s="67"/>
      <c r="CI268" s="50"/>
      <c r="CJ268" s="50"/>
      <c r="CK268" s="50"/>
      <c r="CL268" s="50"/>
      <c r="CM268" s="67"/>
    </row>
    <row r="269" spans="1:91" ht="12.75" hidden="1" customHeight="1" outlineLevel="1" x14ac:dyDescent="0.2">
      <c r="A269" s="45"/>
      <c r="B269" s="55"/>
      <c r="C269" s="55"/>
      <c r="D269" s="50"/>
      <c r="E269" s="50"/>
      <c r="F269" s="67"/>
      <c r="G269" s="55"/>
      <c r="H269" s="55"/>
      <c r="I269" s="50"/>
      <c r="J269" s="50"/>
      <c r="K269" s="67"/>
      <c r="L269" s="55"/>
      <c r="M269" s="55"/>
      <c r="N269" s="50"/>
      <c r="O269" s="50"/>
      <c r="P269" s="67"/>
      <c r="Q269" s="55"/>
      <c r="R269" s="55"/>
      <c r="S269" s="50"/>
      <c r="T269" s="50"/>
      <c r="U269" s="67"/>
      <c r="V269" s="50"/>
      <c r="W269" s="50"/>
      <c r="X269" s="50"/>
      <c r="Y269" s="50"/>
      <c r="Z269" s="67"/>
      <c r="AA269" s="50"/>
      <c r="AB269" s="50"/>
      <c r="AC269" s="50"/>
      <c r="AD269" s="50"/>
      <c r="AE269" s="67"/>
      <c r="AF269" s="50"/>
      <c r="AG269" s="50"/>
      <c r="AH269" s="50"/>
      <c r="AI269" s="50"/>
      <c r="AJ269" s="67"/>
      <c r="AK269" s="50"/>
      <c r="AL269" s="50"/>
      <c r="AM269" s="50"/>
      <c r="AN269" s="50"/>
      <c r="AO269" s="67"/>
      <c r="AP269" s="50"/>
      <c r="AQ269" s="50"/>
      <c r="AR269" s="50"/>
      <c r="AS269" s="50"/>
      <c r="AT269" s="67"/>
      <c r="AU269" s="50"/>
      <c r="AV269" s="50"/>
      <c r="AW269" s="50"/>
      <c r="AX269" s="50"/>
      <c r="AY269" s="681"/>
      <c r="AZ269" s="50"/>
      <c r="BA269" s="50"/>
      <c r="BB269" s="50"/>
      <c r="BC269" s="50"/>
      <c r="BD269" s="681"/>
      <c r="BE269" s="50"/>
      <c r="BF269" s="50"/>
      <c r="BG269" s="50"/>
      <c r="BH269" s="50"/>
      <c r="BI269" s="681"/>
      <c r="BJ269" s="50"/>
      <c r="BK269" s="50"/>
      <c r="BL269" s="50"/>
      <c r="BM269" s="50"/>
      <c r="BN269" s="681"/>
      <c r="BO269" s="50"/>
      <c r="BP269" s="50"/>
      <c r="BQ269" s="50"/>
      <c r="BR269" s="50"/>
      <c r="BS269" s="681"/>
      <c r="BT269" s="50"/>
      <c r="BU269" s="50"/>
      <c r="BV269" s="50"/>
      <c r="BW269" s="50"/>
      <c r="BX269" s="681"/>
      <c r="BY269" s="50"/>
      <c r="BZ269" s="50"/>
      <c r="CA269" s="50"/>
      <c r="CB269" s="50"/>
      <c r="CC269" s="67"/>
      <c r="CD269" s="50"/>
      <c r="CE269" s="50"/>
      <c r="CF269" s="50"/>
      <c r="CG269" s="50"/>
      <c r="CH269" s="67"/>
      <c r="CI269" s="50"/>
      <c r="CJ269" s="50"/>
      <c r="CK269" s="50"/>
      <c r="CL269" s="50"/>
      <c r="CM269" s="67"/>
    </row>
    <row r="270" spans="1:91" ht="12.75" hidden="1" customHeight="1" outlineLevel="1" x14ac:dyDescent="0.2">
      <c r="A270" s="58" t="s">
        <v>275</v>
      </c>
      <c r="B270" s="55"/>
      <c r="C270" s="55"/>
      <c r="D270" s="50"/>
      <c r="E270" s="50"/>
      <c r="F270" s="67"/>
      <c r="G270" s="55"/>
      <c r="H270" s="55"/>
      <c r="I270" s="50"/>
      <c r="J270" s="50"/>
      <c r="K270" s="67"/>
      <c r="L270" s="55"/>
      <c r="M270" s="55"/>
      <c r="N270" s="50"/>
      <c r="O270" s="50"/>
      <c r="P270" s="67"/>
      <c r="Q270" s="55"/>
      <c r="R270" s="55"/>
      <c r="S270" s="50"/>
      <c r="T270" s="50"/>
      <c r="U270" s="67"/>
      <c r="V270" s="50"/>
      <c r="W270" s="50"/>
      <c r="X270" s="50"/>
      <c r="Y270" s="50"/>
      <c r="Z270" s="67"/>
      <c r="AA270" s="50"/>
      <c r="AB270" s="50"/>
      <c r="AC270" s="50"/>
      <c r="AD270" s="50"/>
      <c r="AE270" s="67"/>
      <c r="AF270" s="50"/>
      <c r="AG270" s="50"/>
      <c r="AH270" s="50"/>
      <c r="AI270" s="50"/>
      <c r="AJ270" s="67"/>
      <c r="AK270" s="50"/>
      <c r="AL270" s="50"/>
      <c r="AM270" s="50"/>
      <c r="AN270" s="50"/>
      <c r="AO270" s="67"/>
      <c r="AP270" s="50"/>
      <c r="AQ270" s="50"/>
      <c r="AR270" s="50"/>
      <c r="AS270" s="50"/>
      <c r="AT270" s="67"/>
      <c r="AU270" s="50"/>
      <c r="AV270" s="50"/>
      <c r="AW270" s="50"/>
      <c r="AX270" s="50"/>
      <c r="AY270" s="681"/>
      <c r="AZ270" s="50"/>
      <c r="BA270" s="50"/>
      <c r="BB270" s="50"/>
      <c r="BC270" s="50"/>
      <c r="BD270" s="681"/>
      <c r="BE270" s="50"/>
      <c r="BF270" s="50"/>
      <c r="BG270" s="50"/>
      <c r="BH270" s="50"/>
      <c r="BI270" s="681"/>
      <c r="BJ270" s="50"/>
      <c r="BK270" s="50"/>
      <c r="BL270" s="50"/>
      <c r="BM270" s="50"/>
      <c r="BN270" s="681"/>
      <c r="BO270" s="50"/>
      <c r="BP270" s="50"/>
      <c r="BQ270" s="50"/>
      <c r="BR270" s="50"/>
      <c r="BS270" s="681"/>
      <c r="BT270" s="50"/>
      <c r="BU270" s="50"/>
      <c r="BV270" s="50"/>
      <c r="BW270" s="50"/>
      <c r="BX270" s="681"/>
      <c r="BY270" s="50"/>
      <c r="BZ270" s="50"/>
      <c r="CA270" s="50"/>
      <c r="CB270" s="50"/>
      <c r="CC270" s="67"/>
      <c r="CD270" s="50"/>
      <c r="CE270" s="50"/>
      <c r="CF270" s="50"/>
      <c r="CG270" s="50"/>
      <c r="CH270" s="67"/>
      <c r="CI270" s="50"/>
      <c r="CJ270" s="50"/>
      <c r="CK270" s="50"/>
      <c r="CL270" s="50"/>
      <c r="CM270" s="67"/>
    </row>
    <row r="271" spans="1:91" ht="12.75" hidden="1" customHeight="1" outlineLevel="1" x14ac:dyDescent="0.2">
      <c r="A271" s="45" t="s">
        <v>272</v>
      </c>
      <c r="B271" s="55"/>
      <c r="C271" s="55"/>
      <c r="D271" s="50"/>
      <c r="E271" s="50"/>
      <c r="F271" s="66"/>
      <c r="G271" s="55"/>
      <c r="H271" s="55"/>
      <c r="I271" s="50"/>
      <c r="J271" s="50"/>
      <c r="K271" s="66"/>
      <c r="L271" s="55"/>
      <c r="M271" s="55"/>
      <c r="N271" s="50"/>
      <c r="O271" s="50"/>
      <c r="P271" s="66">
        <f>P266/P268</f>
        <v>0.26184288041029907</v>
      </c>
      <c r="Q271" s="55"/>
      <c r="R271" s="55"/>
      <c r="S271" s="50"/>
      <c r="T271" s="50"/>
      <c r="U271" s="66">
        <f>U266/U268</f>
        <v>0.25087653393438519</v>
      </c>
      <c r="V271" s="50"/>
      <c r="W271" s="50"/>
      <c r="X271" s="50"/>
      <c r="Y271" s="50"/>
      <c r="Z271" s="66">
        <f>Z266/Z268</f>
        <v>0.25850274282026459</v>
      </c>
      <c r="AA271" s="50">
        <f>Z271*Z7</f>
        <v>8010.9999999999991</v>
      </c>
      <c r="AB271" s="50"/>
      <c r="AC271" s="50"/>
      <c r="AD271" s="50"/>
      <c r="AE271" s="66">
        <f>AE266/AE268</f>
        <v>0.30265668156838177</v>
      </c>
      <c r="AF271" s="50"/>
      <c r="AG271" s="50"/>
      <c r="AH271" s="50"/>
      <c r="AI271" s="50"/>
      <c r="AJ271" s="67"/>
      <c r="AK271" s="50"/>
      <c r="AL271" s="50"/>
      <c r="AM271" s="50"/>
      <c r="AN271" s="50"/>
      <c r="AO271" s="67"/>
      <c r="AP271" s="50"/>
      <c r="AQ271" s="50"/>
      <c r="AR271" s="50"/>
      <c r="AS271" s="50"/>
      <c r="AT271" s="67"/>
      <c r="AU271" s="50"/>
      <c r="AV271" s="50"/>
      <c r="AW271" s="50"/>
      <c r="AX271" s="50"/>
      <c r="AY271" s="681"/>
      <c r="AZ271" s="50"/>
      <c r="BA271" s="50"/>
      <c r="BB271" s="50"/>
      <c r="BC271" s="50"/>
      <c r="BD271" s="681"/>
      <c r="BE271" s="50"/>
      <c r="BF271" s="50"/>
      <c r="BG271" s="50"/>
      <c r="BH271" s="50"/>
      <c r="BI271" s="681"/>
      <c r="BJ271" s="50"/>
      <c r="BK271" s="50"/>
      <c r="BL271" s="50"/>
      <c r="BM271" s="50"/>
      <c r="BN271" s="681"/>
      <c r="BO271" s="50"/>
      <c r="BP271" s="50"/>
      <c r="BQ271" s="50"/>
      <c r="BR271" s="50"/>
      <c r="BS271" s="681"/>
      <c r="BT271" s="50"/>
      <c r="BU271" s="50"/>
      <c r="BV271" s="50"/>
      <c r="BW271" s="50"/>
      <c r="BX271" s="681"/>
      <c r="BY271" s="50"/>
      <c r="BZ271" s="50"/>
      <c r="CA271" s="50"/>
      <c r="CB271" s="50"/>
      <c r="CC271" s="67"/>
      <c r="CD271" s="50"/>
      <c r="CE271" s="50"/>
      <c r="CF271" s="50"/>
      <c r="CG271" s="50"/>
      <c r="CH271" s="67"/>
      <c r="CI271" s="50"/>
      <c r="CJ271" s="50"/>
      <c r="CK271" s="50"/>
      <c r="CL271" s="50"/>
      <c r="CM271" s="67"/>
    </row>
    <row r="272" spans="1:91" ht="12.75" hidden="1" customHeight="1" outlineLevel="1" x14ac:dyDescent="0.2">
      <c r="A272" s="45" t="s">
        <v>273</v>
      </c>
      <c r="B272" s="55"/>
      <c r="C272" s="55"/>
      <c r="D272" s="50"/>
      <c r="E272" s="50"/>
      <c r="F272" s="66"/>
      <c r="G272" s="55"/>
      <c r="H272" s="55"/>
      <c r="I272" s="50"/>
      <c r="J272" s="50"/>
      <c r="K272" s="66"/>
      <c r="L272" s="55"/>
      <c r="M272" s="55"/>
      <c r="N272" s="50"/>
      <c r="O272" s="50"/>
      <c r="P272" s="66">
        <f>P267/P268</f>
        <v>0.73815711958970098</v>
      </c>
      <c r="Q272" s="55"/>
      <c r="R272" s="55"/>
      <c r="S272" s="50"/>
      <c r="T272" s="50"/>
      <c r="U272" s="66">
        <f>U267/U268</f>
        <v>0.74912346606561486</v>
      </c>
      <c r="V272" s="50"/>
      <c r="W272" s="50"/>
      <c r="X272" s="50"/>
      <c r="Y272" s="50"/>
      <c r="Z272" s="66">
        <f>Z267/Z268</f>
        <v>0.74149725717973536</v>
      </c>
      <c r="AA272" s="54">
        <f>Z85</f>
        <v>8191</v>
      </c>
      <c r="AB272" s="50"/>
      <c r="AC272" s="50"/>
      <c r="AD272" s="50"/>
      <c r="AE272" s="66">
        <f>AE267/AE268</f>
        <v>0.69734331843161823</v>
      </c>
      <c r="AF272" s="50"/>
      <c r="AG272" s="50"/>
      <c r="AH272" s="50"/>
      <c r="AI272" s="50"/>
      <c r="AJ272" s="67"/>
      <c r="AK272" s="50"/>
      <c r="AL272" s="50"/>
      <c r="AM272" s="50"/>
      <c r="AN272" s="50"/>
      <c r="AO272" s="67"/>
      <c r="AP272" s="50"/>
      <c r="AQ272" s="50"/>
      <c r="AR272" s="50"/>
      <c r="AS272" s="50"/>
      <c r="AT272" s="67"/>
      <c r="AU272" s="50"/>
      <c r="AV272" s="50"/>
      <c r="AW272" s="50"/>
      <c r="AX272" s="50"/>
      <c r="AY272" s="681"/>
      <c r="AZ272" s="50"/>
      <c r="BA272" s="50"/>
      <c r="BB272" s="50"/>
      <c r="BC272" s="50"/>
      <c r="BD272" s="681"/>
      <c r="BE272" s="50"/>
      <c r="BF272" s="50"/>
      <c r="BG272" s="50"/>
      <c r="BH272" s="50"/>
      <c r="BI272" s="681"/>
      <c r="BJ272" s="50"/>
      <c r="BK272" s="50"/>
      <c r="BL272" s="50"/>
      <c r="BM272" s="50"/>
      <c r="BN272" s="681"/>
      <c r="BO272" s="50"/>
      <c r="BP272" s="50"/>
      <c r="BQ272" s="50"/>
      <c r="BR272" s="50"/>
      <c r="BS272" s="681"/>
      <c r="BT272" s="50"/>
      <c r="BU272" s="50"/>
      <c r="BV272" s="50"/>
      <c r="BW272" s="50"/>
      <c r="BX272" s="681"/>
      <c r="BY272" s="50"/>
      <c r="BZ272" s="50"/>
      <c r="CA272" s="50"/>
      <c r="CB272" s="50"/>
      <c r="CC272" s="67"/>
      <c r="CD272" s="50"/>
      <c r="CE272" s="50"/>
      <c r="CF272" s="50"/>
      <c r="CG272" s="50"/>
      <c r="CH272" s="67"/>
      <c r="CI272" s="50"/>
      <c r="CJ272" s="50"/>
      <c r="CK272" s="50"/>
      <c r="CL272" s="50"/>
      <c r="CM272" s="67"/>
    </row>
    <row r="273" spans="1:91" ht="12.75" hidden="1" customHeight="1" outlineLevel="1" x14ac:dyDescent="0.2">
      <c r="A273" s="45" t="s">
        <v>274</v>
      </c>
      <c r="B273" s="55"/>
      <c r="C273" s="55"/>
      <c r="D273" s="50"/>
      <c r="E273" s="50"/>
      <c r="F273" s="67"/>
      <c r="G273" s="55"/>
      <c r="H273" s="55"/>
      <c r="I273" s="50"/>
      <c r="J273" s="50"/>
      <c r="K273" s="67"/>
      <c r="L273" s="55"/>
      <c r="M273" s="55"/>
      <c r="N273" s="50"/>
      <c r="O273" s="50"/>
      <c r="P273" s="67"/>
      <c r="Q273" s="55"/>
      <c r="R273" s="55"/>
      <c r="S273" s="50"/>
      <c r="T273" s="50"/>
      <c r="U273" s="67"/>
      <c r="V273" s="50"/>
      <c r="W273" s="50"/>
      <c r="X273" s="50"/>
      <c r="Y273" s="50"/>
      <c r="Z273" s="67"/>
      <c r="AA273" s="54">
        <f>AA272-AA271</f>
        <v>180.00000000000091</v>
      </c>
      <c r="AB273" s="50"/>
      <c r="AC273" s="50"/>
      <c r="AD273" s="50"/>
      <c r="AE273" s="67"/>
      <c r="AF273" s="50"/>
      <c r="AG273" s="50"/>
      <c r="AH273" s="50"/>
      <c r="AI273" s="50"/>
      <c r="AJ273" s="67"/>
      <c r="AK273" s="50"/>
      <c r="AL273" s="50"/>
      <c r="AM273" s="50"/>
      <c r="AN273" s="50"/>
      <c r="AO273" s="67"/>
      <c r="AP273" s="50"/>
      <c r="AQ273" s="50"/>
      <c r="AR273" s="50"/>
      <c r="AS273" s="50"/>
      <c r="AT273" s="67"/>
      <c r="AU273" s="50"/>
      <c r="AV273" s="50"/>
      <c r="AW273" s="50"/>
      <c r="AX273" s="50"/>
      <c r="AY273" s="681"/>
      <c r="AZ273" s="50"/>
      <c r="BA273" s="50"/>
      <c r="BB273" s="50"/>
      <c r="BC273" s="50"/>
      <c r="BD273" s="681"/>
      <c r="BE273" s="50"/>
      <c r="BF273" s="50"/>
      <c r="BG273" s="50"/>
      <c r="BH273" s="50"/>
      <c r="BI273" s="681"/>
      <c r="BJ273" s="50"/>
      <c r="BK273" s="50"/>
      <c r="BL273" s="50"/>
      <c r="BM273" s="50"/>
      <c r="BN273" s="681"/>
      <c r="BO273" s="50"/>
      <c r="BP273" s="50"/>
      <c r="BQ273" s="50"/>
      <c r="BR273" s="50"/>
      <c r="BS273" s="681"/>
      <c r="BT273" s="50"/>
      <c r="BU273" s="50"/>
      <c r="BV273" s="50"/>
      <c r="BW273" s="50"/>
      <c r="BX273" s="681"/>
      <c r="BY273" s="50"/>
      <c r="BZ273" s="50"/>
      <c r="CA273" s="50"/>
      <c r="CB273" s="50"/>
      <c r="CC273" s="67"/>
      <c r="CD273" s="50"/>
      <c r="CE273" s="50"/>
      <c r="CF273" s="50"/>
      <c r="CG273" s="50"/>
      <c r="CH273" s="67"/>
      <c r="CI273" s="50"/>
      <c r="CJ273" s="50"/>
      <c r="CK273" s="50"/>
      <c r="CL273" s="50"/>
      <c r="CM273" s="67"/>
    </row>
    <row r="274" spans="1:91" ht="12.75" hidden="1" customHeight="1" outlineLevel="1" x14ac:dyDescent="0.2">
      <c r="A274" s="45"/>
      <c r="B274" s="55"/>
      <c r="C274" s="55"/>
      <c r="D274" s="50"/>
      <c r="E274" s="50"/>
      <c r="F274" s="67"/>
      <c r="G274" s="55"/>
      <c r="H274" s="55"/>
      <c r="I274" s="50"/>
      <c r="J274" s="50"/>
      <c r="K274" s="67"/>
      <c r="L274" s="55"/>
      <c r="M274" s="55"/>
      <c r="N274" s="50"/>
      <c r="O274" s="50"/>
      <c r="P274" s="67"/>
      <c r="Q274" s="55"/>
      <c r="R274" s="55"/>
      <c r="S274" s="50"/>
      <c r="T274" s="50"/>
      <c r="U274" s="67"/>
      <c r="V274" s="50"/>
      <c r="W274" s="50"/>
      <c r="X274" s="50"/>
      <c r="Y274" s="50"/>
      <c r="Z274" s="67"/>
      <c r="AA274" s="55">
        <f>AA273/Z7</f>
        <v>5.8083252662149377E-3</v>
      </c>
      <c r="AB274" s="50"/>
      <c r="AC274" s="50"/>
      <c r="AD274" s="50"/>
      <c r="AE274" s="67"/>
      <c r="AF274" s="50"/>
      <c r="AG274" s="50"/>
      <c r="AH274" s="50"/>
      <c r="AI274" s="50"/>
      <c r="AJ274" s="67"/>
      <c r="AK274" s="50"/>
      <c r="AL274" s="50"/>
      <c r="AM274" s="50"/>
      <c r="AN274" s="50"/>
      <c r="AO274" s="67"/>
      <c r="AP274" s="50"/>
      <c r="AQ274" s="50"/>
      <c r="AR274" s="50"/>
      <c r="AS274" s="50"/>
      <c r="AT274" s="67"/>
      <c r="AU274" s="50"/>
      <c r="AV274" s="50"/>
      <c r="AW274" s="50"/>
      <c r="AX274" s="50"/>
      <c r="AY274" s="681"/>
      <c r="AZ274" s="50"/>
      <c r="BA274" s="50"/>
      <c r="BB274" s="50"/>
      <c r="BC274" s="50"/>
      <c r="BD274" s="681"/>
      <c r="BE274" s="50"/>
      <c r="BF274" s="50"/>
      <c r="BG274" s="50"/>
      <c r="BH274" s="50"/>
      <c r="BI274" s="681"/>
      <c r="BJ274" s="50"/>
      <c r="BK274" s="50"/>
      <c r="BL274" s="50"/>
      <c r="BM274" s="50"/>
      <c r="BN274" s="681"/>
      <c r="BO274" s="50"/>
      <c r="BP274" s="50"/>
      <c r="BQ274" s="50"/>
      <c r="BR274" s="50"/>
      <c r="BS274" s="681"/>
      <c r="BT274" s="50"/>
      <c r="BU274" s="50"/>
      <c r="BV274" s="50"/>
      <c r="BW274" s="50"/>
      <c r="BX274" s="681"/>
      <c r="BY274" s="50"/>
      <c r="BZ274" s="50"/>
      <c r="CA274" s="50"/>
      <c r="CB274" s="50"/>
      <c r="CC274" s="67"/>
      <c r="CD274" s="50"/>
      <c r="CE274" s="50"/>
      <c r="CF274" s="50"/>
      <c r="CG274" s="50"/>
      <c r="CH274" s="67"/>
      <c r="CI274" s="50"/>
      <c r="CJ274" s="50"/>
      <c r="CK274" s="50"/>
      <c r="CL274" s="50"/>
      <c r="CM274" s="67"/>
    </row>
    <row r="275" spans="1:91" ht="12.75" hidden="1" customHeight="1" outlineLevel="1" x14ac:dyDescent="0.2">
      <c r="A275" s="34" t="s">
        <v>277</v>
      </c>
      <c r="B275" s="25"/>
      <c r="C275" s="25"/>
      <c r="D275" s="25"/>
      <c r="E275" s="25"/>
      <c r="F275" s="28"/>
      <c r="G275" s="25"/>
      <c r="H275" s="25"/>
      <c r="I275" s="25"/>
      <c r="J275" s="25"/>
      <c r="K275" s="28"/>
      <c r="L275" s="25"/>
      <c r="M275" s="25"/>
      <c r="N275" s="25"/>
      <c r="O275" s="25"/>
      <c r="P275" s="28"/>
      <c r="Q275" s="25"/>
      <c r="R275" s="25"/>
      <c r="S275" s="25"/>
      <c r="T275" s="25"/>
      <c r="U275" s="28"/>
      <c r="V275" s="25"/>
      <c r="W275" s="32"/>
      <c r="X275" s="32"/>
      <c r="Y275" s="32"/>
      <c r="Z275" s="134"/>
      <c r="AA275" s="32"/>
      <c r="AB275" s="32"/>
      <c r="AC275" s="25"/>
      <c r="AD275" s="25"/>
      <c r="AE275" s="28"/>
      <c r="AF275" s="25"/>
      <c r="AG275" s="25"/>
      <c r="AH275" s="25"/>
      <c r="AI275" s="25"/>
      <c r="AJ275" s="28"/>
      <c r="AK275" s="25"/>
      <c r="AL275" s="25"/>
      <c r="AM275" s="25"/>
      <c r="AN275" s="25"/>
      <c r="AO275" s="28"/>
      <c r="AP275" s="25"/>
      <c r="AQ275" s="25"/>
      <c r="AR275" s="25"/>
      <c r="AS275" s="25"/>
      <c r="AT275" s="28"/>
      <c r="AU275" s="25"/>
      <c r="AV275" s="25"/>
      <c r="AW275" s="25"/>
      <c r="AX275" s="25"/>
      <c r="AY275" s="682"/>
      <c r="AZ275" s="25"/>
      <c r="BA275" s="25"/>
      <c r="BB275" s="25"/>
      <c r="BC275" s="25"/>
      <c r="BD275" s="682"/>
      <c r="BE275" s="25"/>
      <c r="BF275" s="25"/>
      <c r="BG275" s="25"/>
      <c r="BH275" s="25"/>
      <c r="BI275" s="682"/>
      <c r="BJ275" s="25"/>
      <c r="BK275" s="25"/>
      <c r="BL275" s="25"/>
      <c r="BM275" s="25"/>
      <c r="BN275" s="682"/>
      <c r="BO275" s="25"/>
      <c r="BP275" s="25"/>
      <c r="BQ275" s="25"/>
      <c r="BR275" s="25"/>
      <c r="BS275" s="682"/>
      <c r="BT275" s="25"/>
      <c r="BU275" s="25"/>
      <c r="BV275" s="25"/>
      <c r="BW275" s="25"/>
      <c r="BX275" s="682"/>
      <c r="BY275" s="25"/>
      <c r="BZ275" s="25"/>
      <c r="CA275" s="25"/>
      <c r="CB275" s="25"/>
      <c r="CC275" s="28"/>
      <c r="CD275" s="25"/>
      <c r="CE275" s="25"/>
      <c r="CF275" s="25"/>
      <c r="CG275" s="25"/>
      <c r="CH275" s="28"/>
      <c r="CI275" s="25"/>
      <c r="CJ275" s="25"/>
      <c r="CK275" s="25"/>
      <c r="CL275" s="25"/>
      <c r="CM275" s="28"/>
    </row>
    <row r="276" spans="1:91" ht="12.75" hidden="1" customHeight="1" outlineLevel="1" x14ac:dyDescent="0.2">
      <c r="A276" s="25" t="s">
        <v>278</v>
      </c>
      <c r="B276" s="36"/>
      <c r="C276" s="36"/>
      <c r="D276" s="36"/>
      <c r="E276" s="36"/>
      <c r="F276" s="27"/>
      <c r="G276" s="36"/>
      <c r="H276" s="36"/>
      <c r="I276" s="36"/>
      <c r="J276" s="36"/>
      <c r="K276" s="27"/>
      <c r="L276" s="36"/>
      <c r="M276" s="36"/>
      <c r="N276" s="36"/>
      <c r="O276" s="36"/>
      <c r="P276" s="27"/>
      <c r="Q276" s="36"/>
      <c r="R276" s="36"/>
      <c r="S276" s="36"/>
      <c r="T276" s="36"/>
      <c r="U276" s="27">
        <v>0.02</v>
      </c>
      <c r="V276" s="41">
        <v>0</v>
      </c>
      <c r="W276" s="36">
        <v>0.03</v>
      </c>
      <c r="X276" s="36">
        <v>0.02</v>
      </c>
      <c r="Y276" s="36">
        <v>0.04</v>
      </c>
      <c r="Z276" s="44">
        <f>ROUND((Segments!$V$7/Segments!$Z$7)*V276+(Segments!$W$7/Segments!$Z$7)*W276+(Segments!$X$7/Segments!$Z$7)*X276+(Segments!$Y$7/Segments!$Z$7)*Y276,2)</f>
        <v>0.02</v>
      </c>
      <c r="AA276" s="36">
        <v>0.03</v>
      </c>
      <c r="AB276" s="36">
        <v>0.05</v>
      </c>
      <c r="AC276" s="36">
        <v>0.04</v>
      </c>
      <c r="AD276" s="36">
        <v>0.04</v>
      </c>
      <c r="AE276" s="27">
        <v>0.04</v>
      </c>
      <c r="AF276" s="36">
        <v>0.03</v>
      </c>
      <c r="AG276" s="36">
        <v>0.04</v>
      </c>
      <c r="AH276" s="36">
        <v>0.03</v>
      </c>
      <c r="AI276" s="36"/>
      <c r="AJ276" s="27"/>
      <c r="AK276" s="36"/>
      <c r="AL276" s="36"/>
      <c r="AM276" s="36"/>
      <c r="AN276" s="36"/>
      <c r="AO276" s="27"/>
      <c r="AP276" s="36"/>
      <c r="AQ276" s="36"/>
      <c r="AR276" s="36"/>
      <c r="AS276" s="36"/>
      <c r="AT276" s="27"/>
      <c r="AU276" s="36"/>
      <c r="AV276" s="36"/>
      <c r="AW276" s="36"/>
      <c r="AX276" s="36"/>
      <c r="AY276" s="683"/>
      <c r="AZ276" s="36"/>
      <c r="BA276" s="36"/>
      <c r="BB276" s="36"/>
      <c r="BC276" s="36"/>
      <c r="BD276" s="683"/>
      <c r="BE276" s="36"/>
      <c r="BF276" s="36"/>
      <c r="BG276" s="36"/>
      <c r="BH276" s="36"/>
      <c r="BI276" s="683"/>
      <c r="BJ276" s="36"/>
      <c r="BK276" s="36"/>
      <c r="BL276" s="36"/>
      <c r="BM276" s="36"/>
      <c r="BN276" s="683"/>
      <c r="BO276" s="36"/>
      <c r="BP276" s="36"/>
      <c r="BQ276" s="36"/>
      <c r="BR276" s="36"/>
      <c r="BS276" s="683"/>
      <c r="BT276" s="36"/>
      <c r="BU276" s="36"/>
      <c r="BV276" s="36"/>
      <c r="BW276" s="36"/>
      <c r="BX276" s="683"/>
      <c r="BY276" s="36"/>
      <c r="BZ276" s="36"/>
      <c r="CA276" s="36"/>
      <c r="CB276" s="36"/>
      <c r="CC276" s="27"/>
      <c r="CD276" s="36"/>
      <c r="CE276" s="36"/>
      <c r="CF276" s="36"/>
      <c r="CG276" s="36"/>
      <c r="CH276" s="27"/>
      <c r="CI276" s="36"/>
      <c r="CJ276" s="36"/>
      <c r="CK276" s="36"/>
      <c r="CL276" s="36"/>
      <c r="CM276" s="27"/>
    </row>
    <row r="277" spans="1:91" ht="12.75" hidden="1" customHeight="1" outlineLevel="1" x14ac:dyDescent="0.2">
      <c r="A277" s="25" t="s">
        <v>279</v>
      </c>
      <c r="B277" s="36"/>
      <c r="C277" s="36"/>
      <c r="D277" s="36"/>
      <c r="E277" s="36"/>
      <c r="F277" s="27">
        <v>0.02</v>
      </c>
      <c r="G277" s="36"/>
      <c r="H277" s="36"/>
      <c r="I277" s="36"/>
      <c r="J277" s="36"/>
      <c r="K277" s="27">
        <v>0.04</v>
      </c>
      <c r="L277" s="36"/>
      <c r="M277" s="36"/>
      <c r="N277" s="36"/>
      <c r="O277" s="36"/>
      <c r="P277" s="27">
        <v>0.04</v>
      </c>
      <c r="Q277" s="36">
        <v>0.03</v>
      </c>
      <c r="R277" s="36"/>
      <c r="S277" s="36"/>
      <c r="T277" s="36">
        <v>0.02</v>
      </c>
      <c r="U277" s="27">
        <v>0.02</v>
      </c>
      <c r="V277" s="36">
        <v>0</v>
      </c>
      <c r="W277" s="36">
        <v>0.02</v>
      </c>
      <c r="X277" s="36">
        <v>0.01</v>
      </c>
      <c r="Y277" s="36">
        <v>0.03</v>
      </c>
      <c r="Z277" s="27">
        <v>0.01</v>
      </c>
      <c r="AA277" s="36">
        <v>0.02</v>
      </c>
      <c r="AB277" s="36">
        <v>0.03</v>
      </c>
      <c r="AC277" s="36">
        <v>0.03</v>
      </c>
      <c r="AD277" s="36">
        <v>0.03</v>
      </c>
      <c r="AE277" s="44"/>
      <c r="AF277" s="36">
        <v>0.03</v>
      </c>
      <c r="AG277" s="36">
        <v>0.04</v>
      </c>
      <c r="AH277" s="36">
        <v>0.03</v>
      </c>
      <c r="AI277" s="36"/>
      <c r="AJ277" s="27"/>
      <c r="AK277" s="36"/>
      <c r="AL277" s="36"/>
      <c r="AM277" s="36"/>
      <c r="AN277" s="36"/>
      <c r="AO277" s="27"/>
      <c r="AP277" s="36"/>
      <c r="AQ277" s="36"/>
      <c r="AR277" s="36"/>
      <c r="AS277" s="36"/>
      <c r="AT277" s="27"/>
      <c r="AU277" s="36"/>
      <c r="AV277" s="36"/>
      <c r="AW277" s="36"/>
      <c r="AX277" s="36"/>
      <c r="AY277" s="683"/>
      <c r="AZ277" s="36"/>
      <c r="BA277" s="36"/>
      <c r="BB277" s="36"/>
      <c r="BC277" s="36"/>
      <c r="BD277" s="683"/>
      <c r="BE277" s="36"/>
      <c r="BF277" s="36"/>
      <c r="BG277" s="36"/>
      <c r="BH277" s="36"/>
      <c r="BI277" s="683"/>
      <c r="BJ277" s="36"/>
      <c r="BK277" s="36"/>
      <c r="BL277" s="36"/>
      <c r="BM277" s="36"/>
      <c r="BN277" s="683"/>
      <c r="BO277" s="36"/>
      <c r="BP277" s="36"/>
      <c r="BQ277" s="36"/>
      <c r="BR277" s="36"/>
      <c r="BS277" s="683"/>
      <c r="BT277" s="36"/>
      <c r="BU277" s="36"/>
      <c r="BV277" s="36"/>
      <c r="BW277" s="36"/>
      <c r="BX277" s="683"/>
      <c r="BY277" s="36"/>
      <c r="BZ277" s="36"/>
      <c r="CA277" s="36"/>
      <c r="CB277" s="36"/>
      <c r="CC277" s="27"/>
      <c r="CD277" s="36"/>
      <c r="CE277" s="36"/>
      <c r="CF277" s="36"/>
      <c r="CG277" s="36"/>
      <c r="CH277" s="27"/>
      <c r="CI277" s="36"/>
      <c r="CJ277" s="36"/>
      <c r="CK277" s="36"/>
      <c r="CL277" s="36"/>
      <c r="CM277" s="27"/>
    </row>
    <row r="278" spans="1:91" ht="12.75" hidden="1" customHeight="1" outlineLevel="1" x14ac:dyDescent="0.2">
      <c r="A278" s="25" t="s">
        <v>281</v>
      </c>
      <c r="B278" s="36"/>
      <c r="C278" s="36"/>
      <c r="D278" s="36"/>
      <c r="E278" s="36"/>
      <c r="F278" s="27"/>
      <c r="G278" s="36"/>
      <c r="H278" s="36"/>
      <c r="I278" s="36"/>
      <c r="J278" s="36"/>
      <c r="K278" s="27"/>
      <c r="L278" s="36"/>
      <c r="M278" s="36"/>
      <c r="N278" s="36"/>
      <c r="O278" s="36"/>
      <c r="P278" s="27"/>
      <c r="Q278" s="36"/>
      <c r="R278" s="36"/>
      <c r="S278" s="36"/>
      <c r="T278" s="36">
        <v>0.04</v>
      </c>
      <c r="U278" s="27">
        <v>0.04</v>
      </c>
      <c r="V278" s="36">
        <v>0.01</v>
      </c>
      <c r="W278" s="36">
        <v>0.04</v>
      </c>
      <c r="X278" s="36">
        <v>0.02</v>
      </c>
      <c r="Y278" s="36">
        <v>0.05</v>
      </c>
      <c r="Z278" s="44">
        <f>ROUND((Segments!$V$7/Segments!$Z$7)*V278+(Segments!$W$7/Segments!$Z$7)*W278+(Segments!$X$7/Segments!$Z$7)*X278+(Segments!$Y$7/Segments!$Z$7)*Y278,2)</f>
        <v>0.03</v>
      </c>
      <c r="AA278" s="36">
        <v>0.03</v>
      </c>
      <c r="AB278" s="36">
        <v>0.04</v>
      </c>
      <c r="AC278" s="36">
        <v>0.04</v>
      </c>
      <c r="AD278" s="36">
        <v>0.04</v>
      </c>
      <c r="AE278" s="44"/>
      <c r="AF278" s="36">
        <v>0.04</v>
      </c>
      <c r="AG278" s="36">
        <v>0.05</v>
      </c>
      <c r="AH278" s="36">
        <v>0.03</v>
      </c>
      <c r="AI278" s="36"/>
      <c r="AJ278" s="27"/>
      <c r="AK278" s="36"/>
      <c r="AL278" s="36"/>
      <c r="AM278" s="36"/>
      <c r="AN278" s="36"/>
      <c r="AO278" s="27"/>
      <c r="AP278" s="36"/>
      <c r="AQ278" s="36"/>
      <c r="AR278" s="36"/>
      <c r="AS278" s="36"/>
      <c r="AT278" s="27"/>
      <c r="AU278" s="36"/>
      <c r="AV278" s="36"/>
      <c r="AW278" s="36"/>
      <c r="AX278" s="36"/>
      <c r="AY278" s="683"/>
      <c r="AZ278" s="36"/>
      <c r="BA278" s="36"/>
      <c r="BB278" s="36"/>
      <c r="BC278" s="36"/>
      <c r="BD278" s="683"/>
      <c r="BE278" s="36"/>
      <c r="BF278" s="36"/>
      <c r="BG278" s="36"/>
      <c r="BH278" s="36"/>
      <c r="BI278" s="683"/>
      <c r="BJ278" s="36"/>
      <c r="BK278" s="36"/>
      <c r="BL278" s="36"/>
      <c r="BM278" s="36"/>
      <c r="BN278" s="683"/>
      <c r="BO278" s="36"/>
      <c r="BP278" s="36"/>
      <c r="BQ278" s="36"/>
      <c r="BR278" s="36"/>
      <c r="BS278" s="683"/>
      <c r="BT278" s="36"/>
      <c r="BU278" s="36"/>
      <c r="BV278" s="36"/>
      <c r="BW278" s="36"/>
      <c r="BX278" s="683"/>
      <c r="BY278" s="36"/>
      <c r="BZ278" s="36"/>
      <c r="CA278" s="36"/>
      <c r="CB278" s="36"/>
      <c r="CC278" s="27"/>
      <c r="CD278" s="36"/>
      <c r="CE278" s="36"/>
      <c r="CF278" s="36"/>
      <c r="CG278" s="36"/>
      <c r="CH278" s="27"/>
      <c r="CI278" s="36"/>
      <c r="CJ278" s="36"/>
      <c r="CK278" s="36"/>
      <c r="CL278" s="36"/>
      <c r="CM278" s="27"/>
    </row>
    <row r="279" spans="1:91" ht="12.75" hidden="1" customHeight="1" outlineLevel="1" x14ac:dyDescent="0.2">
      <c r="A279" s="25" t="s">
        <v>285</v>
      </c>
      <c r="B279" s="36"/>
      <c r="C279" s="36"/>
      <c r="D279" s="36"/>
      <c r="E279" s="36"/>
      <c r="F279" s="27"/>
      <c r="G279" s="36"/>
      <c r="H279" s="36"/>
      <c r="I279" s="36"/>
      <c r="J279" s="36"/>
      <c r="K279" s="27"/>
      <c r="L279" s="36"/>
      <c r="M279" s="36"/>
      <c r="N279" s="36"/>
      <c r="O279" s="36"/>
      <c r="P279" s="27"/>
      <c r="Q279" s="36"/>
      <c r="R279" s="36"/>
      <c r="S279" s="36"/>
      <c r="T279" s="36"/>
      <c r="U279" s="27"/>
      <c r="V279" s="36">
        <v>-0.04</v>
      </c>
      <c r="W279" s="36"/>
      <c r="X279" s="36">
        <v>-0.05</v>
      </c>
      <c r="Y279" s="36">
        <v>-0.02</v>
      </c>
      <c r="Z279" s="27"/>
      <c r="AA279" s="36">
        <v>-0.01</v>
      </c>
      <c r="AB279" s="36">
        <v>0</v>
      </c>
      <c r="AC279" s="36">
        <v>0</v>
      </c>
      <c r="AD279" s="36">
        <v>0.01</v>
      </c>
      <c r="AE279" s="27">
        <v>0</v>
      </c>
      <c r="AF279" s="36">
        <v>-0.01</v>
      </c>
      <c r="AG279" s="36">
        <v>-0.01</v>
      </c>
      <c r="AH279" s="36">
        <v>-0.01</v>
      </c>
      <c r="AI279" s="36"/>
      <c r="AJ279" s="27"/>
      <c r="AK279" s="36"/>
      <c r="AL279" s="36"/>
      <c r="AM279" s="36"/>
      <c r="AN279" s="36"/>
      <c r="AO279" s="27"/>
      <c r="AP279" s="36"/>
      <c r="AQ279" s="36"/>
      <c r="AR279" s="36"/>
      <c r="AS279" s="36"/>
      <c r="AT279" s="27"/>
      <c r="AU279" s="36"/>
      <c r="AV279" s="36"/>
      <c r="AW279" s="36"/>
      <c r="AX279" s="36"/>
      <c r="AY279" s="683"/>
      <c r="AZ279" s="36"/>
      <c r="BA279" s="36"/>
      <c r="BB279" s="36"/>
      <c r="BC279" s="36"/>
      <c r="BD279" s="683"/>
      <c r="BE279" s="36"/>
      <c r="BF279" s="36"/>
      <c r="BG279" s="36"/>
      <c r="BH279" s="36"/>
      <c r="BI279" s="683"/>
      <c r="BJ279" s="36"/>
      <c r="BK279" s="36"/>
      <c r="BL279" s="36"/>
      <c r="BM279" s="36"/>
      <c r="BN279" s="683"/>
      <c r="BO279" s="36"/>
      <c r="BP279" s="36"/>
      <c r="BQ279" s="36"/>
      <c r="BR279" s="36"/>
      <c r="BS279" s="683"/>
      <c r="BT279" s="36"/>
      <c r="BU279" s="36"/>
      <c r="BV279" s="36"/>
      <c r="BW279" s="36"/>
      <c r="BX279" s="683"/>
      <c r="BY279" s="36"/>
      <c r="BZ279" s="36"/>
      <c r="CA279" s="36"/>
      <c r="CB279" s="36"/>
      <c r="CC279" s="27"/>
      <c r="CD279" s="36"/>
      <c r="CE279" s="36"/>
      <c r="CF279" s="36"/>
      <c r="CG279" s="36"/>
      <c r="CH279" s="27"/>
      <c r="CI279" s="36"/>
      <c r="CJ279" s="36"/>
      <c r="CK279" s="36"/>
      <c r="CL279" s="36"/>
      <c r="CM279" s="27"/>
    </row>
    <row r="280" spans="1:91" ht="12.75" hidden="1" customHeight="1" outlineLevel="1" x14ac:dyDescent="0.2">
      <c r="A280" s="25" t="s">
        <v>280</v>
      </c>
      <c r="B280" s="36"/>
      <c r="C280" s="36"/>
      <c r="D280" s="36"/>
      <c r="E280" s="36"/>
      <c r="F280" s="27">
        <v>0.13</v>
      </c>
      <c r="G280" s="36"/>
      <c r="H280" s="36"/>
      <c r="I280" s="36"/>
      <c r="J280" s="36"/>
      <c r="K280" s="27">
        <v>7.0000000000000007E-2</v>
      </c>
      <c r="L280" s="36"/>
      <c r="M280" s="36"/>
      <c r="N280" s="36"/>
      <c r="O280" s="36"/>
      <c r="P280" s="27">
        <v>0.12</v>
      </c>
      <c r="Q280" s="36">
        <v>0.17</v>
      </c>
      <c r="R280" s="36"/>
      <c r="S280" s="36"/>
      <c r="T280" s="36">
        <v>0.11</v>
      </c>
      <c r="U280" s="27">
        <v>0.13</v>
      </c>
      <c r="V280" s="36">
        <v>0.09</v>
      </c>
      <c r="W280" s="36">
        <v>0.08</v>
      </c>
      <c r="X280" s="36">
        <v>7.0000000000000007E-2</v>
      </c>
      <c r="Y280" s="36">
        <v>0.09</v>
      </c>
      <c r="Z280" s="27">
        <v>0.08</v>
      </c>
      <c r="AA280" s="36">
        <v>0.08</v>
      </c>
      <c r="AB280" s="36">
        <v>0.1</v>
      </c>
      <c r="AC280" s="36">
        <v>0.11</v>
      </c>
      <c r="AD280" s="36">
        <v>0.09</v>
      </c>
      <c r="AE280" s="27">
        <v>0.1</v>
      </c>
      <c r="AF280" s="36">
        <v>0.11</v>
      </c>
      <c r="AG280" s="36">
        <v>7.0000000000000007E-2</v>
      </c>
      <c r="AH280" s="36">
        <v>0.09</v>
      </c>
      <c r="AI280" s="36"/>
      <c r="AJ280" s="27"/>
      <c r="AK280" s="36"/>
      <c r="AL280" s="36"/>
      <c r="AM280" s="36"/>
      <c r="AN280" s="36"/>
      <c r="AO280" s="27"/>
      <c r="AP280" s="36"/>
      <c r="AQ280" s="36"/>
      <c r="AR280" s="36"/>
      <c r="AS280" s="36"/>
      <c r="AT280" s="27"/>
      <c r="AU280" s="36"/>
      <c r="AV280" s="36"/>
      <c r="AW280" s="36"/>
      <c r="AX280" s="36"/>
      <c r="AY280" s="683"/>
      <c r="AZ280" s="36"/>
      <c r="BA280" s="36"/>
      <c r="BB280" s="36"/>
      <c r="BC280" s="36"/>
      <c r="BD280" s="683"/>
      <c r="BE280" s="36"/>
      <c r="BF280" s="36"/>
      <c r="BG280" s="36"/>
      <c r="BH280" s="36"/>
      <c r="BI280" s="683"/>
      <c r="BJ280" s="36"/>
      <c r="BK280" s="36"/>
      <c r="BL280" s="36"/>
      <c r="BM280" s="36"/>
      <c r="BN280" s="683"/>
      <c r="BO280" s="36"/>
      <c r="BP280" s="36"/>
      <c r="BQ280" s="36"/>
      <c r="BR280" s="36"/>
      <c r="BS280" s="683"/>
      <c r="BT280" s="36"/>
      <c r="BU280" s="36"/>
      <c r="BV280" s="36"/>
      <c r="BW280" s="36"/>
      <c r="BX280" s="683"/>
      <c r="BY280" s="36"/>
      <c r="BZ280" s="36"/>
      <c r="CA280" s="36"/>
      <c r="CB280" s="36"/>
      <c r="CC280" s="27"/>
      <c r="CD280" s="36"/>
      <c r="CE280" s="36"/>
      <c r="CF280" s="36"/>
      <c r="CG280" s="36"/>
      <c r="CH280" s="27"/>
      <c r="CI280" s="36"/>
      <c r="CJ280" s="36"/>
      <c r="CK280" s="36"/>
      <c r="CL280" s="36"/>
      <c r="CM280" s="27"/>
    </row>
    <row r="281" spans="1:91" ht="12.75" hidden="1" customHeight="1" outlineLevel="1" x14ac:dyDescent="0.2">
      <c r="A281" s="25" t="s">
        <v>282</v>
      </c>
      <c r="B281" s="36"/>
      <c r="C281" s="36"/>
      <c r="D281" s="36"/>
      <c r="E281" s="36"/>
      <c r="F281" s="27"/>
      <c r="G281" s="36"/>
      <c r="H281" s="36"/>
      <c r="I281" s="36"/>
      <c r="J281" s="36"/>
      <c r="K281" s="27"/>
      <c r="L281" s="36"/>
      <c r="M281" s="36"/>
      <c r="N281" s="36"/>
      <c r="O281" s="36"/>
      <c r="P281" s="27"/>
      <c r="Q281" s="36"/>
      <c r="R281" s="36"/>
      <c r="S281" s="36"/>
      <c r="T281" s="36">
        <v>0.17</v>
      </c>
      <c r="U281" s="27">
        <v>0.17</v>
      </c>
      <c r="V281" s="36">
        <v>0.13</v>
      </c>
      <c r="W281" s="36">
        <v>0.12</v>
      </c>
      <c r="X281" s="36">
        <v>0.1</v>
      </c>
      <c r="Y281" s="36">
        <v>0.14000000000000001</v>
      </c>
      <c r="Z281" s="44">
        <f>ROUND((Segments!$V$7/Segments!$Z$7)*V281+(Segments!$W$7/Segments!$Z$7)*W281+(Segments!$X$7/Segments!$Z$7)*X281+(Segments!$Y$7/Segments!$Z$7)*Y281,2)</f>
        <v>0.12</v>
      </c>
      <c r="AA281" s="36">
        <v>0.12</v>
      </c>
      <c r="AB281" s="36">
        <v>0.11</v>
      </c>
      <c r="AC281" s="36">
        <v>0.13</v>
      </c>
      <c r="AD281" s="36">
        <v>0.11</v>
      </c>
      <c r="AE281" s="44"/>
      <c r="AF281" s="36">
        <v>0.12</v>
      </c>
      <c r="AG281" s="36">
        <v>0.1</v>
      </c>
      <c r="AH281" s="36">
        <v>0.1</v>
      </c>
      <c r="AI281" s="36"/>
      <c r="AJ281" s="27"/>
      <c r="AK281" s="36"/>
      <c r="AL281" s="36"/>
      <c r="AM281" s="36"/>
      <c r="AN281" s="36"/>
      <c r="AO281" s="27"/>
      <c r="AP281" s="36"/>
      <c r="AQ281" s="36"/>
      <c r="AR281" s="36"/>
      <c r="AS281" s="36"/>
      <c r="AT281" s="27"/>
      <c r="AU281" s="36"/>
      <c r="AV281" s="36"/>
      <c r="AW281" s="36"/>
      <c r="AX281" s="36"/>
      <c r="AY281" s="683"/>
      <c r="AZ281" s="36"/>
      <c r="BA281" s="36"/>
      <c r="BB281" s="36"/>
      <c r="BC281" s="36"/>
      <c r="BD281" s="683"/>
      <c r="BE281" s="36"/>
      <c r="BF281" s="36"/>
      <c r="BG281" s="36"/>
      <c r="BH281" s="36"/>
      <c r="BI281" s="683"/>
      <c r="BJ281" s="36"/>
      <c r="BK281" s="36"/>
      <c r="BL281" s="36"/>
      <c r="BM281" s="36"/>
      <c r="BN281" s="683"/>
      <c r="BO281" s="36"/>
      <c r="BP281" s="36"/>
      <c r="BQ281" s="36"/>
      <c r="BR281" s="36"/>
      <c r="BS281" s="683"/>
      <c r="BT281" s="36"/>
      <c r="BU281" s="36"/>
      <c r="BV281" s="36"/>
      <c r="BW281" s="36"/>
      <c r="BX281" s="683"/>
      <c r="BY281" s="36"/>
      <c r="BZ281" s="36"/>
      <c r="CA281" s="36"/>
      <c r="CB281" s="36"/>
      <c r="CC281" s="27"/>
      <c r="CD281" s="36"/>
      <c r="CE281" s="36"/>
      <c r="CF281" s="36"/>
      <c r="CG281" s="36"/>
      <c r="CH281" s="27"/>
      <c r="CI281" s="36"/>
      <c r="CJ281" s="36"/>
      <c r="CK281" s="36"/>
      <c r="CL281" s="36"/>
      <c r="CM281" s="27"/>
    </row>
    <row r="282" spans="1:91" ht="12.75" hidden="1" customHeight="1" outlineLevel="1" x14ac:dyDescent="0.2">
      <c r="A282" s="25" t="s">
        <v>283</v>
      </c>
      <c r="B282" s="36"/>
      <c r="C282" s="36"/>
      <c r="D282" s="36"/>
      <c r="E282" s="41"/>
      <c r="F282" s="44"/>
      <c r="G282" s="36"/>
      <c r="H282" s="36"/>
      <c r="I282" s="36"/>
      <c r="J282" s="41"/>
      <c r="K282" s="44"/>
      <c r="L282" s="36"/>
      <c r="M282" s="36"/>
      <c r="N282" s="36"/>
      <c r="O282" s="41"/>
      <c r="P282" s="44"/>
      <c r="Q282" s="36"/>
      <c r="R282" s="36"/>
      <c r="S282" s="36"/>
      <c r="T282" s="41">
        <v>0</v>
      </c>
      <c r="U282" s="44">
        <v>0.01</v>
      </c>
      <c r="V282" s="36">
        <v>0.03</v>
      </c>
      <c r="W282" s="36">
        <v>0.01</v>
      </c>
      <c r="X282" s="36">
        <v>0</v>
      </c>
      <c r="Y282" s="36">
        <v>0</v>
      </c>
      <c r="Z282" s="27">
        <v>0.01</v>
      </c>
      <c r="AA282" s="36">
        <v>-0.02</v>
      </c>
      <c r="AB282" s="36">
        <v>7.0000000000000007E-2</v>
      </c>
      <c r="AC282" s="36">
        <v>0.08</v>
      </c>
      <c r="AD282" s="36">
        <v>7.0000000000000007E-2</v>
      </c>
      <c r="AE282" s="27">
        <v>0.05</v>
      </c>
      <c r="AF282" s="36">
        <v>0.08</v>
      </c>
      <c r="AG282" s="36">
        <v>0.01</v>
      </c>
      <c r="AH282" s="36">
        <v>0.04</v>
      </c>
      <c r="AI282" s="36"/>
      <c r="AJ282" s="27"/>
      <c r="AK282" s="36"/>
      <c r="AL282" s="36"/>
      <c r="AM282" s="36"/>
      <c r="AN282" s="36"/>
      <c r="AO282" s="27"/>
      <c r="AP282" s="36"/>
      <c r="AQ282" s="36"/>
      <c r="AR282" s="36"/>
      <c r="AS282" s="36"/>
      <c r="AT282" s="27"/>
      <c r="AU282" s="36"/>
      <c r="AV282" s="36"/>
      <c r="AW282" s="36"/>
      <c r="AX282" s="36"/>
      <c r="AY282" s="683"/>
      <c r="AZ282" s="36"/>
      <c r="BA282" s="36"/>
      <c r="BB282" s="36"/>
      <c r="BC282" s="36"/>
      <c r="BD282" s="683"/>
      <c r="BE282" s="36"/>
      <c r="BF282" s="36"/>
      <c r="BG282" s="36"/>
      <c r="BH282" s="36"/>
      <c r="BI282" s="683"/>
      <c r="BJ282" s="36"/>
      <c r="BK282" s="36"/>
      <c r="BL282" s="36"/>
      <c r="BM282" s="36"/>
      <c r="BN282" s="683"/>
      <c r="BO282" s="36"/>
      <c r="BP282" s="36"/>
      <c r="BQ282" s="36"/>
      <c r="BR282" s="36"/>
      <c r="BS282" s="683"/>
      <c r="BT282" s="36"/>
      <c r="BU282" s="36"/>
      <c r="BV282" s="36"/>
      <c r="BW282" s="36"/>
      <c r="BX282" s="683"/>
      <c r="BY282" s="36"/>
      <c r="BZ282" s="36"/>
      <c r="CA282" s="36"/>
      <c r="CB282" s="36"/>
      <c r="CC282" s="27"/>
      <c r="CD282" s="36"/>
      <c r="CE282" s="36"/>
      <c r="CF282" s="36"/>
      <c r="CG282" s="36"/>
      <c r="CH282" s="27"/>
      <c r="CI282" s="36"/>
      <c r="CJ282" s="36"/>
      <c r="CK282" s="36"/>
      <c r="CL282" s="36"/>
      <c r="CM282" s="27"/>
    </row>
    <row r="283" spans="1:91" ht="12.75" hidden="1" customHeight="1" outlineLevel="1" x14ac:dyDescent="0.2">
      <c r="A283" s="25" t="s">
        <v>289</v>
      </c>
      <c r="B283" s="36"/>
      <c r="C283" s="36"/>
      <c r="D283" s="36"/>
      <c r="E283" s="36"/>
      <c r="F283" s="35"/>
      <c r="G283" s="36"/>
      <c r="H283" s="36"/>
      <c r="I283" s="36"/>
      <c r="J283" s="36"/>
      <c r="K283" s="35"/>
      <c r="L283" s="36"/>
      <c r="M283" s="36"/>
      <c r="N283" s="36"/>
      <c r="O283" s="36"/>
      <c r="P283" s="35"/>
      <c r="Q283" s="36"/>
      <c r="R283" s="36"/>
      <c r="S283" s="36"/>
      <c r="T283" s="36" t="s">
        <v>284</v>
      </c>
      <c r="U283" s="35"/>
      <c r="V283" s="36" t="s">
        <v>284</v>
      </c>
      <c r="W283" s="36" t="s">
        <v>284</v>
      </c>
      <c r="X283" s="36" t="s">
        <v>284</v>
      </c>
      <c r="Y283" s="36">
        <v>0.12</v>
      </c>
      <c r="Z283" s="35"/>
      <c r="AA283" s="36">
        <v>0.1</v>
      </c>
      <c r="AB283" s="36">
        <v>0.1</v>
      </c>
      <c r="AC283" s="36">
        <v>0.1</v>
      </c>
      <c r="AD283" s="36"/>
      <c r="AE283" s="35"/>
      <c r="AF283" s="36"/>
      <c r="AG283" s="36"/>
      <c r="AH283" s="36"/>
      <c r="AI283" s="36"/>
      <c r="AJ283" s="35"/>
      <c r="AK283" s="36"/>
      <c r="AL283" s="36"/>
      <c r="AM283" s="36"/>
      <c r="AN283" s="36"/>
      <c r="AO283" s="35"/>
      <c r="AP283" s="36"/>
      <c r="AQ283" s="36"/>
      <c r="AR283" s="36"/>
      <c r="AS283" s="36"/>
      <c r="AT283" s="35"/>
      <c r="AU283" s="36"/>
      <c r="AV283" s="36"/>
      <c r="AW283" s="36"/>
      <c r="AX283" s="36"/>
      <c r="AY283" s="684"/>
      <c r="AZ283" s="36"/>
      <c r="BA283" s="36"/>
      <c r="BB283" s="36"/>
      <c r="BC283" s="36"/>
      <c r="BD283" s="684"/>
      <c r="BE283" s="36"/>
      <c r="BF283" s="36"/>
      <c r="BG283" s="36"/>
      <c r="BH283" s="36"/>
      <c r="BI283" s="684"/>
      <c r="BJ283" s="36"/>
      <c r="BK283" s="36"/>
      <c r="BL283" s="36"/>
      <c r="BM283" s="36"/>
      <c r="BN283" s="684"/>
      <c r="BO283" s="36"/>
      <c r="BP283" s="36"/>
      <c r="BQ283" s="36"/>
      <c r="BR283" s="36"/>
      <c r="BS283" s="684"/>
      <c r="BT283" s="36"/>
      <c r="BU283" s="36"/>
      <c r="BV283" s="36"/>
      <c r="BW283" s="36"/>
      <c r="BX283" s="684"/>
      <c r="BY283" s="36"/>
      <c r="BZ283" s="36"/>
      <c r="CA283" s="36"/>
      <c r="CB283" s="36"/>
      <c r="CC283" s="35"/>
      <c r="CD283" s="36"/>
      <c r="CE283" s="36"/>
      <c r="CF283" s="36"/>
      <c r="CG283" s="36"/>
      <c r="CH283" s="35"/>
      <c r="CI283" s="36"/>
      <c r="CJ283" s="36"/>
      <c r="CK283" s="36"/>
      <c r="CL283" s="36"/>
      <c r="CM283" s="35"/>
    </row>
    <row r="284" spans="1:91" ht="12.75" hidden="1" customHeight="1" outlineLevel="1" x14ac:dyDescent="0.2">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682"/>
      <c r="AZ284" s="25"/>
      <c r="BA284" s="25"/>
      <c r="BB284" s="25"/>
      <c r="BC284" s="25"/>
      <c r="BD284" s="682"/>
      <c r="BE284" s="25"/>
      <c r="BF284" s="25"/>
      <c r="BG284" s="25"/>
      <c r="BH284" s="25"/>
      <c r="BI284" s="682"/>
      <c r="BJ284" s="25"/>
      <c r="BK284" s="25"/>
      <c r="BL284" s="25"/>
      <c r="BM284" s="25"/>
      <c r="BN284" s="682"/>
      <c r="BO284" s="25"/>
      <c r="BP284" s="25"/>
      <c r="BQ284" s="25"/>
      <c r="BR284" s="25"/>
      <c r="BS284" s="682"/>
      <c r="BT284" s="25"/>
      <c r="BU284" s="25"/>
      <c r="BV284" s="25"/>
      <c r="BW284" s="25"/>
      <c r="BX284" s="682"/>
      <c r="BY284" s="25"/>
      <c r="BZ284" s="25"/>
      <c r="CA284" s="25"/>
      <c r="CB284" s="25"/>
      <c r="CC284" s="25"/>
      <c r="CD284" s="25"/>
      <c r="CE284" s="25"/>
      <c r="CF284" s="25"/>
      <c r="CG284" s="25"/>
      <c r="CH284" s="25"/>
      <c r="CI284" s="25"/>
      <c r="CJ284" s="25"/>
      <c r="CK284" s="25"/>
      <c r="CL284" s="25"/>
      <c r="CM284" s="25"/>
    </row>
    <row r="285" spans="1:91" s="34" customFormat="1" ht="12.75" hidden="1" customHeight="1" outlineLevel="1" x14ac:dyDescent="0.2">
      <c r="A285" s="34" t="s">
        <v>260</v>
      </c>
      <c r="Y285" s="166"/>
      <c r="Z285" s="53">
        <v>24400</v>
      </c>
      <c r="AA285" s="126"/>
      <c r="AE285" s="53">
        <v>25500</v>
      </c>
      <c r="AJ285" s="53">
        <v>26700</v>
      </c>
      <c r="AY285" s="685"/>
      <c r="BD285" s="685"/>
      <c r="BI285" s="685"/>
      <c r="BN285" s="685"/>
      <c r="BS285" s="685"/>
      <c r="BX285" s="685"/>
    </row>
    <row r="286" spans="1:91" s="34" customFormat="1" ht="12.75" hidden="1" customHeight="1" outlineLevel="1" x14ac:dyDescent="0.2">
      <c r="A286" s="25" t="s">
        <v>253</v>
      </c>
      <c r="Y286" s="166"/>
      <c r="Z286" s="36">
        <v>0.77</v>
      </c>
      <c r="AA286" s="32"/>
      <c r="AB286" s="25"/>
      <c r="AC286" s="25"/>
      <c r="AD286" s="25"/>
      <c r="AE286" s="36">
        <v>0.76</v>
      </c>
      <c r="AF286" s="25"/>
      <c r="AG286" s="25"/>
      <c r="AH286" s="25"/>
      <c r="AI286" s="25"/>
      <c r="AJ286" s="36">
        <v>0.75</v>
      </c>
      <c r="AY286" s="685"/>
      <c r="BD286" s="685"/>
      <c r="BI286" s="685"/>
      <c r="BN286" s="685"/>
      <c r="BS286" s="685"/>
      <c r="BX286" s="685"/>
    </row>
    <row r="287" spans="1:91" s="34" customFormat="1" ht="12.75" hidden="1" customHeight="1" outlineLevel="1" x14ac:dyDescent="0.2">
      <c r="A287" s="25" t="s">
        <v>254</v>
      </c>
      <c r="Y287" s="166"/>
      <c r="Z287" s="36">
        <f>1-Z286</f>
        <v>0.22999999999999998</v>
      </c>
      <c r="AA287" s="32"/>
      <c r="AB287" s="25"/>
      <c r="AC287" s="25"/>
      <c r="AD287" s="25"/>
      <c r="AE287" s="36">
        <f>1-AE286</f>
        <v>0.24</v>
      </c>
      <c r="AF287" s="25"/>
      <c r="AG287" s="25"/>
      <c r="AH287" s="25"/>
      <c r="AI287" s="25"/>
      <c r="AJ287" s="36">
        <f>1-AJ286</f>
        <v>0.25</v>
      </c>
      <c r="AY287" s="685"/>
      <c r="BD287" s="685"/>
      <c r="BI287" s="685"/>
      <c r="BN287" s="685"/>
      <c r="BS287" s="685"/>
      <c r="BX287" s="685"/>
    </row>
    <row r="288" spans="1:91" s="34" customFormat="1" ht="3.75" hidden="1" customHeight="1" outlineLevel="1" x14ac:dyDescent="0.2">
      <c r="A288" s="25"/>
      <c r="Y288" s="166"/>
      <c r="Z288" s="36"/>
      <c r="AA288" s="32"/>
      <c r="AB288" s="25"/>
      <c r="AC288" s="25"/>
      <c r="AD288" s="25"/>
      <c r="AE288" s="36"/>
      <c r="AF288" s="25"/>
      <c r="AG288" s="25"/>
      <c r="AH288" s="25"/>
      <c r="AI288" s="25"/>
      <c r="AJ288" s="36"/>
      <c r="AY288" s="685"/>
      <c r="BD288" s="685"/>
      <c r="BI288" s="685"/>
      <c r="BN288" s="685"/>
      <c r="BS288" s="685"/>
      <c r="BX288" s="685"/>
    </row>
    <row r="289" spans="1:91" s="34" customFormat="1" ht="12.75" hidden="1" customHeight="1" outlineLevel="1" x14ac:dyDescent="0.2">
      <c r="A289" s="25" t="s">
        <v>255</v>
      </c>
      <c r="Y289" s="166"/>
      <c r="Z289" s="36">
        <v>0.51</v>
      </c>
      <c r="AA289" s="32"/>
      <c r="AB289" s="25"/>
      <c r="AC289" s="25"/>
      <c r="AD289" s="25"/>
      <c r="AE289" s="36">
        <v>0.5</v>
      </c>
      <c r="AF289" s="25"/>
      <c r="AG289" s="25"/>
      <c r="AH289" s="25"/>
      <c r="AI289" s="25"/>
      <c r="AJ289" s="36">
        <v>0.49</v>
      </c>
      <c r="AY289" s="685"/>
      <c r="BD289" s="685"/>
      <c r="BI289" s="685"/>
      <c r="BN289" s="685"/>
      <c r="BS289" s="685"/>
      <c r="BX289" s="685"/>
    </row>
    <row r="290" spans="1:91" s="34" customFormat="1" ht="12.75" hidden="1" customHeight="1" outlineLevel="1" x14ac:dyDescent="0.2">
      <c r="A290" s="25"/>
      <c r="Y290" s="166"/>
      <c r="Z290" s="36"/>
      <c r="AA290" s="32"/>
      <c r="AB290" s="25"/>
      <c r="AC290" s="25"/>
      <c r="AD290" s="25"/>
      <c r="AE290" s="36"/>
      <c r="AF290" s="25"/>
      <c r="AG290" s="25"/>
      <c r="AH290" s="25"/>
      <c r="AI290" s="25"/>
      <c r="AJ290" s="36"/>
      <c r="AY290" s="685"/>
      <c r="BD290" s="685"/>
      <c r="BI290" s="685"/>
      <c r="BN290" s="685"/>
      <c r="BS290" s="685"/>
      <c r="BX290" s="685"/>
    </row>
    <row r="291" spans="1:91" s="34" customFormat="1" ht="12.75" hidden="1" customHeight="1" outlineLevel="1" x14ac:dyDescent="0.2">
      <c r="A291" s="34" t="s">
        <v>256</v>
      </c>
      <c r="Y291" s="166"/>
      <c r="Z291" s="38"/>
      <c r="AA291" s="126"/>
      <c r="AE291" s="38"/>
      <c r="AJ291" s="38">
        <v>0.2</v>
      </c>
      <c r="AY291" s="685"/>
      <c r="BD291" s="685"/>
      <c r="BI291" s="685"/>
      <c r="BN291" s="685"/>
      <c r="BS291" s="685"/>
      <c r="BX291" s="685"/>
    </row>
    <row r="292" spans="1:91" s="34" customFormat="1" ht="12.75" hidden="1" customHeight="1" outlineLevel="1" x14ac:dyDescent="0.2">
      <c r="A292" s="25" t="s">
        <v>253</v>
      </c>
      <c r="Y292" s="166"/>
      <c r="Z292" s="36"/>
      <c r="AA292" s="32"/>
      <c r="AB292" s="25"/>
      <c r="AC292" s="25"/>
      <c r="AD292" s="25"/>
      <c r="AE292" s="36"/>
      <c r="AF292" s="25"/>
      <c r="AG292" s="25"/>
      <c r="AH292" s="25"/>
      <c r="AI292" s="25"/>
      <c r="AJ292" s="36">
        <v>0.7</v>
      </c>
      <c r="AY292" s="685"/>
      <c r="BD292" s="685"/>
      <c r="BI292" s="685"/>
      <c r="BN292" s="685"/>
      <c r="BS292" s="685"/>
      <c r="BX292" s="685"/>
    </row>
    <row r="293" spans="1:91" ht="12.75" hidden="1" customHeight="1" outlineLevel="1" x14ac:dyDescent="0.2">
      <c r="A293" s="25" t="s">
        <v>254</v>
      </c>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132"/>
      <c r="Z293" s="32"/>
      <c r="AA293" s="32"/>
      <c r="AB293" s="25"/>
      <c r="AC293" s="25"/>
      <c r="AD293" s="25"/>
      <c r="AE293" s="25"/>
      <c r="AF293" s="25"/>
      <c r="AG293" s="25"/>
      <c r="AH293" s="25"/>
      <c r="AI293" s="25"/>
      <c r="AJ293" s="123">
        <f>1-AJ292</f>
        <v>0.30000000000000004</v>
      </c>
      <c r="AK293" s="25"/>
      <c r="AL293" s="25"/>
      <c r="AM293" s="25"/>
      <c r="AN293" s="25"/>
      <c r="AO293" s="25"/>
      <c r="AP293" s="25"/>
      <c r="AQ293" s="25"/>
      <c r="AR293" s="25"/>
      <c r="AS293" s="25"/>
      <c r="AT293" s="25"/>
      <c r="AU293" s="25"/>
      <c r="AV293" s="25"/>
      <c r="AW293" s="25"/>
      <c r="AX293" s="25"/>
      <c r="AY293" s="682"/>
      <c r="AZ293" s="25"/>
      <c r="BA293" s="25"/>
      <c r="BB293" s="25"/>
      <c r="BC293" s="25"/>
      <c r="BD293" s="682"/>
      <c r="BE293" s="25"/>
      <c r="BF293" s="25"/>
      <c r="BG293" s="25"/>
      <c r="BH293" s="25"/>
      <c r="BI293" s="682"/>
      <c r="BJ293" s="25"/>
      <c r="BK293" s="25"/>
      <c r="BL293" s="25"/>
      <c r="BM293" s="25"/>
      <c r="BN293" s="682"/>
      <c r="BO293" s="25"/>
      <c r="BP293" s="25"/>
      <c r="BQ293" s="25"/>
      <c r="BR293" s="25"/>
      <c r="BS293" s="682"/>
      <c r="BT293" s="25"/>
      <c r="BU293" s="25"/>
      <c r="BV293" s="25"/>
      <c r="BW293" s="25"/>
      <c r="BX293" s="682"/>
      <c r="BY293" s="25"/>
      <c r="BZ293" s="25"/>
      <c r="CA293" s="25"/>
      <c r="CB293" s="25"/>
      <c r="CC293" s="25"/>
      <c r="CD293" s="25"/>
      <c r="CE293" s="25"/>
      <c r="CF293" s="25"/>
      <c r="CG293" s="25"/>
      <c r="CH293" s="25"/>
      <c r="CI293" s="25"/>
      <c r="CJ293" s="25"/>
      <c r="CK293" s="25"/>
      <c r="CL293" s="25"/>
      <c r="CM293" s="25"/>
    </row>
    <row r="294" spans="1:91" ht="0.75" hidden="1" customHeight="1" outlineLevel="1" x14ac:dyDescent="0.2">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132"/>
      <c r="Z294" s="32"/>
      <c r="AA294" s="32"/>
      <c r="AB294" s="25"/>
      <c r="AC294" s="25"/>
      <c r="AD294" s="25"/>
      <c r="AE294" s="25"/>
      <c r="AF294" s="25"/>
      <c r="AG294" s="25"/>
      <c r="AH294" s="25"/>
      <c r="AI294" s="25"/>
      <c r="AJ294" s="123"/>
      <c r="AK294" s="25"/>
      <c r="AL294" s="25"/>
      <c r="AM294" s="25"/>
      <c r="AN294" s="25"/>
      <c r="AO294" s="25"/>
      <c r="AP294" s="25"/>
      <c r="AQ294" s="25"/>
      <c r="AR294" s="25"/>
      <c r="AS294" s="25"/>
      <c r="AT294" s="25"/>
      <c r="AU294" s="25"/>
      <c r="AV294" s="25"/>
      <c r="AW294" s="25"/>
      <c r="AX294" s="25"/>
      <c r="AY294" s="682"/>
      <c r="AZ294" s="25"/>
      <c r="BA294" s="25"/>
      <c r="BB294" s="25"/>
      <c r="BC294" s="25"/>
      <c r="BD294" s="682"/>
      <c r="BE294" s="25"/>
      <c r="BF294" s="25"/>
      <c r="BG294" s="25"/>
      <c r="BH294" s="25"/>
      <c r="BI294" s="682"/>
      <c r="BJ294" s="25"/>
      <c r="BK294" s="25"/>
      <c r="BL294" s="25"/>
      <c r="BM294" s="25"/>
      <c r="BN294" s="682"/>
      <c r="BO294" s="25"/>
      <c r="BP294" s="25"/>
      <c r="BQ294" s="25"/>
      <c r="BR294" s="25"/>
      <c r="BS294" s="682"/>
      <c r="BT294" s="25"/>
      <c r="BU294" s="25"/>
      <c r="BV294" s="25"/>
      <c r="BW294" s="25"/>
      <c r="BX294" s="682"/>
      <c r="BY294" s="25"/>
      <c r="BZ294" s="25"/>
      <c r="CA294" s="25"/>
      <c r="CB294" s="25"/>
      <c r="CC294" s="25"/>
      <c r="CD294" s="25"/>
      <c r="CE294" s="25"/>
      <c r="CF294" s="25"/>
      <c r="CG294" s="25"/>
      <c r="CH294" s="25"/>
      <c r="CI294" s="25"/>
      <c r="CJ294" s="25"/>
      <c r="CK294" s="25"/>
      <c r="CL294" s="25"/>
      <c r="CM294" s="25"/>
    </row>
    <row r="295" spans="1:91" ht="12.75" hidden="1" customHeight="1" outlineLevel="1" x14ac:dyDescent="0.2">
      <c r="A295" s="25" t="s">
        <v>257</v>
      </c>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132"/>
      <c r="Z295" s="32"/>
      <c r="AA295" s="32"/>
      <c r="AB295" s="25"/>
      <c r="AC295" s="25"/>
      <c r="AD295" s="25"/>
      <c r="AE295" s="25"/>
      <c r="AF295" s="25"/>
      <c r="AG295" s="25"/>
      <c r="AH295" s="25"/>
      <c r="AI295" s="25"/>
      <c r="AJ295" s="123">
        <v>0.49</v>
      </c>
      <c r="AK295" s="25"/>
      <c r="AL295" s="25"/>
      <c r="AM295" s="25"/>
      <c r="AN295" s="25"/>
      <c r="AO295" s="25"/>
      <c r="AP295" s="25"/>
      <c r="AQ295" s="25"/>
      <c r="AR295" s="25"/>
      <c r="AS295" s="25"/>
      <c r="AT295" s="25"/>
      <c r="AU295" s="25"/>
      <c r="AV295" s="25"/>
      <c r="AW295" s="25"/>
      <c r="AX295" s="25"/>
      <c r="AY295" s="682"/>
      <c r="AZ295" s="25"/>
      <c r="BA295" s="25"/>
      <c r="BB295" s="25"/>
      <c r="BC295" s="25"/>
      <c r="BD295" s="682"/>
      <c r="BE295" s="25"/>
      <c r="BF295" s="25"/>
      <c r="BG295" s="25"/>
      <c r="BH295" s="25"/>
      <c r="BI295" s="682"/>
      <c r="BJ295" s="25"/>
      <c r="BK295" s="25"/>
      <c r="BL295" s="25"/>
      <c r="BM295" s="25"/>
      <c r="BN295" s="682"/>
      <c r="BO295" s="25"/>
      <c r="BP295" s="25"/>
      <c r="BQ295" s="25"/>
      <c r="BR295" s="25"/>
      <c r="BS295" s="682"/>
      <c r="BT295" s="25"/>
      <c r="BU295" s="25"/>
      <c r="BV295" s="25"/>
      <c r="BW295" s="25"/>
      <c r="BX295" s="682"/>
      <c r="BY295" s="25"/>
      <c r="BZ295" s="25"/>
      <c r="CA295" s="25"/>
      <c r="CB295" s="25"/>
      <c r="CC295" s="25"/>
      <c r="CD295" s="25"/>
      <c r="CE295" s="25"/>
      <c r="CF295" s="25"/>
      <c r="CG295" s="25"/>
      <c r="CH295" s="25"/>
      <c r="CI295" s="25"/>
      <c r="CJ295" s="25"/>
      <c r="CK295" s="25"/>
      <c r="CL295" s="25"/>
      <c r="CM295" s="25"/>
    </row>
    <row r="296" spans="1:91" ht="12.75" hidden="1" customHeight="1" outlineLevel="1" x14ac:dyDescent="0.2">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132"/>
      <c r="Z296" s="32"/>
      <c r="AA296" s="32"/>
      <c r="AB296" s="25"/>
      <c r="AC296" s="25"/>
      <c r="AD296" s="25"/>
      <c r="AE296" s="25"/>
      <c r="AF296" s="25"/>
      <c r="AG296" s="25"/>
      <c r="AH296" s="25"/>
      <c r="AI296" s="25"/>
      <c r="AJ296" s="123"/>
      <c r="AK296" s="25"/>
      <c r="AL296" s="25"/>
      <c r="AM296" s="25"/>
      <c r="AN296" s="25"/>
      <c r="AO296" s="25"/>
      <c r="AP296" s="25"/>
      <c r="AQ296" s="25"/>
      <c r="AR296" s="25"/>
      <c r="AS296" s="25"/>
      <c r="AT296" s="25"/>
      <c r="AU296" s="25"/>
      <c r="AV296" s="25"/>
      <c r="AW296" s="25"/>
      <c r="AX296" s="25"/>
      <c r="AY296" s="682"/>
      <c r="AZ296" s="25"/>
      <c r="BA296" s="25"/>
      <c r="BB296" s="25"/>
      <c r="BC296" s="25"/>
      <c r="BD296" s="682"/>
      <c r="BE296" s="25"/>
      <c r="BF296" s="25"/>
      <c r="BG296" s="25"/>
      <c r="BH296" s="25"/>
      <c r="BI296" s="682"/>
      <c r="BJ296" s="25"/>
      <c r="BK296" s="25"/>
      <c r="BL296" s="25"/>
      <c r="BM296" s="25"/>
      <c r="BN296" s="682"/>
      <c r="BO296" s="25"/>
      <c r="BP296" s="25"/>
      <c r="BQ296" s="25"/>
      <c r="BR296" s="25"/>
      <c r="BS296" s="682"/>
      <c r="BT296" s="25"/>
      <c r="BU296" s="25"/>
      <c r="BV296" s="25"/>
      <c r="BW296" s="25"/>
      <c r="BX296" s="682"/>
      <c r="BY296" s="25"/>
      <c r="BZ296" s="25"/>
      <c r="CA296" s="25"/>
      <c r="CB296" s="25"/>
      <c r="CC296" s="25"/>
      <c r="CD296" s="25"/>
      <c r="CE296" s="25"/>
      <c r="CF296" s="25"/>
      <c r="CG296" s="25"/>
      <c r="CH296" s="25"/>
      <c r="CI296" s="25"/>
      <c r="CJ296" s="25"/>
      <c r="CK296" s="25"/>
      <c r="CL296" s="25"/>
      <c r="CM296" s="25"/>
    </row>
    <row r="297" spans="1:91" s="34" customFormat="1" ht="12.75" hidden="1" customHeight="1" outlineLevel="1" x14ac:dyDescent="0.2">
      <c r="A297" s="34" t="s">
        <v>258</v>
      </c>
      <c r="Y297" s="166"/>
      <c r="Z297" s="126"/>
      <c r="AA297" s="126"/>
      <c r="AJ297" s="135">
        <v>0.8</v>
      </c>
      <c r="AY297" s="685"/>
      <c r="BD297" s="685"/>
      <c r="BI297" s="685"/>
      <c r="BN297" s="685"/>
      <c r="BS297" s="685"/>
      <c r="BX297" s="685"/>
    </row>
    <row r="298" spans="1:91" ht="12.75" hidden="1" customHeight="1" outlineLevel="1" x14ac:dyDescent="0.2">
      <c r="A298" s="25" t="s">
        <v>253</v>
      </c>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132"/>
      <c r="Z298" s="32"/>
      <c r="AA298" s="32"/>
      <c r="AB298" s="25"/>
      <c r="AC298" s="25"/>
      <c r="AD298" s="25"/>
      <c r="AE298" s="25"/>
      <c r="AF298" s="25"/>
      <c r="AG298" s="25"/>
      <c r="AH298" s="25"/>
      <c r="AI298" s="25"/>
      <c r="AJ298" s="123">
        <v>0.77</v>
      </c>
      <c r="AK298" s="25"/>
      <c r="AL298" s="25"/>
      <c r="AM298" s="25"/>
      <c r="AN298" s="25"/>
      <c r="AO298" s="25"/>
      <c r="AP298" s="25"/>
      <c r="AQ298" s="25"/>
      <c r="AR298" s="25"/>
      <c r="AS298" s="25"/>
      <c r="AT298" s="25"/>
      <c r="AU298" s="25"/>
      <c r="AV298" s="25"/>
      <c r="AW298" s="25"/>
      <c r="AX298" s="25"/>
      <c r="AY298" s="682"/>
      <c r="AZ298" s="25"/>
      <c r="BA298" s="25"/>
      <c r="BB298" s="25"/>
      <c r="BC298" s="25"/>
      <c r="BD298" s="682"/>
      <c r="BE298" s="25"/>
      <c r="BF298" s="25"/>
      <c r="BG298" s="25"/>
      <c r="BH298" s="25"/>
      <c r="BI298" s="682"/>
      <c r="BJ298" s="25"/>
      <c r="BK298" s="25"/>
      <c r="BL298" s="25"/>
      <c r="BM298" s="25"/>
      <c r="BN298" s="682"/>
      <c r="BO298" s="25"/>
      <c r="BP298" s="25"/>
      <c r="BQ298" s="25"/>
      <c r="BR298" s="25"/>
      <c r="BS298" s="682"/>
      <c r="BT298" s="25"/>
      <c r="BU298" s="25"/>
      <c r="BV298" s="25"/>
      <c r="BW298" s="25"/>
      <c r="BX298" s="682"/>
      <c r="BY298" s="25"/>
      <c r="BZ298" s="25"/>
      <c r="CA298" s="25"/>
      <c r="CB298" s="25"/>
      <c r="CC298" s="25"/>
      <c r="CD298" s="25"/>
      <c r="CE298" s="25"/>
      <c r="CF298" s="25"/>
      <c r="CG298" s="25"/>
      <c r="CH298" s="25"/>
      <c r="CI298" s="25"/>
      <c r="CJ298" s="25"/>
      <c r="CK298" s="25"/>
      <c r="CL298" s="25"/>
      <c r="CM298" s="25"/>
    </row>
    <row r="299" spans="1:91" ht="12.75" hidden="1" customHeight="1" outlineLevel="1" x14ac:dyDescent="0.2">
      <c r="A299" s="25" t="s">
        <v>254</v>
      </c>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132"/>
      <c r="Z299" s="32"/>
      <c r="AA299" s="32"/>
      <c r="AB299" s="25"/>
      <c r="AC299" s="25"/>
      <c r="AD299" s="25"/>
      <c r="AE299" s="25"/>
      <c r="AF299" s="25"/>
      <c r="AG299" s="25"/>
      <c r="AH299" s="25"/>
      <c r="AI299" s="25"/>
      <c r="AJ299" s="123">
        <f>1-AJ298</f>
        <v>0.22999999999999998</v>
      </c>
      <c r="AK299" s="25"/>
      <c r="AL299" s="25"/>
      <c r="AM299" s="25"/>
      <c r="AN299" s="25"/>
      <c r="AO299" s="25"/>
      <c r="AP299" s="25"/>
      <c r="AQ299" s="25"/>
      <c r="AR299" s="25"/>
      <c r="AS299" s="25"/>
      <c r="AT299" s="25"/>
      <c r="AU299" s="25"/>
      <c r="AV299" s="25"/>
      <c r="AW299" s="25"/>
      <c r="AX299" s="25"/>
      <c r="AY299" s="682"/>
      <c r="AZ299" s="25"/>
      <c r="BA299" s="25"/>
      <c r="BB299" s="25"/>
      <c r="BC299" s="25"/>
      <c r="BD299" s="682"/>
      <c r="BE299" s="25"/>
      <c r="BF299" s="25"/>
      <c r="BG299" s="25"/>
      <c r="BH299" s="25"/>
      <c r="BI299" s="682"/>
      <c r="BJ299" s="25"/>
      <c r="BK299" s="25"/>
      <c r="BL299" s="25"/>
      <c r="BM299" s="25"/>
      <c r="BN299" s="682"/>
      <c r="BO299" s="25"/>
      <c r="BP299" s="25"/>
      <c r="BQ299" s="25"/>
      <c r="BR299" s="25"/>
      <c r="BS299" s="682"/>
      <c r="BT299" s="25"/>
      <c r="BU299" s="25"/>
      <c r="BV299" s="25"/>
      <c r="BW299" s="25"/>
      <c r="BX299" s="682"/>
      <c r="BY299" s="25"/>
      <c r="BZ299" s="25"/>
      <c r="CA299" s="25"/>
      <c r="CB299" s="25"/>
      <c r="CC299" s="25"/>
      <c r="CD299" s="25"/>
      <c r="CE299" s="25"/>
      <c r="CF299" s="25"/>
      <c r="CG299" s="25"/>
      <c r="CH299" s="25"/>
      <c r="CI299" s="25"/>
      <c r="CJ299" s="25"/>
      <c r="CK299" s="25"/>
      <c r="CL299" s="25"/>
      <c r="CM299" s="25"/>
    </row>
    <row r="300" spans="1:91" ht="0.75" hidden="1" customHeight="1" outlineLevel="1" x14ac:dyDescent="0.2">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132"/>
      <c r="Z300" s="32"/>
      <c r="AA300" s="32"/>
      <c r="AB300" s="25"/>
      <c r="AC300" s="25"/>
      <c r="AD300" s="25"/>
      <c r="AE300" s="25"/>
      <c r="AF300" s="25"/>
      <c r="AG300" s="25"/>
      <c r="AH300" s="25"/>
      <c r="AI300" s="25"/>
      <c r="AJ300" s="123"/>
      <c r="AK300" s="25"/>
      <c r="AL300" s="25"/>
      <c r="AM300" s="25"/>
      <c r="AN300" s="25"/>
      <c r="AO300" s="25"/>
      <c r="AP300" s="25"/>
      <c r="AQ300" s="25"/>
      <c r="AR300" s="25"/>
      <c r="AS300" s="25"/>
      <c r="AT300" s="25"/>
      <c r="AU300" s="25"/>
      <c r="AV300" s="25"/>
      <c r="AW300" s="25"/>
      <c r="AX300" s="25"/>
      <c r="AY300" s="682"/>
      <c r="AZ300" s="25"/>
      <c r="BA300" s="25"/>
      <c r="BB300" s="25"/>
      <c r="BC300" s="25"/>
      <c r="BD300" s="682"/>
      <c r="BE300" s="25"/>
      <c r="BF300" s="25"/>
      <c r="BG300" s="25"/>
      <c r="BH300" s="25"/>
      <c r="BI300" s="682"/>
      <c r="BJ300" s="25"/>
      <c r="BK300" s="25"/>
      <c r="BL300" s="25"/>
      <c r="BM300" s="25"/>
      <c r="BN300" s="682"/>
      <c r="BO300" s="25"/>
      <c r="BP300" s="25"/>
      <c r="BQ300" s="25"/>
      <c r="BR300" s="25"/>
      <c r="BS300" s="682"/>
      <c r="BT300" s="25"/>
      <c r="BU300" s="25"/>
      <c r="BV300" s="25"/>
      <c r="BW300" s="25"/>
      <c r="BX300" s="682"/>
      <c r="BY300" s="25"/>
      <c r="BZ300" s="25"/>
      <c r="CA300" s="25"/>
      <c r="CB300" s="25"/>
      <c r="CC300" s="25"/>
      <c r="CD300" s="25"/>
      <c r="CE300" s="25"/>
      <c r="CF300" s="25"/>
      <c r="CG300" s="25"/>
      <c r="CH300" s="25"/>
      <c r="CI300" s="25"/>
      <c r="CJ300" s="25"/>
      <c r="CK300" s="25"/>
      <c r="CL300" s="25"/>
      <c r="CM300" s="25"/>
    </row>
    <row r="301" spans="1:91" ht="12.75" hidden="1" customHeight="1" outlineLevel="1" x14ac:dyDescent="0.2">
      <c r="A301" s="25" t="s">
        <v>257</v>
      </c>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132"/>
      <c r="Z301" s="32"/>
      <c r="AA301" s="32"/>
      <c r="AB301" s="25"/>
      <c r="AC301" s="25"/>
      <c r="AD301" s="25"/>
      <c r="AE301" s="25"/>
      <c r="AF301" s="25"/>
      <c r="AG301" s="25"/>
      <c r="AH301" s="25"/>
      <c r="AI301" s="25"/>
      <c r="AJ301" s="123">
        <v>0.49</v>
      </c>
      <c r="AK301" s="25"/>
      <c r="AL301" s="25"/>
      <c r="AM301" s="25"/>
      <c r="AN301" s="25"/>
      <c r="AO301" s="25"/>
      <c r="AP301" s="25"/>
      <c r="AQ301" s="25"/>
      <c r="AR301" s="25"/>
      <c r="AS301" s="25"/>
      <c r="AT301" s="25"/>
      <c r="AU301" s="25"/>
      <c r="AV301" s="25"/>
      <c r="AW301" s="25"/>
      <c r="AX301" s="25"/>
      <c r="AY301" s="682"/>
      <c r="AZ301" s="25"/>
      <c r="BA301" s="25"/>
      <c r="BB301" s="25"/>
      <c r="BC301" s="25"/>
      <c r="BD301" s="682"/>
      <c r="BE301" s="25"/>
      <c r="BF301" s="25"/>
      <c r="BG301" s="25"/>
      <c r="BH301" s="25"/>
      <c r="BI301" s="682"/>
      <c r="BJ301" s="25"/>
      <c r="BK301" s="25"/>
      <c r="BL301" s="25"/>
      <c r="BM301" s="25"/>
      <c r="BN301" s="682"/>
      <c r="BO301" s="25"/>
      <c r="BP301" s="25"/>
      <c r="BQ301" s="25"/>
      <c r="BR301" s="25"/>
      <c r="BS301" s="682"/>
      <c r="BT301" s="25"/>
      <c r="BU301" s="25"/>
      <c r="BV301" s="25"/>
      <c r="BW301" s="25"/>
      <c r="BX301" s="682"/>
      <c r="BY301" s="25"/>
      <c r="BZ301" s="25"/>
      <c r="CA301" s="25"/>
      <c r="CB301" s="25"/>
      <c r="CC301" s="25"/>
      <c r="CD301" s="25"/>
      <c r="CE301" s="25"/>
      <c r="CF301" s="25"/>
      <c r="CG301" s="25"/>
      <c r="CH301" s="25"/>
      <c r="CI301" s="25"/>
      <c r="CJ301" s="25"/>
      <c r="CK301" s="25"/>
      <c r="CL301" s="25"/>
      <c r="CM301" s="25"/>
    </row>
    <row r="302" spans="1:91" ht="12.75" hidden="1" customHeight="1" outlineLevel="1" x14ac:dyDescent="0.2">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132"/>
      <c r="Z302" s="32"/>
      <c r="AA302" s="32"/>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682"/>
      <c r="AZ302" s="25"/>
      <c r="BA302" s="25"/>
      <c r="BB302" s="25"/>
      <c r="BC302" s="25"/>
      <c r="BD302" s="682"/>
      <c r="BE302" s="25"/>
      <c r="BF302" s="25"/>
      <c r="BG302" s="25"/>
      <c r="BH302" s="25"/>
      <c r="BI302" s="682"/>
      <c r="BJ302" s="25"/>
      <c r="BK302" s="25"/>
      <c r="BL302" s="25"/>
      <c r="BM302" s="25"/>
      <c r="BN302" s="682"/>
      <c r="BO302" s="25"/>
      <c r="BP302" s="25"/>
      <c r="BQ302" s="25"/>
      <c r="BR302" s="25"/>
      <c r="BS302" s="682"/>
      <c r="BT302" s="25"/>
      <c r="BU302" s="25"/>
      <c r="BV302" s="25"/>
      <c r="BW302" s="25"/>
      <c r="BX302" s="682"/>
      <c r="BY302" s="25"/>
      <c r="BZ302" s="25"/>
      <c r="CA302" s="25"/>
      <c r="CB302" s="25"/>
      <c r="CC302" s="25"/>
      <c r="CD302" s="25"/>
      <c r="CE302" s="25"/>
      <c r="CF302" s="25"/>
      <c r="CG302" s="25"/>
      <c r="CH302" s="25"/>
      <c r="CI302" s="25"/>
      <c r="CJ302" s="25"/>
      <c r="CK302" s="25"/>
      <c r="CL302" s="25"/>
      <c r="CM302" s="25"/>
    </row>
    <row r="303" spans="1:91" ht="12.75" hidden="1" customHeight="1" outlineLevel="1" x14ac:dyDescent="0.2">
      <c r="A303" s="34" t="s">
        <v>259</v>
      </c>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c r="AA303" s="32"/>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682"/>
      <c r="AZ303" s="25"/>
      <c r="BA303" s="25"/>
      <c r="BB303" s="25"/>
      <c r="BC303" s="25"/>
      <c r="BD303" s="682"/>
      <c r="BE303" s="25"/>
      <c r="BF303" s="25"/>
      <c r="BG303" s="25"/>
      <c r="BH303" s="25"/>
      <c r="BI303" s="682"/>
      <c r="BJ303" s="25"/>
      <c r="BK303" s="25"/>
      <c r="BL303" s="25"/>
      <c r="BM303" s="25"/>
      <c r="BN303" s="682"/>
      <c r="BO303" s="25"/>
      <c r="BP303" s="25"/>
      <c r="BQ303" s="25"/>
      <c r="BR303" s="25"/>
      <c r="BS303" s="682"/>
      <c r="BT303" s="25"/>
      <c r="BU303" s="25"/>
      <c r="BV303" s="25"/>
      <c r="BW303" s="25"/>
      <c r="BX303" s="682"/>
      <c r="BY303" s="25"/>
      <c r="BZ303" s="25"/>
      <c r="CA303" s="25"/>
      <c r="CB303" s="25"/>
      <c r="CC303" s="25"/>
      <c r="CD303" s="25"/>
      <c r="CE303" s="25"/>
      <c r="CF303" s="25"/>
      <c r="CG303" s="25"/>
      <c r="CH303" s="25"/>
      <c r="CI303" s="25"/>
      <c r="CJ303" s="25"/>
      <c r="CK303" s="25"/>
      <c r="CL303" s="25"/>
      <c r="CM303" s="25"/>
    </row>
    <row r="304" spans="1:91" ht="12.75" hidden="1" customHeight="1" outlineLevel="1" x14ac:dyDescent="0.2">
      <c r="A304" s="47" t="s">
        <v>182</v>
      </c>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136">
        <v>0.16</v>
      </c>
      <c r="AF304" s="25"/>
      <c r="AG304" s="25"/>
      <c r="AH304" s="25"/>
      <c r="AI304" s="25"/>
      <c r="AJ304" s="144">
        <v>0.16</v>
      </c>
      <c r="AK304" s="25"/>
      <c r="AL304" s="25"/>
      <c r="AM304" s="25"/>
      <c r="AN304" s="25"/>
      <c r="AO304" s="25"/>
      <c r="AP304" s="25"/>
      <c r="AQ304" s="25"/>
      <c r="AR304" s="25"/>
      <c r="AS304" s="25"/>
      <c r="AT304" s="25"/>
      <c r="AU304" s="25"/>
      <c r="AV304" s="25"/>
      <c r="AW304" s="25"/>
      <c r="AX304" s="25"/>
      <c r="AY304" s="682"/>
      <c r="AZ304" s="25"/>
      <c r="BA304" s="25"/>
      <c r="BB304" s="25"/>
      <c r="BC304" s="25"/>
      <c r="BD304" s="682"/>
      <c r="BE304" s="25"/>
      <c r="BF304" s="25"/>
      <c r="BG304" s="25"/>
      <c r="BH304" s="25"/>
      <c r="BI304" s="682"/>
      <c r="BJ304" s="25"/>
      <c r="BK304" s="25"/>
      <c r="BL304" s="25"/>
      <c r="BM304" s="25"/>
      <c r="BN304" s="682"/>
      <c r="BO304" s="25"/>
      <c r="BP304" s="25"/>
      <c r="BQ304" s="25"/>
      <c r="BR304" s="25"/>
      <c r="BS304" s="682"/>
      <c r="BT304" s="25"/>
      <c r="BU304" s="25"/>
      <c r="BV304" s="25"/>
      <c r="BW304" s="25"/>
      <c r="BX304" s="682"/>
      <c r="BY304" s="25"/>
      <c r="BZ304" s="25"/>
      <c r="CA304" s="25"/>
      <c r="CB304" s="25"/>
      <c r="CC304" s="25"/>
      <c r="CD304" s="25"/>
      <c r="CE304" s="25"/>
      <c r="CF304" s="25"/>
      <c r="CG304" s="25"/>
      <c r="CH304" s="25"/>
      <c r="CI304" s="25"/>
      <c r="CJ304" s="25"/>
      <c r="CK304" s="25"/>
      <c r="CL304" s="25"/>
      <c r="CM304" s="25"/>
    </row>
    <row r="305" spans="1:91" ht="12.75" hidden="1" customHeight="1" outlineLevel="1" x14ac:dyDescent="0.2">
      <c r="A305" s="47" t="s">
        <v>183</v>
      </c>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136">
        <v>0.16</v>
      </c>
      <c r="AF305" s="25"/>
      <c r="AG305" s="25"/>
      <c r="AH305" s="25"/>
      <c r="AI305" s="25"/>
      <c r="AJ305" s="144">
        <v>0.16</v>
      </c>
      <c r="AK305" s="25"/>
      <c r="AL305" s="25"/>
      <c r="AM305" s="25"/>
      <c r="AN305" s="25"/>
      <c r="AO305" s="25"/>
      <c r="AP305" s="25"/>
      <c r="AQ305" s="25"/>
      <c r="AR305" s="25"/>
      <c r="AS305" s="25"/>
      <c r="AT305" s="25"/>
      <c r="AU305" s="25"/>
      <c r="AV305" s="25"/>
      <c r="AW305" s="25"/>
      <c r="AX305" s="25"/>
      <c r="AY305" s="682"/>
      <c r="AZ305" s="25"/>
      <c r="BA305" s="25"/>
      <c r="BB305" s="25"/>
      <c r="BC305" s="25"/>
      <c r="BD305" s="682"/>
      <c r="BE305" s="25"/>
      <c r="BF305" s="25"/>
      <c r="BG305" s="25"/>
      <c r="BH305" s="25"/>
      <c r="BI305" s="682"/>
      <c r="BJ305" s="25"/>
      <c r="BK305" s="25"/>
      <c r="BL305" s="25"/>
      <c r="BM305" s="25"/>
      <c r="BN305" s="682"/>
      <c r="BO305" s="25"/>
      <c r="BP305" s="25"/>
      <c r="BQ305" s="25"/>
      <c r="BR305" s="25"/>
      <c r="BS305" s="682"/>
      <c r="BT305" s="25"/>
      <c r="BU305" s="25"/>
      <c r="BV305" s="25"/>
      <c r="BW305" s="25"/>
      <c r="BX305" s="682"/>
      <c r="BY305" s="25"/>
      <c r="BZ305" s="25"/>
      <c r="CA305" s="25"/>
      <c r="CB305" s="25"/>
      <c r="CC305" s="25"/>
      <c r="CD305" s="25"/>
      <c r="CE305" s="25"/>
      <c r="CF305" s="25"/>
      <c r="CG305" s="25"/>
      <c r="CH305" s="25"/>
      <c r="CI305" s="25"/>
      <c r="CJ305" s="25"/>
      <c r="CK305" s="25"/>
      <c r="CL305" s="25"/>
      <c r="CM305" s="25"/>
    </row>
    <row r="306" spans="1:91" ht="12.75" hidden="1" customHeight="1" outlineLevel="1" x14ac:dyDescent="0.2">
      <c r="A306" s="47" t="s">
        <v>14</v>
      </c>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136">
        <v>0.28000000000000003</v>
      </c>
      <c r="AF306" s="25"/>
      <c r="AG306" s="25"/>
      <c r="AH306" s="25"/>
      <c r="AI306" s="25"/>
      <c r="AJ306" s="144">
        <v>0.28000000000000003</v>
      </c>
      <c r="AK306" s="25"/>
      <c r="AL306" s="25"/>
      <c r="AM306" s="25"/>
      <c r="AN306" s="25"/>
      <c r="AO306" s="25"/>
      <c r="AP306" s="25"/>
      <c r="AQ306" s="25"/>
      <c r="AR306" s="25"/>
      <c r="AS306" s="25"/>
      <c r="AT306" s="25"/>
      <c r="AU306" s="25"/>
      <c r="AV306" s="25"/>
      <c r="AW306" s="25"/>
      <c r="AX306" s="25"/>
      <c r="AY306" s="682"/>
      <c r="AZ306" s="25"/>
      <c r="BA306" s="25"/>
      <c r="BB306" s="25"/>
      <c r="BC306" s="25"/>
      <c r="BD306" s="682"/>
      <c r="BE306" s="25"/>
      <c r="BF306" s="25"/>
      <c r="BG306" s="25"/>
      <c r="BH306" s="25"/>
      <c r="BI306" s="682"/>
      <c r="BJ306" s="25"/>
      <c r="BK306" s="25"/>
      <c r="BL306" s="25"/>
      <c r="BM306" s="25"/>
      <c r="BN306" s="682"/>
      <c r="BO306" s="25"/>
      <c r="BP306" s="25"/>
      <c r="BQ306" s="25"/>
      <c r="BR306" s="25"/>
      <c r="BS306" s="682"/>
      <c r="BT306" s="25"/>
      <c r="BU306" s="25"/>
      <c r="BV306" s="25"/>
      <c r="BW306" s="25"/>
      <c r="BX306" s="682"/>
      <c r="BY306" s="25"/>
      <c r="BZ306" s="25"/>
      <c r="CA306" s="25"/>
      <c r="CB306" s="25"/>
      <c r="CC306" s="25"/>
      <c r="CD306" s="25"/>
      <c r="CE306" s="25"/>
      <c r="CF306" s="25"/>
      <c r="CG306" s="25"/>
      <c r="CH306" s="25"/>
      <c r="CI306" s="25"/>
      <c r="CJ306" s="25"/>
      <c r="CK306" s="25"/>
      <c r="CL306" s="25"/>
      <c r="CM306" s="25"/>
    </row>
    <row r="307" spans="1:91" ht="12.75" hidden="1" customHeight="1" outlineLevel="1" x14ac:dyDescent="0.2">
      <c r="A307" s="47" t="s">
        <v>13</v>
      </c>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136">
        <v>0.22</v>
      </c>
      <c r="AF307" s="25"/>
      <c r="AG307" s="25"/>
      <c r="AH307" s="25"/>
      <c r="AI307" s="25"/>
      <c r="AJ307" s="144">
        <v>0.22</v>
      </c>
      <c r="AK307" s="25"/>
      <c r="AL307" s="25"/>
      <c r="AM307" s="25"/>
      <c r="AN307" s="25"/>
      <c r="AO307" s="25"/>
      <c r="AP307" s="25"/>
      <c r="AQ307" s="25"/>
      <c r="AR307" s="25"/>
      <c r="AS307" s="25"/>
      <c r="AT307" s="25"/>
      <c r="AU307" s="25"/>
      <c r="AV307" s="25"/>
      <c r="AW307" s="25"/>
      <c r="AX307" s="25"/>
      <c r="AY307" s="682"/>
      <c r="AZ307" s="25"/>
      <c r="BA307" s="25"/>
      <c r="BB307" s="25"/>
      <c r="BC307" s="25"/>
      <c r="BD307" s="682"/>
      <c r="BE307" s="25"/>
      <c r="BF307" s="25"/>
      <c r="BG307" s="25"/>
      <c r="BH307" s="25"/>
      <c r="BI307" s="682"/>
      <c r="BJ307" s="25"/>
      <c r="BK307" s="25"/>
      <c r="BL307" s="25"/>
      <c r="BM307" s="25"/>
      <c r="BN307" s="682"/>
      <c r="BO307" s="25"/>
      <c r="BP307" s="25"/>
      <c r="BQ307" s="25"/>
      <c r="BR307" s="25"/>
      <c r="BS307" s="682"/>
      <c r="BT307" s="25"/>
      <c r="BU307" s="25"/>
      <c r="BV307" s="25"/>
      <c r="BW307" s="25"/>
      <c r="BX307" s="682"/>
      <c r="BY307" s="25"/>
      <c r="BZ307" s="25"/>
      <c r="CA307" s="25"/>
      <c r="CB307" s="25"/>
      <c r="CC307" s="25"/>
      <c r="CD307" s="25"/>
      <c r="CE307" s="25"/>
      <c r="CF307" s="25"/>
      <c r="CG307" s="25"/>
      <c r="CH307" s="25"/>
      <c r="CI307" s="25"/>
      <c r="CJ307" s="25"/>
      <c r="CK307" s="25"/>
      <c r="CL307" s="25"/>
      <c r="CM307" s="25"/>
    </row>
    <row r="308" spans="1:91" ht="12.75" hidden="1" customHeight="1" outlineLevel="1" x14ac:dyDescent="0.2">
      <c r="A308" s="47" t="s">
        <v>184</v>
      </c>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136">
        <v>0.18</v>
      </c>
      <c r="AF308" s="25"/>
      <c r="AG308" s="25"/>
      <c r="AH308" s="25"/>
      <c r="AI308" s="25"/>
      <c r="AJ308" s="144">
        <v>0.18</v>
      </c>
      <c r="AK308" s="25"/>
      <c r="AL308" s="25"/>
      <c r="AM308" s="25"/>
      <c r="AN308" s="25"/>
      <c r="AO308" s="25"/>
      <c r="AP308" s="25"/>
      <c r="AQ308" s="25"/>
      <c r="AR308" s="25"/>
      <c r="AS308" s="25"/>
      <c r="AT308" s="25"/>
      <c r="AU308" s="25"/>
      <c r="AV308" s="25"/>
      <c r="AW308" s="25"/>
      <c r="AX308" s="25"/>
      <c r="AY308" s="682"/>
      <c r="AZ308" s="25"/>
      <c r="BA308" s="25"/>
      <c r="BB308" s="25"/>
      <c r="BC308" s="25"/>
      <c r="BD308" s="682"/>
      <c r="BE308" s="25"/>
      <c r="BF308" s="25"/>
      <c r="BG308" s="25"/>
      <c r="BH308" s="25"/>
      <c r="BI308" s="682"/>
      <c r="BJ308" s="25"/>
      <c r="BK308" s="25"/>
      <c r="BL308" s="25"/>
      <c r="BM308" s="25"/>
      <c r="BN308" s="682"/>
      <c r="BO308" s="25"/>
      <c r="BP308" s="25"/>
      <c r="BQ308" s="25"/>
      <c r="BR308" s="25"/>
      <c r="BS308" s="682"/>
      <c r="BT308" s="25"/>
      <c r="BU308" s="25"/>
      <c r="BV308" s="25"/>
      <c r="BW308" s="25"/>
      <c r="BX308" s="682"/>
      <c r="BY308" s="25"/>
      <c r="BZ308" s="25"/>
      <c r="CA308" s="25"/>
      <c r="CB308" s="25"/>
      <c r="CC308" s="25"/>
      <c r="CD308" s="25"/>
      <c r="CE308" s="25"/>
      <c r="CF308" s="25"/>
      <c r="CG308" s="25"/>
      <c r="CH308" s="25"/>
      <c r="CI308" s="25"/>
      <c r="CJ308" s="25"/>
      <c r="CK308" s="25"/>
      <c r="CL308" s="25"/>
      <c r="CM308" s="25"/>
    </row>
    <row r="309" spans="1:91" s="34" customFormat="1" ht="12.75" hidden="1" customHeight="1" outlineLevel="1" x14ac:dyDescent="0.2">
      <c r="A309" s="165" t="s">
        <v>262</v>
      </c>
      <c r="Q309" s="38"/>
      <c r="R309" s="38"/>
      <c r="S309" s="38"/>
      <c r="T309" s="38"/>
      <c r="U309" s="38"/>
      <c r="V309" s="38"/>
      <c r="W309" s="38"/>
      <c r="X309" s="38"/>
      <c r="Y309" s="38"/>
      <c r="Z309" s="38"/>
      <c r="AA309" s="38"/>
      <c r="AB309" s="38"/>
      <c r="AC309" s="38"/>
      <c r="AD309" s="38"/>
      <c r="AE309" s="38"/>
      <c r="AF309" s="53"/>
      <c r="AG309" s="53"/>
      <c r="AH309" s="53"/>
      <c r="AI309" s="53"/>
      <c r="AJ309" s="53"/>
      <c r="AK309" s="38"/>
      <c r="AL309" s="38"/>
      <c r="AM309" s="38"/>
      <c r="AN309" s="38"/>
      <c r="AO309" s="38"/>
      <c r="AP309" s="38"/>
      <c r="AQ309" s="38"/>
      <c r="AR309" s="38"/>
      <c r="AS309" s="38"/>
      <c r="AT309" s="38"/>
      <c r="AU309" s="38"/>
      <c r="AV309" s="38"/>
      <c r="AW309" s="38"/>
      <c r="AX309" s="38"/>
      <c r="AY309" s="685"/>
      <c r="AZ309" s="38"/>
      <c r="BA309" s="38"/>
      <c r="BB309" s="38"/>
      <c r="BC309" s="38"/>
      <c r="BD309" s="685"/>
      <c r="BI309" s="685"/>
      <c r="BN309" s="685"/>
      <c r="BS309" s="685"/>
      <c r="BX309" s="685"/>
    </row>
    <row r="310" spans="1:91" ht="12.75" hidden="1" customHeight="1" outlineLevel="1" x14ac:dyDescent="0.2">
      <c r="A310" s="47"/>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136"/>
      <c r="AF310" s="25"/>
      <c r="AG310" s="25"/>
      <c r="AH310" s="25"/>
      <c r="AI310" s="25"/>
      <c r="AJ310" s="136"/>
      <c r="AK310" s="25"/>
      <c r="AL310" s="25"/>
      <c r="AM310" s="25"/>
      <c r="AN310" s="25"/>
      <c r="AO310" s="25"/>
      <c r="AP310" s="25"/>
      <c r="AQ310" s="25"/>
      <c r="AR310" s="25"/>
      <c r="AS310" s="25"/>
      <c r="AT310" s="25"/>
      <c r="AU310" s="25"/>
      <c r="AV310" s="25"/>
      <c r="AW310" s="25"/>
      <c r="AX310" s="25"/>
      <c r="AY310" s="682"/>
      <c r="AZ310" s="25"/>
      <c r="BA310" s="25"/>
      <c r="BB310" s="25"/>
      <c r="BC310" s="25"/>
      <c r="BD310" s="682"/>
      <c r="BE310" s="25"/>
      <c r="BF310" s="25"/>
      <c r="BG310" s="25"/>
      <c r="BH310" s="25"/>
      <c r="BI310" s="682"/>
      <c r="BJ310" s="25"/>
      <c r="BK310" s="25"/>
      <c r="BL310" s="25"/>
      <c r="BM310" s="25"/>
      <c r="BN310" s="682"/>
      <c r="BO310" s="25"/>
      <c r="BP310" s="25"/>
      <c r="BQ310" s="25"/>
      <c r="BR310" s="25"/>
      <c r="BS310" s="682"/>
      <c r="BT310" s="25"/>
      <c r="BU310" s="25"/>
      <c r="BV310" s="25"/>
      <c r="BW310" s="25"/>
      <c r="BX310" s="682"/>
      <c r="BY310" s="25"/>
      <c r="BZ310" s="25"/>
      <c r="CA310" s="25"/>
      <c r="CB310" s="25"/>
      <c r="CC310" s="25"/>
      <c r="CD310" s="25"/>
      <c r="CE310" s="25"/>
      <c r="CF310" s="25"/>
      <c r="CG310" s="25"/>
      <c r="CH310" s="25"/>
      <c r="CI310" s="25"/>
      <c r="CJ310" s="25"/>
      <c r="CK310" s="25"/>
      <c r="CL310" s="25"/>
      <c r="CM310" s="25"/>
    </row>
    <row r="311" spans="1:91" ht="12.75" hidden="1" customHeight="1" outlineLevel="1" x14ac:dyDescent="0.2">
      <c r="A311" s="34" t="s">
        <v>260</v>
      </c>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682"/>
      <c r="AZ311" s="25"/>
      <c r="BA311" s="25"/>
      <c r="BB311" s="25"/>
      <c r="BC311" s="25"/>
      <c r="BD311" s="682"/>
      <c r="BE311" s="25"/>
      <c r="BF311" s="25"/>
      <c r="BG311" s="25"/>
      <c r="BH311" s="25"/>
      <c r="BI311" s="682"/>
      <c r="BJ311" s="25"/>
      <c r="BK311" s="25"/>
      <c r="BL311" s="25"/>
      <c r="BM311" s="25"/>
      <c r="BN311" s="682"/>
      <c r="BO311" s="25"/>
      <c r="BP311" s="25"/>
      <c r="BQ311" s="25"/>
      <c r="BR311" s="25"/>
      <c r="BS311" s="682"/>
      <c r="BT311" s="25"/>
      <c r="BU311" s="25"/>
      <c r="BV311" s="25"/>
      <c r="BW311" s="25"/>
      <c r="BX311" s="682"/>
      <c r="BY311" s="25"/>
      <c r="BZ311" s="25"/>
      <c r="CA311" s="25"/>
      <c r="CB311" s="25"/>
      <c r="CC311" s="25"/>
      <c r="CD311" s="25"/>
      <c r="CE311" s="25"/>
      <c r="CF311" s="25"/>
      <c r="CG311" s="25"/>
      <c r="CH311" s="25"/>
      <c r="CI311" s="25"/>
      <c r="CJ311" s="25"/>
      <c r="CK311" s="25"/>
      <c r="CL311" s="25"/>
      <c r="CM311" s="25"/>
    </row>
    <row r="312" spans="1:91" ht="12.75" hidden="1" customHeight="1" outlineLevel="1" x14ac:dyDescent="0.2">
      <c r="A312" s="47" t="s">
        <v>182</v>
      </c>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51">
        <f>AF31/$AJ$31*$AJ$312</f>
        <v>979.75598455598458</v>
      </c>
      <c r="AG312" s="51">
        <f>AG31/$AJ$31*$AJ$312</f>
        <v>1156.2440154440155</v>
      </c>
      <c r="AH312" s="51">
        <f>AH31/$AJ$31*$AJ$312</f>
        <v>1103.4625482625484</v>
      </c>
      <c r="AI312" s="51">
        <f>AI31/$AJ$31*$AJ$312</f>
        <v>1032.5374517374516</v>
      </c>
      <c r="AJ312" s="51">
        <f>AJ304*$AJ$285</f>
        <v>4272</v>
      </c>
      <c r="AK312" s="25"/>
      <c r="AL312" s="25"/>
      <c r="AM312" s="25"/>
      <c r="AN312" s="25"/>
      <c r="AO312" s="25"/>
      <c r="AP312" s="25"/>
      <c r="AQ312" s="25"/>
      <c r="AR312" s="25"/>
      <c r="AS312" s="25"/>
      <c r="AT312" s="25"/>
      <c r="AU312" s="25"/>
      <c r="AV312" s="25"/>
      <c r="AW312" s="25"/>
      <c r="AX312" s="25"/>
      <c r="AY312" s="682"/>
      <c r="AZ312" s="25"/>
      <c r="BA312" s="25"/>
      <c r="BB312" s="25"/>
      <c r="BC312" s="25"/>
      <c r="BD312" s="682"/>
      <c r="BE312" s="25"/>
      <c r="BF312" s="25"/>
      <c r="BG312" s="25"/>
      <c r="BH312" s="25"/>
      <c r="BI312" s="682"/>
      <c r="BJ312" s="25"/>
      <c r="BK312" s="25"/>
      <c r="BL312" s="25"/>
      <c r="BM312" s="25"/>
      <c r="BN312" s="682"/>
      <c r="BO312" s="25"/>
      <c r="BP312" s="25"/>
      <c r="BQ312" s="25"/>
      <c r="BR312" s="25"/>
      <c r="BS312" s="682"/>
      <c r="BT312" s="25"/>
      <c r="BU312" s="25"/>
      <c r="BV312" s="25"/>
      <c r="BW312" s="25"/>
      <c r="BX312" s="682"/>
      <c r="BY312" s="25"/>
      <c r="BZ312" s="25"/>
      <c r="CA312" s="25"/>
      <c r="CB312" s="25"/>
      <c r="CC312" s="25"/>
      <c r="CD312" s="25"/>
      <c r="CE312" s="25"/>
      <c r="CF312" s="25"/>
      <c r="CG312" s="25"/>
      <c r="CH312" s="25"/>
      <c r="CI312" s="25"/>
      <c r="CJ312" s="25"/>
      <c r="CK312" s="25"/>
      <c r="CL312" s="25"/>
      <c r="CM312" s="25"/>
    </row>
    <row r="313" spans="1:91" ht="12.75" hidden="1" customHeight="1" outlineLevel="1" x14ac:dyDescent="0.2">
      <c r="A313" s="47" t="s">
        <v>183</v>
      </c>
      <c r="B313" s="25"/>
      <c r="C313" s="25"/>
      <c r="D313" s="25"/>
      <c r="E313" s="25"/>
      <c r="F313" s="25"/>
      <c r="G313" s="25"/>
      <c r="H313" s="25"/>
      <c r="I313" s="25"/>
      <c r="J313" s="25"/>
      <c r="K313" s="25"/>
      <c r="L313" s="25"/>
      <c r="M313" s="25"/>
      <c r="N313" s="25"/>
      <c r="O313" s="25"/>
      <c r="P313" s="25"/>
      <c r="Q313" s="36"/>
      <c r="R313" s="36"/>
      <c r="S313" s="36"/>
      <c r="T313" s="36"/>
      <c r="U313" s="36"/>
      <c r="V313" s="36"/>
      <c r="W313" s="36"/>
      <c r="X313" s="36"/>
      <c r="Y313" s="36"/>
      <c r="Z313" s="36"/>
      <c r="AA313" s="36"/>
      <c r="AB313" s="36"/>
      <c r="AC313" s="36"/>
      <c r="AD313" s="36"/>
      <c r="AE313" s="36"/>
      <c r="AF313" s="51">
        <f>AF62/$AJ$62*$AJ$313</f>
        <v>958.67364454678659</v>
      </c>
      <c r="AG313" s="51">
        <f>AG62/$AJ$62*$AJ$313</f>
        <v>1293.1362779987439</v>
      </c>
      <c r="AH313" s="51">
        <f>AH62/$AJ$62*$AJ$313</f>
        <v>1079.4021352313168</v>
      </c>
      <c r="AI313" s="51">
        <f>AI62/$AJ$62*$AJ$313</f>
        <v>940.78794222315264</v>
      </c>
      <c r="AJ313" s="51">
        <f>AJ305*$AJ$285</f>
        <v>4272</v>
      </c>
      <c r="AK313" s="36"/>
      <c r="AL313" s="36"/>
      <c r="AM313" s="36"/>
      <c r="AN313" s="36"/>
      <c r="AO313" s="36"/>
      <c r="AP313" s="36"/>
      <c r="AQ313" s="36"/>
      <c r="AR313" s="36"/>
      <c r="AS313" s="36"/>
      <c r="AT313" s="36"/>
      <c r="AU313" s="36"/>
      <c r="AV313" s="36"/>
      <c r="AW313" s="36"/>
      <c r="AX313" s="36"/>
      <c r="AY313" s="682"/>
      <c r="AZ313" s="36"/>
      <c r="BA313" s="36"/>
      <c r="BB313" s="36"/>
      <c r="BC313" s="36"/>
      <c r="BD313" s="682"/>
      <c r="BE313" s="25"/>
      <c r="BF313" s="25"/>
      <c r="BG313" s="25"/>
      <c r="BH313" s="25"/>
      <c r="BI313" s="682"/>
      <c r="BJ313" s="25"/>
      <c r="BK313" s="25"/>
      <c r="BL313" s="25"/>
      <c r="BM313" s="25"/>
      <c r="BN313" s="682"/>
      <c r="BO313" s="25"/>
      <c r="BP313" s="25"/>
      <c r="BQ313" s="25"/>
      <c r="BR313" s="25"/>
      <c r="BS313" s="682"/>
      <c r="BT313" s="25"/>
      <c r="BU313" s="25"/>
      <c r="BV313" s="25"/>
      <c r="BW313" s="25"/>
      <c r="BX313" s="682"/>
      <c r="BY313" s="25"/>
      <c r="BZ313" s="25"/>
      <c r="CA313" s="25"/>
      <c r="CB313" s="25"/>
      <c r="CC313" s="25"/>
      <c r="CD313" s="25"/>
      <c r="CE313" s="25"/>
      <c r="CF313" s="25"/>
      <c r="CG313" s="25"/>
      <c r="CH313" s="25"/>
      <c r="CI313" s="25"/>
      <c r="CJ313" s="25"/>
      <c r="CK313" s="25"/>
      <c r="CL313" s="25"/>
      <c r="CM313" s="25"/>
    </row>
    <row r="314" spans="1:91" ht="12.75" hidden="1" customHeight="1" outlineLevel="1" x14ac:dyDescent="0.2">
      <c r="A314" s="47" t="s">
        <v>14</v>
      </c>
      <c r="B314" s="25"/>
      <c r="C314" s="25"/>
      <c r="D314" s="25"/>
      <c r="E314" s="25"/>
      <c r="F314" s="25"/>
      <c r="G314" s="25"/>
      <c r="H314" s="25"/>
      <c r="I314" s="25"/>
      <c r="J314" s="25"/>
      <c r="K314" s="25"/>
      <c r="L314" s="25"/>
      <c r="M314" s="25"/>
      <c r="N314" s="25"/>
      <c r="O314" s="25"/>
      <c r="P314" s="25"/>
      <c r="Q314" s="36"/>
      <c r="R314" s="36"/>
      <c r="S314" s="36"/>
      <c r="T314" s="36"/>
      <c r="U314" s="36"/>
      <c r="V314" s="36"/>
      <c r="W314" s="36"/>
      <c r="X314" s="36"/>
      <c r="Y314" s="36"/>
      <c r="Z314" s="36"/>
      <c r="AA314" s="36"/>
      <c r="AB314" s="36"/>
      <c r="AC314" s="36"/>
      <c r="AD314" s="36"/>
      <c r="AE314" s="36"/>
      <c r="AF314" s="51">
        <f>AF74/$AJ$74*$AJ$314</f>
        <v>1837.1637519872818</v>
      </c>
      <c r="AG314" s="51">
        <f>AG74/$AJ$74*$AJ$314</f>
        <v>1806.6009538950718</v>
      </c>
      <c r="AH314" s="51">
        <f>AH74/$AJ$74*$AJ$314</f>
        <v>1972.998410174881</v>
      </c>
      <c r="AI314" s="51">
        <f>AI74/$AJ$74*$AJ$314</f>
        <v>1859.2368839427666</v>
      </c>
      <c r="AJ314" s="51">
        <f>AJ306*$AJ$285</f>
        <v>7476.0000000000009</v>
      </c>
      <c r="AK314" s="36"/>
      <c r="AL314" s="36"/>
      <c r="AM314" s="36"/>
      <c r="AN314" s="36"/>
      <c r="AO314" s="36"/>
      <c r="AP314" s="36"/>
      <c r="AQ314" s="36"/>
      <c r="AR314" s="36"/>
      <c r="AS314" s="36"/>
      <c r="AT314" s="36"/>
      <c r="AU314" s="36"/>
      <c r="AV314" s="36"/>
      <c r="AW314" s="36"/>
      <c r="AX314" s="36"/>
      <c r="AY314" s="682"/>
      <c r="AZ314" s="36"/>
      <c r="BA314" s="36"/>
      <c r="BB314" s="36"/>
      <c r="BC314" s="36"/>
      <c r="BD314" s="682"/>
      <c r="BE314" s="25"/>
      <c r="BF314" s="25"/>
      <c r="BG314" s="25"/>
      <c r="BH314" s="25"/>
      <c r="BI314" s="682"/>
      <c r="BJ314" s="25"/>
      <c r="BK314" s="25"/>
      <c r="BL314" s="25"/>
      <c r="BM314" s="25"/>
      <c r="BN314" s="682"/>
      <c r="BO314" s="25"/>
      <c r="BP314" s="25"/>
      <c r="BQ314" s="25"/>
      <c r="BR314" s="25"/>
      <c r="BS314" s="682"/>
      <c r="BT314" s="25"/>
      <c r="BU314" s="25"/>
      <c r="BV314" s="25"/>
      <c r="BW314" s="25"/>
      <c r="BX314" s="682"/>
      <c r="BY314" s="25"/>
      <c r="BZ314" s="25"/>
      <c r="CA314" s="25"/>
      <c r="CB314" s="25"/>
      <c r="CC314" s="25"/>
      <c r="CD314" s="25"/>
      <c r="CE314" s="25"/>
      <c r="CF314" s="25"/>
      <c r="CG314" s="25"/>
      <c r="CH314" s="25"/>
      <c r="CI314" s="25"/>
      <c r="CJ314" s="25"/>
      <c r="CK314" s="25"/>
      <c r="CL314" s="25"/>
      <c r="CM314" s="25"/>
    </row>
    <row r="315" spans="1:91" ht="12.75" hidden="1" customHeight="1" outlineLevel="1" x14ac:dyDescent="0.2">
      <c r="A315" s="47" t="s">
        <v>13</v>
      </c>
      <c r="B315" s="25"/>
      <c r="C315" s="25"/>
      <c r="D315" s="25"/>
      <c r="E315" s="25"/>
      <c r="F315" s="25"/>
      <c r="G315" s="25"/>
      <c r="H315" s="25"/>
      <c r="I315" s="25"/>
      <c r="J315" s="25"/>
      <c r="K315" s="25"/>
      <c r="L315" s="25"/>
      <c r="M315" s="25"/>
      <c r="N315" s="25"/>
      <c r="O315" s="25"/>
      <c r="P315" s="25"/>
      <c r="Q315" s="36"/>
      <c r="R315" s="36"/>
      <c r="S315" s="36"/>
      <c r="T315" s="36"/>
      <c r="U315" s="36"/>
      <c r="V315" s="36"/>
      <c r="W315" s="36"/>
      <c r="X315" s="36"/>
      <c r="Y315" s="36"/>
      <c r="Z315" s="36"/>
      <c r="AA315" s="36"/>
      <c r="AB315" s="36"/>
      <c r="AC315" s="36"/>
      <c r="AD315" s="36"/>
      <c r="AE315" s="36"/>
      <c r="AF315" s="51">
        <f>AF85/$AJ$85*$AJ$315</f>
        <v>1338.2857142857142</v>
      </c>
      <c r="AG315" s="51">
        <f>AG85/$AJ$85*$AJ$315</f>
        <v>1570.2857142857142</v>
      </c>
      <c r="AH315" s="51">
        <f>AH85/$AJ$85*$AJ$315</f>
        <v>1539.1428571428571</v>
      </c>
      <c r="AI315" s="51">
        <f>AI85/$AJ$85*$AJ$315</f>
        <v>1426.2857142857142</v>
      </c>
      <c r="AJ315" s="51">
        <f>AJ307*$AJ$285</f>
        <v>5874</v>
      </c>
      <c r="AK315" s="36"/>
      <c r="AL315" s="36"/>
      <c r="AM315" s="36"/>
      <c r="AN315" s="36"/>
      <c r="AO315" s="36"/>
      <c r="AP315" s="36"/>
      <c r="AQ315" s="36"/>
      <c r="AR315" s="36"/>
      <c r="AS315" s="36"/>
      <c r="AT315" s="36"/>
      <c r="AU315" s="36"/>
      <c r="AV315" s="36"/>
      <c r="AW315" s="36"/>
      <c r="AX315" s="36"/>
      <c r="AY315" s="682"/>
      <c r="AZ315" s="36"/>
      <c r="BA315" s="36"/>
      <c r="BB315" s="36"/>
      <c r="BC315" s="36"/>
      <c r="BD315" s="682"/>
      <c r="BE315" s="25"/>
      <c r="BF315" s="25"/>
      <c r="BG315" s="25"/>
      <c r="BH315" s="25"/>
      <c r="BI315" s="682"/>
      <c r="BJ315" s="25"/>
      <c r="BK315" s="25"/>
      <c r="BL315" s="25"/>
      <c r="BM315" s="25"/>
      <c r="BN315" s="682"/>
      <c r="BO315" s="25"/>
      <c r="BP315" s="25"/>
      <c r="BQ315" s="25"/>
      <c r="BR315" s="25"/>
      <c r="BS315" s="682"/>
      <c r="BT315" s="25"/>
      <c r="BU315" s="25"/>
      <c r="BV315" s="25"/>
      <c r="BW315" s="25"/>
      <c r="BX315" s="682"/>
      <c r="BY315" s="25"/>
      <c r="BZ315" s="25"/>
      <c r="CA315" s="25"/>
      <c r="CB315" s="25"/>
      <c r="CC315" s="25"/>
      <c r="CD315" s="25"/>
      <c r="CE315" s="25"/>
      <c r="CF315" s="25"/>
      <c r="CG315" s="25"/>
      <c r="CH315" s="25"/>
      <c r="CI315" s="25"/>
      <c r="CJ315" s="25"/>
      <c r="CK315" s="25"/>
      <c r="CL315" s="25"/>
      <c r="CM315" s="25"/>
    </row>
    <row r="316" spans="1:91" ht="12.75" hidden="1" customHeight="1" outlineLevel="1" x14ac:dyDescent="0.2">
      <c r="A316" s="47" t="s">
        <v>184</v>
      </c>
      <c r="B316" s="25"/>
      <c r="C316" s="25"/>
      <c r="D316" s="25"/>
      <c r="E316" s="25"/>
      <c r="F316" s="25"/>
      <c r="G316" s="25"/>
      <c r="H316" s="25"/>
      <c r="I316" s="25"/>
      <c r="J316" s="25"/>
      <c r="K316" s="25"/>
      <c r="L316" s="25"/>
      <c r="M316" s="25"/>
      <c r="N316" s="25"/>
      <c r="O316" s="25"/>
      <c r="P316" s="25"/>
      <c r="Q316" s="36"/>
      <c r="R316" s="36"/>
      <c r="S316" s="36"/>
      <c r="T316" s="36"/>
      <c r="U316" s="36"/>
      <c r="V316" s="36"/>
      <c r="W316" s="36"/>
      <c r="X316" s="36"/>
      <c r="Y316" s="36"/>
      <c r="Z316" s="36"/>
      <c r="AA316" s="36"/>
      <c r="AB316" s="36"/>
      <c r="AC316" s="36"/>
      <c r="AD316" s="36"/>
      <c r="AE316" s="36"/>
      <c r="AF316" s="51">
        <f>AF107/$AJ$107*$AJ$316</f>
        <v>1011.743922204214</v>
      </c>
      <c r="AG316" s="51">
        <f>AG107/$AJ$107*$AJ$316</f>
        <v>1338.8946515397083</v>
      </c>
      <c r="AH316" s="51">
        <f>AH107/$AJ$107*$AJ$316</f>
        <v>1340.6256077795788</v>
      </c>
      <c r="AI316" s="51">
        <f>AI107/$AJ$107*$AJ$316</f>
        <v>1114.7358184764992</v>
      </c>
      <c r="AJ316" s="51">
        <f>AJ308*$AJ$285</f>
        <v>4806</v>
      </c>
      <c r="AK316" s="36"/>
      <c r="AL316" s="36"/>
      <c r="AM316" s="36"/>
      <c r="AN316" s="36"/>
      <c r="AO316" s="36"/>
      <c r="AP316" s="36"/>
      <c r="AQ316" s="36"/>
      <c r="AR316" s="36"/>
      <c r="AS316" s="36"/>
      <c r="AT316" s="36"/>
      <c r="AU316" s="36"/>
      <c r="AV316" s="36"/>
      <c r="AW316" s="36"/>
      <c r="AX316" s="36"/>
      <c r="AY316" s="682"/>
      <c r="AZ316" s="36"/>
      <c r="BA316" s="36"/>
      <c r="BB316" s="36"/>
      <c r="BC316" s="36"/>
      <c r="BD316" s="682"/>
      <c r="BE316" s="25"/>
      <c r="BF316" s="25"/>
      <c r="BG316" s="25"/>
      <c r="BH316" s="25"/>
      <c r="BI316" s="682"/>
      <c r="BJ316" s="25"/>
      <c r="BK316" s="25"/>
      <c r="BL316" s="25"/>
      <c r="BM316" s="25"/>
      <c r="BN316" s="682"/>
      <c r="BO316" s="25"/>
      <c r="BP316" s="25"/>
      <c r="BQ316" s="25"/>
      <c r="BR316" s="25"/>
      <c r="BS316" s="682"/>
      <c r="BT316" s="25"/>
      <c r="BU316" s="25"/>
      <c r="BV316" s="25"/>
      <c r="BW316" s="25"/>
      <c r="BX316" s="682"/>
      <c r="BY316" s="25"/>
      <c r="BZ316" s="25"/>
      <c r="CA316" s="25"/>
      <c r="CB316" s="25"/>
      <c r="CC316" s="25"/>
      <c r="CD316" s="25"/>
      <c r="CE316" s="25"/>
      <c r="CF316" s="25"/>
      <c r="CG316" s="25"/>
      <c r="CH316" s="25"/>
      <c r="CI316" s="25"/>
      <c r="CJ316" s="25"/>
      <c r="CK316" s="25"/>
      <c r="CL316" s="25"/>
      <c r="CM316" s="25"/>
    </row>
    <row r="317" spans="1:91" s="34" customFormat="1" ht="12.75" hidden="1" customHeight="1" outlineLevel="1" x14ac:dyDescent="0.2">
      <c r="A317" s="22" t="s">
        <v>159</v>
      </c>
      <c r="Q317" s="38"/>
      <c r="R317" s="38"/>
      <c r="S317" s="38"/>
      <c r="T317" s="38"/>
      <c r="U317" s="38"/>
      <c r="V317" s="38"/>
      <c r="W317" s="38"/>
      <c r="X317" s="38"/>
      <c r="Y317" s="38"/>
      <c r="Z317" s="38"/>
      <c r="AA317" s="38"/>
      <c r="AB317" s="38"/>
      <c r="AC317" s="38"/>
      <c r="AD317" s="38"/>
      <c r="AE317" s="38"/>
      <c r="AF317" s="53">
        <f>SUM(AF312:AF316)</f>
        <v>6125.623017579981</v>
      </c>
      <c r="AG317" s="53">
        <f>SUM(AG312:AG316)</f>
        <v>7165.1616131632536</v>
      </c>
      <c r="AH317" s="53">
        <f>SUM(AH312:AH316)</f>
        <v>7035.6315585911816</v>
      </c>
      <c r="AI317" s="53">
        <f>SUM(AI312:AI316)</f>
        <v>6373.5838106655838</v>
      </c>
      <c r="AJ317" s="53">
        <f>SUM(AJ312:AJ316)</f>
        <v>26700</v>
      </c>
      <c r="AK317" s="38"/>
      <c r="AL317" s="38"/>
      <c r="AM317" s="38"/>
      <c r="AN317" s="38"/>
      <c r="AO317" s="38"/>
      <c r="AP317" s="38"/>
      <c r="AQ317" s="38"/>
      <c r="AR317" s="38"/>
      <c r="AS317" s="38"/>
      <c r="AT317" s="38"/>
      <c r="AU317" s="38"/>
      <c r="AV317" s="38"/>
      <c r="AW317" s="38"/>
      <c r="AX317" s="38"/>
      <c r="AY317" s="685"/>
      <c r="AZ317" s="38"/>
      <c r="BA317" s="38"/>
      <c r="BB317" s="38"/>
      <c r="BC317" s="38"/>
      <c r="BD317" s="685"/>
      <c r="BI317" s="685"/>
      <c r="BN317" s="685"/>
      <c r="BS317" s="685"/>
      <c r="BX317" s="685"/>
    </row>
    <row r="318" spans="1:91" s="34" customFormat="1" ht="12.75" hidden="1" customHeight="1" outlineLevel="1" x14ac:dyDescent="0.2">
      <c r="A318" s="165" t="s">
        <v>262</v>
      </c>
      <c r="Q318" s="38"/>
      <c r="R318" s="38"/>
      <c r="S318" s="38"/>
      <c r="T318" s="38"/>
      <c r="U318" s="38"/>
      <c r="V318" s="38"/>
      <c r="W318" s="38"/>
      <c r="X318" s="38"/>
      <c r="Y318" s="38"/>
      <c r="Z318" s="38"/>
      <c r="AA318" s="38"/>
      <c r="AB318" s="38"/>
      <c r="AC318" s="38"/>
      <c r="AD318" s="38"/>
      <c r="AE318" s="38"/>
      <c r="AF318" s="53"/>
      <c r="AG318" s="53"/>
      <c r="AH318" s="53"/>
      <c r="AI318" s="53"/>
      <c r="AJ318" s="53"/>
      <c r="AK318" s="38"/>
      <c r="AL318" s="38"/>
      <c r="AM318" s="38"/>
      <c r="AN318" s="38"/>
      <c r="AO318" s="38"/>
      <c r="AP318" s="38"/>
      <c r="AQ318" s="38"/>
      <c r="AR318" s="38"/>
      <c r="AS318" s="38"/>
      <c r="AT318" s="38"/>
      <c r="AU318" s="38"/>
      <c r="AV318" s="38"/>
      <c r="AW318" s="38"/>
      <c r="AX318" s="38"/>
      <c r="AY318" s="685"/>
      <c r="AZ318" s="38"/>
      <c r="BA318" s="38"/>
      <c r="BB318" s="38"/>
      <c r="BC318" s="38"/>
      <c r="BD318" s="685"/>
      <c r="BI318" s="685"/>
      <c r="BN318" s="685"/>
      <c r="BS318" s="685"/>
      <c r="BX318" s="685"/>
    </row>
    <row r="319" spans="1:91" s="34" customFormat="1" ht="12.75" hidden="1" customHeight="1" outlineLevel="1" x14ac:dyDescent="0.2">
      <c r="A319" s="22"/>
      <c r="Q319" s="38"/>
      <c r="R319" s="38"/>
      <c r="S319" s="38"/>
      <c r="T319" s="38"/>
      <c r="U319" s="38"/>
      <c r="V319" s="38"/>
      <c r="W319" s="38"/>
      <c r="X319" s="38"/>
      <c r="Y319" s="38"/>
      <c r="Z319" s="38"/>
      <c r="AA319" s="38"/>
      <c r="AB319" s="38"/>
      <c r="AC319" s="38"/>
      <c r="AD319" s="38"/>
      <c r="AE319" s="38"/>
      <c r="AF319" s="53"/>
      <c r="AG319" s="53"/>
      <c r="AH319" s="53"/>
      <c r="AI319" s="53"/>
      <c r="AJ319" s="53"/>
      <c r="AK319" s="38"/>
      <c r="AL319" s="38"/>
      <c r="AM319" s="38"/>
      <c r="AN319" s="38"/>
      <c r="AO319" s="38"/>
      <c r="AP319" s="38"/>
      <c r="AQ319" s="38"/>
      <c r="AR319" s="38"/>
      <c r="AS319" s="38"/>
      <c r="AT319" s="38"/>
      <c r="AU319" s="38"/>
      <c r="AV319" s="38"/>
      <c r="AW319" s="38"/>
      <c r="AX319" s="38"/>
      <c r="AY319" s="685"/>
      <c r="AZ319" s="38"/>
      <c r="BA319" s="38"/>
      <c r="BB319" s="38"/>
      <c r="BC319" s="38"/>
      <c r="BD319" s="685"/>
      <c r="BI319" s="685"/>
      <c r="BN319" s="685"/>
      <c r="BS319" s="685"/>
      <c r="BX319" s="685"/>
    </row>
    <row r="320" spans="1:91" ht="12.75" hidden="1" customHeight="1" outlineLevel="1" x14ac:dyDescent="0.2">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682"/>
      <c r="AZ320" s="25"/>
      <c r="BA320" s="25"/>
      <c r="BB320" s="25"/>
      <c r="BC320" s="25"/>
      <c r="BD320" s="682"/>
      <c r="BE320" s="25"/>
      <c r="BF320" s="25"/>
      <c r="BG320" s="25"/>
      <c r="BH320" s="25"/>
      <c r="BI320" s="682"/>
      <c r="BJ320" s="25"/>
      <c r="BK320" s="25"/>
      <c r="BL320" s="25"/>
      <c r="BM320" s="25"/>
      <c r="BN320" s="682"/>
      <c r="BO320" s="25"/>
      <c r="BP320" s="25"/>
      <c r="BQ320" s="25"/>
      <c r="BR320" s="25"/>
      <c r="BS320" s="682"/>
      <c r="BT320" s="25"/>
      <c r="BU320" s="25"/>
      <c r="BV320" s="25"/>
      <c r="BW320" s="25"/>
      <c r="BX320" s="682"/>
      <c r="BY320" s="25"/>
      <c r="BZ320" s="25"/>
      <c r="CA320" s="25"/>
      <c r="CB320" s="25"/>
      <c r="CC320" s="25"/>
      <c r="CD320" s="25"/>
      <c r="CE320" s="25"/>
      <c r="CF320" s="25"/>
      <c r="CG320" s="25"/>
      <c r="CH320" s="25"/>
      <c r="CI320" s="25"/>
      <c r="CJ320" s="25"/>
      <c r="CK320" s="25"/>
      <c r="CL320" s="25"/>
      <c r="CM320" s="25"/>
    </row>
    <row r="321" spans="1:91" ht="12.75" hidden="1" customHeight="1" outlineLevel="1" x14ac:dyDescent="0.2">
      <c r="A321" s="34" t="s">
        <v>261</v>
      </c>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682"/>
      <c r="AZ321" s="25"/>
      <c r="BA321" s="25"/>
      <c r="BB321" s="25"/>
      <c r="BC321" s="25"/>
      <c r="BD321" s="682"/>
      <c r="BE321" s="25"/>
      <c r="BF321" s="25"/>
      <c r="BG321" s="25"/>
      <c r="BH321" s="25"/>
      <c r="BI321" s="682"/>
      <c r="BJ321" s="25"/>
      <c r="BK321" s="25"/>
      <c r="BL321" s="25"/>
      <c r="BM321" s="25"/>
      <c r="BN321" s="682"/>
      <c r="BO321" s="25"/>
      <c r="BP321" s="25"/>
      <c r="BQ321" s="25"/>
      <c r="BR321" s="25"/>
      <c r="BS321" s="682"/>
      <c r="BT321" s="25"/>
      <c r="BU321" s="25"/>
      <c r="BV321" s="25"/>
      <c r="BW321" s="25"/>
      <c r="BX321" s="682"/>
      <c r="BY321" s="25"/>
      <c r="BZ321" s="25"/>
      <c r="CA321" s="25"/>
      <c r="CB321" s="25"/>
      <c r="CC321" s="25"/>
      <c r="CD321" s="25"/>
      <c r="CE321" s="25"/>
      <c r="CF321" s="25"/>
      <c r="CG321" s="25"/>
      <c r="CH321" s="25"/>
      <c r="CI321" s="25"/>
      <c r="CJ321" s="25"/>
      <c r="CK321" s="25"/>
      <c r="CL321" s="25"/>
      <c r="CM321" s="25"/>
    </row>
    <row r="322" spans="1:91" ht="12.75" hidden="1" customHeight="1" outlineLevel="1" x14ac:dyDescent="0.2">
      <c r="A322" s="47" t="s">
        <v>182</v>
      </c>
      <c r="B322" s="25"/>
      <c r="C322" s="25"/>
      <c r="D322" s="25"/>
      <c r="E322" s="25"/>
      <c r="F322" s="25"/>
      <c r="G322" s="25"/>
      <c r="H322" s="25"/>
      <c r="I322" s="25"/>
      <c r="J322" s="25"/>
      <c r="K322" s="25"/>
      <c r="L322" s="25"/>
      <c r="M322" s="25"/>
      <c r="N322" s="25"/>
      <c r="O322" s="25"/>
      <c r="P322" s="25"/>
      <c r="Q322" s="123"/>
      <c r="R322" s="123"/>
      <c r="S322" s="123"/>
      <c r="T322" s="123"/>
      <c r="U322" s="123"/>
      <c r="V322" s="123"/>
      <c r="W322" s="123"/>
      <c r="X322" s="123"/>
      <c r="Y322" s="123"/>
      <c r="Z322" s="123"/>
      <c r="AA322" s="123"/>
      <c r="AB322" s="123"/>
      <c r="AC322" s="123"/>
      <c r="AD322" s="123"/>
      <c r="AE322" s="123"/>
      <c r="AF322" s="167">
        <f>AF28/AF312</f>
        <v>0.60627340823970033</v>
      </c>
      <c r="AG322" s="167">
        <f>AG28/AG312</f>
        <v>0.60627340823970033</v>
      </c>
      <c r="AH322" s="167">
        <f>AH28/AH312</f>
        <v>0.60627340823970033</v>
      </c>
      <c r="AI322" s="167">
        <f>AI28/AI312</f>
        <v>0.60627340823970044</v>
      </c>
      <c r="AJ322" s="167">
        <f>AJ28/AJ312</f>
        <v>0.60627340823970033</v>
      </c>
      <c r="AK322" s="123"/>
      <c r="AL322" s="123"/>
      <c r="AM322" s="123"/>
      <c r="AN322" s="123"/>
      <c r="AO322" s="123"/>
      <c r="AP322" s="123"/>
      <c r="AQ322" s="123"/>
      <c r="AR322" s="123"/>
      <c r="AS322" s="123"/>
      <c r="AT322" s="123"/>
      <c r="AU322" s="123"/>
      <c r="AV322" s="123"/>
      <c r="AW322" s="123"/>
      <c r="AX322" s="123"/>
      <c r="AY322" s="682"/>
      <c r="AZ322" s="123"/>
      <c r="BA322" s="123"/>
      <c r="BB322" s="123"/>
      <c r="BC322" s="123"/>
      <c r="BD322" s="682"/>
      <c r="BE322" s="25"/>
      <c r="BF322" s="25"/>
      <c r="BG322" s="25"/>
      <c r="BH322" s="25"/>
      <c r="BI322" s="682"/>
      <c r="BJ322" s="25"/>
      <c r="BK322" s="25"/>
      <c r="BL322" s="25"/>
      <c r="BM322" s="25"/>
      <c r="BN322" s="682"/>
      <c r="BO322" s="25"/>
      <c r="BP322" s="25"/>
      <c r="BQ322" s="25"/>
      <c r="BR322" s="25"/>
      <c r="BS322" s="682"/>
      <c r="BT322" s="25"/>
      <c r="BU322" s="25"/>
      <c r="BV322" s="25"/>
      <c r="BW322" s="25"/>
      <c r="BX322" s="682"/>
      <c r="BY322" s="25"/>
      <c r="BZ322" s="25"/>
      <c r="CA322" s="25"/>
      <c r="CB322" s="25"/>
      <c r="CC322" s="25"/>
      <c r="CD322" s="25"/>
      <c r="CE322" s="25"/>
      <c r="CF322" s="25"/>
      <c r="CG322" s="25"/>
      <c r="CH322" s="25"/>
      <c r="CI322" s="25"/>
      <c r="CJ322" s="25"/>
      <c r="CK322" s="25"/>
      <c r="CL322" s="25"/>
      <c r="CM322" s="25"/>
    </row>
    <row r="323" spans="1:91" ht="12.75" hidden="1" customHeight="1" outlineLevel="1" x14ac:dyDescent="0.2">
      <c r="A323" s="47" t="s">
        <v>183</v>
      </c>
      <c r="B323" s="25"/>
      <c r="C323" s="25"/>
      <c r="D323" s="25"/>
      <c r="E323" s="25"/>
      <c r="F323" s="25"/>
      <c r="G323" s="25"/>
      <c r="H323" s="25"/>
      <c r="I323" s="25"/>
      <c r="J323" s="25"/>
      <c r="K323" s="25"/>
      <c r="L323" s="25"/>
      <c r="M323" s="25"/>
      <c r="N323" s="25"/>
      <c r="O323" s="25"/>
      <c r="P323" s="25"/>
      <c r="Q323" s="123"/>
      <c r="R323" s="123"/>
      <c r="S323" s="123"/>
      <c r="T323" s="123"/>
      <c r="U323" s="123"/>
      <c r="V323" s="123"/>
      <c r="W323" s="123"/>
      <c r="X323" s="123"/>
      <c r="Y323" s="123"/>
      <c r="Z323" s="123"/>
      <c r="AA323" s="123"/>
      <c r="AB323" s="123"/>
      <c r="AC323" s="123"/>
      <c r="AD323" s="123"/>
      <c r="AE323" s="123"/>
      <c r="AF323" s="167">
        <f>AF59/AF313</f>
        <v>1.2767640030186149</v>
      </c>
      <c r="AG323" s="167">
        <f>AG59/AG313</f>
        <v>1.2674611546251833</v>
      </c>
      <c r="AH323" s="167">
        <f>AH59/AH313</f>
        <v>1.2960878567283851</v>
      </c>
      <c r="AI323" s="167">
        <f>AI59/AI313</f>
        <v>1.2882818174050497</v>
      </c>
      <c r="AJ323" s="167">
        <f>AJ59/AJ313</f>
        <v>1.2813670411985019</v>
      </c>
      <c r="AK323" s="123"/>
      <c r="AL323" s="123"/>
      <c r="AM323" s="123"/>
      <c r="AN323" s="123"/>
      <c r="AO323" s="123"/>
      <c r="AP323" s="123"/>
      <c r="AQ323" s="123"/>
      <c r="AR323" s="123"/>
      <c r="AS323" s="123"/>
      <c r="AT323" s="123"/>
      <c r="AU323" s="123"/>
      <c r="AV323" s="123"/>
      <c r="AW323" s="123"/>
      <c r="AX323" s="123"/>
      <c r="AY323" s="682"/>
      <c r="AZ323" s="123"/>
      <c r="BA323" s="123"/>
      <c r="BB323" s="123"/>
      <c r="BC323" s="123"/>
      <c r="BD323" s="682"/>
      <c r="BE323" s="25"/>
      <c r="BF323" s="25"/>
      <c r="BG323" s="25"/>
      <c r="BH323" s="25"/>
      <c r="BI323" s="682"/>
      <c r="BJ323" s="25"/>
      <c r="BK323" s="25"/>
      <c r="BL323" s="25"/>
      <c r="BM323" s="25"/>
      <c r="BN323" s="682"/>
      <c r="BO323" s="25"/>
      <c r="BP323" s="25"/>
      <c r="BQ323" s="25"/>
      <c r="BR323" s="25"/>
      <c r="BS323" s="682"/>
      <c r="BT323" s="25"/>
      <c r="BU323" s="25"/>
      <c r="BV323" s="25"/>
      <c r="BW323" s="25"/>
      <c r="BX323" s="682"/>
      <c r="BY323" s="25"/>
      <c r="BZ323" s="25"/>
      <c r="CA323" s="25"/>
      <c r="CB323" s="25"/>
      <c r="CC323" s="25"/>
      <c r="CD323" s="25"/>
      <c r="CE323" s="25"/>
      <c r="CF323" s="25"/>
      <c r="CG323" s="25"/>
      <c r="CH323" s="25"/>
      <c r="CI323" s="25"/>
      <c r="CJ323" s="25"/>
      <c r="CK323" s="25"/>
      <c r="CL323" s="25"/>
      <c r="CM323" s="25"/>
    </row>
    <row r="324" spans="1:91" ht="12.75" hidden="1" customHeight="1" outlineLevel="1" x14ac:dyDescent="0.2">
      <c r="A324" s="47" t="s">
        <v>14</v>
      </c>
      <c r="B324" s="25"/>
      <c r="C324" s="25"/>
      <c r="D324" s="25"/>
      <c r="E324" s="25"/>
      <c r="F324" s="25"/>
      <c r="G324" s="25"/>
      <c r="H324" s="25"/>
      <c r="I324" s="25"/>
      <c r="J324" s="25"/>
      <c r="K324" s="25"/>
      <c r="L324" s="25"/>
      <c r="M324" s="25"/>
      <c r="N324" s="25"/>
      <c r="O324" s="25"/>
      <c r="P324" s="25"/>
      <c r="Q324" s="123"/>
      <c r="R324" s="123"/>
      <c r="S324" s="123"/>
      <c r="T324" s="123"/>
      <c r="U324" s="123"/>
      <c r="V324" s="123"/>
      <c r="W324" s="123"/>
      <c r="X324" s="123"/>
      <c r="Y324" s="123"/>
      <c r="Z324" s="123"/>
      <c r="AA324" s="123"/>
      <c r="AB324" s="123"/>
      <c r="AC324" s="123"/>
      <c r="AD324" s="123"/>
      <c r="AE324" s="123"/>
      <c r="AF324" s="167">
        <f>AF71/AF314</f>
        <v>0.6281421559464716</v>
      </c>
      <c r="AG324" s="167">
        <f>AG71/AG314</f>
        <v>0.62714458196051914</v>
      </c>
      <c r="AH324" s="167">
        <f>AH71/AH314</f>
        <v>0.62138924880904023</v>
      </c>
      <c r="AI324" s="167">
        <f>AI71/AI314</f>
        <v>0.63305542729122832</v>
      </c>
      <c r="AJ324" s="167">
        <f>AJ71/AJ314</f>
        <v>0.62734082397003743</v>
      </c>
      <c r="AK324" s="123"/>
      <c r="AL324" s="123"/>
      <c r="AM324" s="123"/>
      <c r="AN324" s="123"/>
      <c r="AO324" s="123"/>
      <c r="AP324" s="123"/>
      <c r="AQ324" s="123"/>
      <c r="AR324" s="123"/>
      <c r="AS324" s="123"/>
      <c r="AT324" s="123"/>
      <c r="AU324" s="123"/>
      <c r="AV324" s="123"/>
      <c r="AW324" s="123"/>
      <c r="AX324" s="123"/>
      <c r="AY324" s="682"/>
      <c r="AZ324" s="123"/>
      <c r="BA324" s="123"/>
      <c r="BB324" s="123"/>
      <c r="BC324" s="123"/>
      <c r="BD324" s="682"/>
      <c r="BE324" s="25"/>
      <c r="BF324" s="25"/>
      <c r="BG324" s="25"/>
      <c r="BH324" s="25"/>
      <c r="BI324" s="682"/>
      <c r="BJ324" s="25"/>
      <c r="BK324" s="25"/>
      <c r="BL324" s="25"/>
      <c r="BM324" s="25"/>
      <c r="BN324" s="682"/>
      <c r="BO324" s="25"/>
      <c r="BP324" s="25"/>
      <c r="BQ324" s="25"/>
      <c r="BR324" s="25"/>
      <c r="BS324" s="682"/>
      <c r="BT324" s="25"/>
      <c r="BU324" s="25"/>
      <c r="BV324" s="25"/>
      <c r="BW324" s="25"/>
      <c r="BX324" s="682"/>
      <c r="BY324" s="25"/>
      <c r="BZ324" s="25"/>
      <c r="CA324" s="25"/>
      <c r="CB324" s="25"/>
      <c r="CC324" s="25"/>
      <c r="CD324" s="25"/>
      <c r="CE324" s="25"/>
      <c r="CF324" s="25"/>
      <c r="CG324" s="25"/>
      <c r="CH324" s="25"/>
      <c r="CI324" s="25"/>
      <c r="CJ324" s="25"/>
      <c r="CK324" s="25"/>
      <c r="CL324" s="25"/>
      <c r="CM324" s="25"/>
    </row>
    <row r="325" spans="1:91" ht="12.75" hidden="1" customHeight="1" outlineLevel="1" x14ac:dyDescent="0.2">
      <c r="A325" s="47" t="s">
        <v>13</v>
      </c>
      <c r="B325" s="25"/>
      <c r="C325" s="25"/>
      <c r="D325" s="25"/>
      <c r="E325" s="25"/>
      <c r="F325" s="25"/>
      <c r="G325" s="25"/>
      <c r="H325" s="25"/>
      <c r="I325" s="25"/>
      <c r="J325" s="25"/>
      <c r="K325" s="25"/>
      <c r="L325" s="25"/>
      <c r="M325" s="25"/>
      <c r="N325" s="25"/>
      <c r="O325" s="25"/>
      <c r="P325" s="25"/>
      <c r="Q325" s="123"/>
      <c r="R325" s="123"/>
      <c r="S325" s="123"/>
      <c r="T325" s="123"/>
      <c r="U325" s="123"/>
      <c r="V325" s="123"/>
      <c r="W325" s="123"/>
      <c r="X325" s="123"/>
      <c r="Y325" s="123"/>
      <c r="Z325" s="123"/>
      <c r="AA325" s="123"/>
      <c r="AB325" s="123"/>
      <c r="AC325" s="123"/>
      <c r="AD325" s="123"/>
      <c r="AE325" s="123"/>
      <c r="AF325" s="167">
        <f>AF82/AF315</f>
        <v>3.5022416737830917</v>
      </c>
      <c r="AG325" s="167">
        <f>AG82/AG315</f>
        <v>3.50509461426492</v>
      </c>
      <c r="AH325" s="167">
        <f>AH82/AH315</f>
        <v>3.5</v>
      </c>
      <c r="AI325" s="167">
        <f>AI82/AI315</f>
        <v>3.5007011217948718</v>
      </c>
      <c r="AJ325" s="167">
        <f>AJ82/AJ315</f>
        <v>3.5020429009193053</v>
      </c>
      <c r="AK325" s="123"/>
      <c r="AL325" s="123"/>
      <c r="AM325" s="123"/>
      <c r="AN325" s="123"/>
      <c r="AO325" s="123"/>
      <c r="AP325" s="123"/>
      <c r="AQ325" s="123"/>
      <c r="AR325" s="123"/>
      <c r="AS325" s="123"/>
      <c r="AT325" s="123"/>
      <c r="AU325" s="123"/>
      <c r="AV325" s="123"/>
      <c r="AW325" s="123"/>
      <c r="AX325" s="123"/>
      <c r="AY325" s="682"/>
      <c r="AZ325" s="123"/>
      <c r="BA325" s="123"/>
      <c r="BB325" s="123"/>
      <c r="BC325" s="123"/>
      <c r="BD325" s="682"/>
      <c r="BE325" s="25"/>
      <c r="BF325" s="25"/>
      <c r="BG325" s="25"/>
      <c r="BH325" s="25"/>
      <c r="BI325" s="682"/>
      <c r="BJ325" s="25"/>
      <c r="BK325" s="25"/>
      <c r="BL325" s="25"/>
      <c r="BM325" s="25"/>
      <c r="BN325" s="682"/>
      <c r="BO325" s="25"/>
      <c r="BP325" s="25"/>
      <c r="BQ325" s="25"/>
      <c r="BR325" s="25"/>
      <c r="BS325" s="682"/>
      <c r="BT325" s="25"/>
      <c r="BU325" s="25"/>
      <c r="BV325" s="25"/>
      <c r="BW325" s="25"/>
      <c r="BX325" s="682"/>
      <c r="BY325" s="25"/>
      <c r="BZ325" s="25"/>
      <c r="CA325" s="25"/>
      <c r="CB325" s="25"/>
      <c r="CC325" s="25"/>
      <c r="CD325" s="25"/>
      <c r="CE325" s="25"/>
      <c r="CF325" s="25"/>
      <c r="CG325" s="25"/>
      <c r="CH325" s="25"/>
      <c r="CI325" s="25"/>
      <c r="CJ325" s="25"/>
      <c r="CK325" s="25"/>
      <c r="CL325" s="25"/>
      <c r="CM325" s="25"/>
    </row>
    <row r="326" spans="1:91" ht="12.75" hidden="1" customHeight="1" outlineLevel="1" x14ac:dyDescent="0.2">
      <c r="A326" s="47" t="s">
        <v>184</v>
      </c>
      <c r="B326" s="25"/>
      <c r="C326" s="25"/>
      <c r="D326" s="25"/>
      <c r="E326" s="25"/>
      <c r="F326" s="25"/>
      <c r="G326" s="25"/>
      <c r="H326" s="25"/>
      <c r="I326" s="25"/>
      <c r="J326" s="25"/>
      <c r="K326" s="25"/>
      <c r="L326" s="25"/>
      <c r="M326" s="25"/>
      <c r="N326" s="25"/>
      <c r="O326" s="25"/>
      <c r="P326" s="25"/>
      <c r="Q326" s="123"/>
      <c r="R326" s="123"/>
      <c r="S326" s="123"/>
      <c r="T326" s="123"/>
      <c r="U326" s="123"/>
      <c r="V326" s="123"/>
      <c r="W326" s="123"/>
      <c r="X326" s="123"/>
      <c r="Y326" s="123"/>
      <c r="Z326" s="123"/>
      <c r="AA326" s="123"/>
      <c r="AB326" s="123"/>
      <c r="AC326" s="123"/>
      <c r="AD326" s="123"/>
      <c r="AE326" s="123"/>
      <c r="AF326" s="167">
        <f>AF107/AF316</f>
        <v>1.1554307116104869</v>
      </c>
      <c r="AG326" s="167">
        <f>AG107/AG316</f>
        <v>1.1554307116104869</v>
      </c>
      <c r="AH326" s="167">
        <f>AH107/AH316</f>
        <v>1.1554307116104867</v>
      </c>
      <c r="AI326" s="167">
        <f>AI107/AI316</f>
        <v>1.1554307116104869</v>
      </c>
      <c r="AJ326" s="167">
        <f>AJ107/AJ316</f>
        <v>1.1554307116104869</v>
      </c>
      <c r="AK326" s="123"/>
      <c r="AL326" s="123"/>
      <c r="AM326" s="123"/>
      <c r="AN326" s="123"/>
      <c r="AO326" s="123"/>
      <c r="AP326" s="123"/>
      <c r="AQ326" s="123"/>
      <c r="AR326" s="123"/>
      <c r="AS326" s="123"/>
      <c r="AT326" s="123"/>
      <c r="AU326" s="123"/>
      <c r="AV326" s="123"/>
      <c r="AW326" s="123"/>
      <c r="AX326" s="123"/>
      <c r="AY326" s="682"/>
      <c r="AZ326" s="123"/>
      <c r="BA326" s="123"/>
      <c r="BB326" s="123"/>
      <c r="BC326" s="123"/>
      <c r="BD326" s="682"/>
      <c r="BE326" s="25"/>
      <c r="BF326" s="25"/>
      <c r="BG326" s="25"/>
      <c r="BH326" s="25"/>
      <c r="BI326" s="682"/>
      <c r="BJ326" s="25"/>
      <c r="BK326" s="25"/>
      <c r="BL326" s="25"/>
      <c r="BM326" s="25"/>
      <c r="BN326" s="682"/>
      <c r="BO326" s="25"/>
      <c r="BP326" s="25"/>
      <c r="BQ326" s="25"/>
      <c r="BR326" s="25"/>
      <c r="BS326" s="682"/>
      <c r="BT326" s="25"/>
      <c r="BU326" s="25"/>
      <c r="BV326" s="25"/>
      <c r="BW326" s="25"/>
      <c r="BX326" s="682"/>
      <c r="BY326" s="25"/>
      <c r="BZ326" s="25"/>
      <c r="CA326" s="25"/>
      <c r="CB326" s="25"/>
      <c r="CC326" s="25"/>
      <c r="CD326" s="25"/>
      <c r="CE326" s="25"/>
      <c r="CF326" s="25"/>
      <c r="CG326" s="25"/>
      <c r="CH326" s="25"/>
      <c r="CI326" s="25"/>
      <c r="CJ326" s="25"/>
      <c r="CK326" s="25"/>
      <c r="CL326" s="25"/>
      <c r="CM326" s="25"/>
    </row>
    <row r="327" spans="1:91" hidden="1" collapsed="1" x14ac:dyDescent="0.2">
      <c r="A327" s="22"/>
      <c r="AG327" s="121"/>
      <c r="AH327" s="121"/>
      <c r="AY327" s="686"/>
      <c r="BD327" s="686"/>
      <c r="BI327" s="686"/>
      <c r="BN327" s="686"/>
      <c r="BS327" s="686"/>
      <c r="BX327" s="686"/>
    </row>
    <row r="328" spans="1:91" hidden="1" x14ac:dyDescent="0.2">
      <c r="A328" s="31" t="s">
        <v>377</v>
      </c>
      <c r="AG328" s="121"/>
      <c r="AH328" s="121"/>
      <c r="AY328" s="686"/>
      <c r="BD328" s="686"/>
      <c r="BI328" s="686"/>
      <c r="BN328" s="686"/>
      <c r="BS328" s="686"/>
      <c r="BX328" s="686"/>
    </row>
    <row r="329" spans="1:91" hidden="1" x14ac:dyDescent="0.2">
      <c r="A329" s="693" t="s">
        <v>364</v>
      </c>
      <c r="AG329" s="121"/>
      <c r="AH329" s="121"/>
      <c r="AY329" s="687"/>
      <c r="BD329" s="687"/>
      <c r="BE329" s="668">
        <v>0.1</v>
      </c>
      <c r="BF329" s="668">
        <v>0.125</v>
      </c>
      <c r="BG329" s="668">
        <v>0.15</v>
      </c>
      <c r="BH329" s="668">
        <v>0.15</v>
      </c>
      <c r="BI329" s="687">
        <f>BI332/BI330-1</f>
        <v>-0.13131470986009774</v>
      </c>
      <c r="BJ329" s="668">
        <v>0.22</v>
      </c>
      <c r="BK329" s="668">
        <v>0.33</v>
      </c>
      <c r="BL329" s="668">
        <v>0.55000000000000004</v>
      </c>
      <c r="BM329" s="668">
        <v>0.72</v>
      </c>
      <c r="BN329" s="687">
        <f>BN332/BN330-1</f>
        <v>-0.4536349426766153</v>
      </c>
      <c r="BO329" s="668">
        <v>0.83</v>
      </c>
      <c r="BP329" s="668">
        <v>0.86</v>
      </c>
      <c r="BQ329" s="668">
        <v>0.88</v>
      </c>
      <c r="BR329" s="668">
        <v>0.89</v>
      </c>
      <c r="BS329" s="687"/>
      <c r="BX329" s="687"/>
    </row>
    <row r="330" spans="1:91" hidden="1" x14ac:dyDescent="0.2">
      <c r="A330" s="693" t="s">
        <v>378</v>
      </c>
      <c r="AG330" s="121"/>
      <c r="AH330" s="121"/>
      <c r="AJ330"/>
      <c r="AK330"/>
      <c r="AL330"/>
      <c r="AM330"/>
      <c r="AN330"/>
      <c r="AO330"/>
      <c r="AP330"/>
      <c r="AQ330"/>
      <c r="AR330"/>
      <c r="AS330"/>
      <c r="AT330"/>
      <c r="AU330"/>
      <c r="AV330"/>
      <c r="AW330"/>
      <c r="AX330"/>
      <c r="AY330" s="688"/>
      <c r="AZ330" s="168">
        <f>AZ94</f>
        <v>-1041</v>
      </c>
      <c r="BA330" s="168">
        <f>BA94</f>
        <v>-1158</v>
      </c>
      <c r="BB330" s="168">
        <f>BB94</f>
        <v>-1112</v>
      </c>
      <c r="BC330" s="168">
        <f>BC94</f>
        <v>-948</v>
      </c>
      <c r="BD330" s="688">
        <f>BD94</f>
        <v>-4259</v>
      </c>
      <c r="BE330" s="168">
        <f>AZ330*(1+BE331)</f>
        <v>-1061.82</v>
      </c>
      <c r="BF330" s="168">
        <f>BA330*(1+BF331)</f>
        <v>-1181.1600000000001</v>
      </c>
      <c r="BG330" s="168">
        <f>BB330*(1+BG331)</f>
        <v>-1145.3600000000001</v>
      </c>
      <c r="BH330" s="168">
        <f>BC330*(1+BH331)</f>
        <v>-1033.3200000000002</v>
      </c>
      <c r="BI330" s="688">
        <f>SUM(BE330:BH330)</f>
        <v>-4421.66</v>
      </c>
      <c r="BJ330" s="168">
        <f>BE330*(1+BJ331)</f>
        <v>-1083.0563999999999</v>
      </c>
      <c r="BK330" s="168">
        <f>BF330*(1+BK331)</f>
        <v>-1263.8412000000001</v>
      </c>
      <c r="BL330" s="168">
        <f>BG330*(1+BL331)</f>
        <v>-1191.1744000000001</v>
      </c>
      <c r="BM330" s="168">
        <f>BH330*(1+BM331)</f>
        <v>-1105.6524000000002</v>
      </c>
      <c r="BN330" s="688">
        <f>SUM(BJ330:BM330)</f>
        <v>-4643.7244000000001</v>
      </c>
      <c r="BO330" s="168">
        <f>BJ330*(1+BO331)</f>
        <v>-1202.1926040000001</v>
      </c>
      <c r="BP330" s="168">
        <f>BK330*(1+BP331)</f>
        <v>-1437.2471691221315</v>
      </c>
      <c r="BQ330" s="168">
        <f>BL330*(1+BQ331)</f>
        <v>-1358.4328722180696</v>
      </c>
      <c r="BR330" s="168">
        <f>BM330*(1+BR331)</f>
        <v>-1251.35225080534</v>
      </c>
      <c r="BS330" s="688">
        <f>SUM(BO330:BR330)</f>
        <v>-5249.2248961455416</v>
      </c>
      <c r="BX330" s="688"/>
    </row>
    <row r="331" spans="1:91" hidden="1" x14ac:dyDescent="0.2">
      <c r="A331" s="694" t="s">
        <v>371</v>
      </c>
      <c r="AG331" s="121"/>
      <c r="AH331" s="121"/>
      <c r="AJ331"/>
      <c r="AK331"/>
      <c r="AL331"/>
      <c r="AM331"/>
      <c r="AN331"/>
      <c r="AO331"/>
      <c r="AP331"/>
      <c r="AQ331"/>
      <c r="AR331"/>
      <c r="AS331"/>
      <c r="AT331"/>
      <c r="AU331"/>
      <c r="AV331"/>
      <c r="AW331"/>
      <c r="AX331"/>
      <c r="AY331" s="689"/>
      <c r="AZ331"/>
      <c r="BA331"/>
      <c r="BB331"/>
      <c r="BD331" s="689"/>
      <c r="BE331" s="162">
        <f>SUM(BE98:BE101)</f>
        <v>1.9999999999999997E-2</v>
      </c>
      <c r="BF331" s="162">
        <f>SUM(BF98:BF101)</f>
        <v>1.9999999999999997E-2</v>
      </c>
      <c r="BG331" s="162">
        <f>SUM(BG98:BG101)</f>
        <v>0.03</v>
      </c>
      <c r="BH331" s="162">
        <f>SUM(BH98:BH101)</f>
        <v>0.09</v>
      </c>
      <c r="BI331" s="689">
        <f>BI330/BD330-1</f>
        <v>3.8192063864757042E-2</v>
      </c>
      <c r="BJ331" s="162">
        <f>SUM(BJ98:BJ101)</f>
        <v>0.02</v>
      </c>
      <c r="BK331" s="162">
        <f>SUM(BK98:BK101)</f>
        <v>7.0000000000000007E-2</v>
      </c>
      <c r="BL331" s="162">
        <f>SUM(BL98:BL101)</f>
        <v>0.04</v>
      </c>
      <c r="BM331" s="162">
        <f>SUM(BM98:BM101)</f>
        <v>7.0000000000000007E-2</v>
      </c>
      <c r="BN331" s="689">
        <f>BN330/BI330-1</f>
        <v>5.0221952841240647E-2</v>
      </c>
      <c r="BO331" s="162">
        <f>SUM(BO98:BO101)</f>
        <v>0.11</v>
      </c>
      <c r="BP331" s="162">
        <f>SUM(BP98:BP101)</f>
        <v>0.13720550423750338</v>
      </c>
      <c r="BQ331" s="162">
        <f>SUM(BQ98:BQ101)</f>
        <v>0.14041476396577149</v>
      </c>
      <c r="BR331" s="162">
        <f>SUM(BR98:BR101)</f>
        <v>0.13177726635002079</v>
      </c>
      <c r="BS331" s="689">
        <f>BS330/BN330-1</f>
        <v>0.13039113521585</v>
      </c>
      <c r="BX331" s="689"/>
    </row>
    <row r="332" spans="1:91" hidden="1" x14ac:dyDescent="0.2">
      <c r="A332" s="694" t="s">
        <v>379</v>
      </c>
      <c r="AG332" s="121"/>
      <c r="AH332" s="121"/>
      <c r="AJ332"/>
      <c r="AK332"/>
      <c r="AL332"/>
      <c r="AM332"/>
      <c r="AN332"/>
      <c r="AO332"/>
      <c r="AP332"/>
      <c r="AQ332"/>
      <c r="AR332"/>
      <c r="AS332"/>
      <c r="AT332"/>
      <c r="AU332"/>
      <c r="AV332"/>
      <c r="AW332"/>
      <c r="AX332"/>
      <c r="AY332" s="688"/>
      <c r="AZ332"/>
      <c r="BA332"/>
      <c r="BB332"/>
      <c r="BC332"/>
      <c r="BD332" s="688"/>
      <c r="BE332" s="168">
        <f>BE330*(1-BE329)</f>
        <v>-955.63799999999992</v>
      </c>
      <c r="BF332" s="168">
        <f>BF330*(1-BF329)</f>
        <v>-1033.5150000000001</v>
      </c>
      <c r="BG332" s="168">
        <f>BG330*(1-BG329)</f>
        <v>-973.55600000000004</v>
      </c>
      <c r="BH332" s="168">
        <f>BH330*(1-BH329)</f>
        <v>-878.32200000000012</v>
      </c>
      <c r="BI332" s="688">
        <f>SUM(BE332:BH332)</f>
        <v>-3841.0309999999999</v>
      </c>
      <c r="BJ332" s="168">
        <f>BJ330*(1-BJ329)</f>
        <v>-844.78399200000001</v>
      </c>
      <c r="BK332" s="168">
        <f>BK330*(1-BK329)</f>
        <v>-846.77360399999998</v>
      </c>
      <c r="BL332" s="168">
        <f>BL330*(1-BL329)</f>
        <v>-536.02847999999994</v>
      </c>
      <c r="BM332" s="168">
        <f>BM330*(1-BM329)</f>
        <v>-309.58267200000006</v>
      </c>
      <c r="BN332" s="688">
        <f>SUM(BJ332:BM332)</f>
        <v>-2537.1687480000001</v>
      </c>
      <c r="BO332" s="168">
        <f>BO330*(1-BO329)</f>
        <v>-204.37274268000007</v>
      </c>
      <c r="BP332" s="168">
        <f>BP330*(1-BP329)</f>
        <v>-201.21460367709844</v>
      </c>
      <c r="BQ332" s="168">
        <f>BQ330*(1-BQ329)</f>
        <v>-163.01194466616835</v>
      </c>
      <c r="BR332" s="168">
        <f>BR330*(1-BR329)</f>
        <v>-137.64874758858738</v>
      </c>
      <c r="BS332" s="688">
        <f>SUM(BO332:BR332)</f>
        <v>-706.24803861185433</v>
      </c>
      <c r="BX332" s="688"/>
    </row>
    <row r="333" spans="1:91" hidden="1" x14ac:dyDescent="0.2">
      <c r="A333" s="694" t="s">
        <v>365</v>
      </c>
      <c r="AG333" s="121"/>
      <c r="AH333" s="121"/>
      <c r="AJ333"/>
      <c r="AK333"/>
      <c r="AL333"/>
      <c r="AM333"/>
      <c r="AN333"/>
      <c r="AO333"/>
      <c r="AP333"/>
      <c r="AQ333"/>
      <c r="AR333"/>
      <c r="AS333"/>
      <c r="AT333"/>
      <c r="AU333"/>
      <c r="AV333"/>
      <c r="AW333"/>
      <c r="AX333"/>
      <c r="AY333" s="688"/>
      <c r="AZ333"/>
      <c r="BA333"/>
      <c r="BB333"/>
      <c r="BC333"/>
      <c r="BD333" s="688"/>
      <c r="BE333" s="168">
        <f t="shared" ref="BE333:BR333" si="491">-(BE330-BE332)</f>
        <v>106.18200000000002</v>
      </c>
      <c r="BF333" s="168">
        <f t="shared" si="491"/>
        <v>147.64499999999998</v>
      </c>
      <c r="BG333" s="168">
        <f t="shared" si="491"/>
        <v>171.80400000000009</v>
      </c>
      <c r="BH333" s="168">
        <f t="shared" si="491"/>
        <v>154.99800000000005</v>
      </c>
      <c r="BI333" s="688">
        <f t="shared" si="491"/>
        <v>580.62899999999991</v>
      </c>
      <c r="BJ333" s="168">
        <f t="shared" si="491"/>
        <v>238.27240799999993</v>
      </c>
      <c r="BK333" s="168">
        <f t="shared" si="491"/>
        <v>417.06759600000009</v>
      </c>
      <c r="BL333" s="168">
        <f t="shared" si="491"/>
        <v>655.14592000000016</v>
      </c>
      <c r="BM333" s="168">
        <f t="shared" si="491"/>
        <v>796.06972800000017</v>
      </c>
      <c r="BN333" s="688">
        <f t="shared" si="491"/>
        <v>2106.555652</v>
      </c>
      <c r="BO333" s="168">
        <f t="shared" si="491"/>
        <v>997.81986131999997</v>
      </c>
      <c r="BP333" s="168">
        <f t="shared" si="491"/>
        <v>1236.032565445033</v>
      </c>
      <c r="BQ333" s="168">
        <f t="shared" si="491"/>
        <v>1195.4209275519013</v>
      </c>
      <c r="BR333" s="168">
        <f t="shared" si="491"/>
        <v>1113.7035032167526</v>
      </c>
      <c r="BS333" s="688"/>
      <c r="BX333" s="688"/>
    </row>
    <row r="334" spans="1:91" hidden="1" x14ac:dyDescent="0.2">
      <c r="A334" s="695"/>
      <c r="AG334" s="121"/>
      <c r="AH334" s="121"/>
      <c r="AJ334"/>
      <c r="AK334"/>
      <c r="AL334"/>
      <c r="AM334"/>
      <c r="AN334"/>
      <c r="AO334"/>
      <c r="AP334"/>
      <c r="AQ334"/>
      <c r="AR334"/>
      <c r="AS334"/>
      <c r="AT334"/>
      <c r="AU334"/>
      <c r="AV334"/>
      <c r="AW334"/>
      <c r="AX334"/>
      <c r="AY334" s="686"/>
      <c r="AZ334"/>
      <c r="BA334"/>
      <c r="BB334"/>
      <c r="BC334"/>
      <c r="BD334" s="686"/>
      <c r="BE334"/>
      <c r="BF334"/>
      <c r="BG334"/>
      <c r="BH334"/>
      <c r="BI334" s="686"/>
      <c r="BN334" s="686"/>
      <c r="BS334" s="686"/>
      <c r="BX334" s="686"/>
    </row>
    <row r="335" spans="1:91" hidden="1" x14ac:dyDescent="0.2">
      <c r="A335" s="695"/>
      <c r="AG335" s="121"/>
      <c r="AH335" s="121"/>
      <c r="AJ335"/>
      <c r="AK335"/>
      <c r="AL335"/>
      <c r="AM335"/>
      <c r="AN335"/>
      <c r="AO335"/>
      <c r="AP335"/>
      <c r="AQ335"/>
      <c r="AR335"/>
      <c r="AS335"/>
      <c r="AT335"/>
      <c r="AU335"/>
      <c r="AV335"/>
      <c r="AW335"/>
      <c r="AX335"/>
      <c r="AY335" s="686"/>
      <c r="AZ335"/>
      <c r="BA335"/>
      <c r="BB335"/>
      <c r="BC335"/>
      <c r="BD335" s="686"/>
      <c r="BE335"/>
      <c r="BF335"/>
      <c r="BG335"/>
      <c r="BH335"/>
      <c r="BI335" s="686"/>
      <c r="BN335" s="686"/>
      <c r="BS335" s="686"/>
      <c r="BX335" s="686"/>
    </row>
    <row r="336" spans="1:91" hidden="1" x14ac:dyDescent="0.2">
      <c r="A336" s="696" t="s">
        <v>375</v>
      </c>
      <c r="AG336" s="121"/>
      <c r="AH336" s="121"/>
      <c r="AJ336"/>
      <c r="AK336"/>
      <c r="AL336"/>
      <c r="AM336"/>
      <c r="AN336"/>
      <c r="AO336"/>
      <c r="AP336"/>
      <c r="AQ336"/>
      <c r="AR336"/>
      <c r="AS336"/>
      <c r="AT336"/>
      <c r="AU336"/>
      <c r="AV336"/>
      <c r="AW336"/>
      <c r="AX336"/>
      <c r="AY336" s="686"/>
      <c r="AZ336"/>
      <c r="BA336"/>
      <c r="BB336"/>
      <c r="BC336"/>
      <c r="BD336" s="686"/>
      <c r="BE336"/>
      <c r="BF336"/>
      <c r="BG336"/>
      <c r="BH336"/>
      <c r="BI336" s="686"/>
      <c r="BN336" s="686"/>
      <c r="BS336" s="686"/>
      <c r="BX336" s="686"/>
    </row>
    <row r="337" spans="1:76" hidden="1" x14ac:dyDescent="0.2">
      <c r="A337" s="694" t="s">
        <v>366</v>
      </c>
      <c r="AJ337"/>
      <c r="AK337"/>
      <c r="AL337"/>
      <c r="AM337"/>
      <c r="AN337"/>
      <c r="AO337"/>
      <c r="AP337"/>
      <c r="AQ337"/>
      <c r="AR337"/>
      <c r="AS337"/>
      <c r="AT337"/>
      <c r="AU337"/>
      <c r="AV337"/>
      <c r="AW337"/>
      <c r="AX337"/>
      <c r="AY337" s="688"/>
      <c r="AZ337" s="168" t="e">
        <v>#REF!</v>
      </c>
      <c r="BA337" s="168" t="e">
        <v>#REF!</v>
      </c>
      <c r="BB337" s="168" t="e">
        <v>#REF!</v>
      </c>
      <c r="BC337" s="168" t="e">
        <v>#REF!</v>
      </c>
      <c r="BD337" s="688" t="e">
        <v>#REF!</v>
      </c>
      <c r="BE337" s="168" t="e">
        <f>AZ337*(1+BE331)</f>
        <v>#REF!</v>
      </c>
      <c r="BF337" s="168" t="e">
        <f>BA337*(1+BF331)</f>
        <v>#REF!</v>
      </c>
      <c r="BG337" s="168" t="e">
        <f>BB337*(1+BG331)</f>
        <v>#REF!</v>
      </c>
      <c r="BH337" s="168" t="e">
        <f>BC337*(1+BH331)</f>
        <v>#REF!</v>
      </c>
      <c r="BI337" s="688" t="e">
        <f>SUM(BE337:BH337)</f>
        <v>#REF!</v>
      </c>
      <c r="BJ337" s="168" t="e">
        <f>BE337*(1+BJ331)</f>
        <v>#REF!</v>
      </c>
      <c r="BK337" s="168" t="e">
        <f>BF337*(1+BK331)</f>
        <v>#REF!</v>
      </c>
      <c r="BL337" s="168" t="e">
        <f>BG337*(1+BL331)</f>
        <v>#REF!</v>
      </c>
      <c r="BM337" s="168" t="e">
        <f>BH337*(1+BM331)</f>
        <v>#REF!</v>
      </c>
      <c r="BN337" s="688" t="e">
        <f>SUM(BJ337:BM337)</f>
        <v>#REF!</v>
      </c>
      <c r="BO337" s="168" t="e">
        <f>BJ337*(1+BO331)</f>
        <v>#REF!</v>
      </c>
      <c r="BP337" s="168" t="e">
        <f>BK337*(1+BP331)</f>
        <v>#REF!</v>
      </c>
      <c r="BQ337" s="168" t="e">
        <f>BL337*(1+BQ331)</f>
        <v>#REF!</v>
      </c>
      <c r="BR337" s="168" t="e">
        <f>BM337*(1+BR331)</f>
        <v>#REF!</v>
      </c>
      <c r="BS337" s="688" t="e">
        <f>SUM(BO337:BR337)</f>
        <v>#REF!</v>
      </c>
      <c r="BX337" s="688"/>
    </row>
    <row r="338" spans="1:76" hidden="1" x14ac:dyDescent="0.2">
      <c r="A338" s="694" t="s">
        <v>367</v>
      </c>
      <c r="AA338" s="174"/>
      <c r="AB338" s="174"/>
      <c r="AC338" s="174"/>
      <c r="AD338" s="174"/>
      <c r="AE338" s="174"/>
      <c r="AF338" s="174"/>
      <c r="AG338" s="174"/>
      <c r="AH338" s="174"/>
      <c r="AI338" s="174"/>
      <c r="AJ338"/>
      <c r="AK338"/>
      <c r="AL338"/>
      <c r="AM338"/>
      <c r="AN338"/>
      <c r="AO338"/>
      <c r="AP338"/>
      <c r="AQ338"/>
      <c r="AR338"/>
      <c r="AS338"/>
      <c r="AT338"/>
      <c r="AU338"/>
      <c r="AV338"/>
      <c r="AW338"/>
      <c r="AX338"/>
      <c r="AY338" s="688"/>
      <c r="AZ338" s="168" t="e">
        <f>AZ337</f>
        <v>#REF!</v>
      </c>
      <c r="BA338" s="168" t="e">
        <f>BA337</f>
        <v>#REF!</v>
      </c>
      <c r="BB338" s="168" t="e">
        <f>BB337</f>
        <v>#REF!</v>
      </c>
      <c r="BC338" s="168" t="e">
        <f>BC337</f>
        <v>#REF!</v>
      </c>
      <c r="BD338" s="688" t="e">
        <f>BD337</f>
        <v>#REF!</v>
      </c>
      <c r="BE338" s="168" t="e">
        <f>BE337*(1-BE329)</f>
        <v>#REF!</v>
      </c>
      <c r="BF338" s="168" t="e">
        <f>BF337*(1-BF329)</f>
        <v>#REF!</v>
      </c>
      <c r="BG338" s="168" t="e">
        <f>BG337*(1-BG329)</f>
        <v>#REF!</v>
      </c>
      <c r="BH338" s="168" t="e">
        <f>BH337*(1-BH329)</f>
        <v>#REF!</v>
      </c>
      <c r="BI338" s="688" t="e">
        <f>SUM(BE338:BH338)</f>
        <v>#REF!</v>
      </c>
      <c r="BJ338" s="168" t="e">
        <f>BJ337*(1-BJ329)</f>
        <v>#REF!</v>
      </c>
      <c r="BK338" s="168" t="e">
        <f>BK337*(1-BK329)</f>
        <v>#REF!</v>
      </c>
      <c r="BL338" s="168" t="e">
        <f>BL337*(1-BL329)</f>
        <v>#REF!</v>
      </c>
      <c r="BM338" s="168" t="e">
        <f>BM337*(1-BM329)</f>
        <v>#REF!</v>
      </c>
      <c r="BN338" s="688" t="e">
        <f>SUM(BJ338:BM338)</f>
        <v>#REF!</v>
      </c>
      <c r="BO338" s="168" t="e">
        <f>BO337*(1-BO329)</f>
        <v>#REF!</v>
      </c>
      <c r="BP338" s="168" t="e">
        <f>BP337*(1-BP329)</f>
        <v>#REF!</v>
      </c>
      <c r="BQ338" s="168" t="e">
        <f>BQ337*(1-BQ329)</f>
        <v>#REF!</v>
      </c>
      <c r="BR338" s="168" t="e">
        <f>BR337*(1-BR329)</f>
        <v>#REF!</v>
      </c>
      <c r="BS338" s="688" t="e">
        <f>SUM(BO338:BR338)</f>
        <v>#REF!</v>
      </c>
      <c r="BX338" s="688"/>
    </row>
    <row r="339" spans="1:76" hidden="1" x14ac:dyDescent="0.2">
      <c r="A339" s="694" t="s">
        <v>380</v>
      </c>
      <c r="AJ339"/>
      <c r="AK339"/>
      <c r="AL339"/>
      <c r="AM339"/>
      <c r="AN339"/>
      <c r="AO339"/>
      <c r="AP339"/>
      <c r="AQ339"/>
      <c r="AR339"/>
      <c r="AS339"/>
      <c r="AT339"/>
      <c r="AU339"/>
      <c r="AV339"/>
      <c r="AW339"/>
      <c r="AX339"/>
      <c r="AY339" s="688"/>
      <c r="AZ339"/>
      <c r="BA339"/>
      <c r="BB339"/>
      <c r="BC339"/>
      <c r="BD339" s="688"/>
      <c r="BE339" s="168" t="e">
        <f>BE338-(AZ338*(1+BE331))</f>
        <v>#REF!</v>
      </c>
      <c r="BF339" s="168" t="e">
        <f>BF338-(BA338*(1+BF331))</f>
        <v>#REF!</v>
      </c>
      <c r="BG339" s="168" t="e">
        <f>BG338-(BB338*(1+BG331))</f>
        <v>#REF!</v>
      </c>
      <c r="BH339" s="168" t="e">
        <f>BH338-(BC338*(1+BH331))</f>
        <v>#REF!</v>
      </c>
      <c r="BI339" s="688" t="e">
        <f>SUM(BE339:BH339)</f>
        <v>#REF!</v>
      </c>
      <c r="BJ339" s="168" t="e">
        <f>BJ338-(BE338*(1+BJ331))</f>
        <v>#REF!</v>
      </c>
      <c r="BK339" s="168" t="e">
        <f>BK338-(BF338*(1+BK331))</f>
        <v>#REF!</v>
      </c>
      <c r="BL339" s="168" t="e">
        <f>BL338-(BG338*(1+BL331))</f>
        <v>#REF!</v>
      </c>
      <c r="BM339" s="168" t="e">
        <f>BM338-(BH338*(1+BM331))</f>
        <v>#REF!</v>
      </c>
      <c r="BN339" s="688" t="e">
        <f>SUM(BJ339:BM339)</f>
        <v>#REF!</v>
      </c>
      <c r="BO339" s="168" t="e">
        <f>BO338-(BJ338*(1+BO331))</f>
        <v>#REF!</v>
      </c>
      <c r="BP339" s="168" t="e">
        <f>BP338-(BK338*(1+BP331))</f>
        <v>#REF!</v>
      </c>
      <c r="BQ339" s="168" t="e">
        <f>BQ338-(BL338*(1+BQ331))</f>
        <v>#REF!</v>
      </c>
      <c r="BR339" s="168" t="e">
        <f>BR338-(BM338*(1+BR331))</f>
        <v>#REF!</v>
      </c>
      <c r="BS339" s="688" t="e">
        <f>SUM(BO339:BR339)</f>
        <v>#REF!</v>
      </c>
      <c r="BX339" s="688"/>
    </row>
    <row r="340" spans="1:76" hidden="1" x14ac:dyDescent="0.2">
      <c r="A340" s="694" t="s">
        <v>381</v>
      </c>
      <c r="AJ340"/>
      <c r="AK340"/>
      <c r="AL340"/>
      <c r="AM340"/>
      <c r="AN340"/>
      <c r="AO340"/>
      <c r="AP340"/>
      <c r="AQ340"/>
      <c r="AR340"/>
      <c r="AS340"/>
      <c r="AT340"/>
      <c r="AU340"/>
      <c r="AV340"/>
      <c r="AW340"/>
      <c r="AX340"/>
      <c r="AY340" s="688"/>
      <c r="AZ340"/>
      <c r="BA340"/>
      <c r="BB340"/>
      <c r="BC340"/>
      <c r="BD340" s="688"/>
      <c r="BE340" s="168" t="e">
        <f>BE337-BE338</f>
        <v>#REF!</v>
      </c>
      <c r="BF340" s="168" t="e">
        <f>BF337-BF338</f>
        <v>#REF!</v>
      </c>
      <c r="BG340" s="168" t="e">
        <f>BG337-BG338</f>
        <v>#REF!</v>
      </c>
      <c r="BH340" s="168" t="e">
        <f>BH337-BH338</f>
        <v>#REF!</v>
      </c>
      <c r="BI340" s="688" t="e">
        <f t="shared" ref="BI340:BS340" si="492">BI337-BI338</f>
        <v>#REF!</v>
      </c>
      <c r="BJ340" s="168" t="e">
        <f t="shared" si="492"/>
        <v>#REF!</v>
      </c>
      <c r="BK340" s="168" t="e">
        <f t="shared" si="492"/>
        <v>#REF!</v>
      </c>
      <c r="BL340" s="168" t="e">
        <f t="shared" si="492"/>
        <v>#REF!</v>
      </c>
      <c r="BM340" s="168" t="e">
        <f t="shared" si="492"/>
        <v>#REF!</v>
      </c>
      <c r="BN340" s="688" t="e">
        <f t="shared" si="492"/>
        <v>#REF!</v>
      </c>
      <c r="BO340" s="168" t="e">
        <f t="shared" si="492"/>
        <v>#REF!</v>
      </c>
      <c r="BP340" s="168" t="e">
        <f t="shared" si="492"/>
        <v>#REF!</v>
      </c>
      <c r="BQ340" s="168" t="e">
        <f t="shared" si="492"/>
        <v>#REF!</v>
      </c>
      <c r="BR340" s="168" t="e">
        <f t="shared" si="492"/>
        <v>#REF!</v>
      </c>
      <c r="BS340" s="688" t="e">
        <f t="shared" si="492"/>
        <v>#REF!</v>
      </c>
      <c r="BX340" s="688"/>
    </row>
    <row r="341" spans="1:76" hidden="1" x14ac:dyDescent="0.2">
      <c r="A341" s="695"/>
      <c r="AJ341"/>
      <c r="AK341"/>
      <c r="AL341"/>
      <c r="AM341"/>
      <c r="AN341"/>
      <c r="AO341"/>
      <c r="AP341"/>
      <c r="AQ341"/>
      <c r="AR341"/>
      <c r="AS341"/>
      <c r="AT341"/>
      <c r="AU341"/>
      <c r="AV341"/>
      <c r="AW341"/>
      <c r="AX341"/>
      <c r="AY341" s="686"/>
      <c r="AZ341"/>
      <c r="BA341"/>
      <c r="BB341"/>
      <c r="BC341"/>
      <c r="BD341" s="686"/>
      <c r="BE341"/>
      <c r="BF341"/>
      <c r="BG341"/>
      <c r="BH341"/>
      <c r="BI341" s="686"/>
      <c r="BN341" s="686"/>
      <c r="BO341" s="193"/>
      <c r="BS341" s="686"/>
      <c r="BX341" s="686"/>
    </row>
    <row r="342" spans="1:76" hidden="1" x14ac:dyDescent="0.2">
      <c r="A342" s="694" t="s">
        <v>376</v>
      </c>
      <c r="AJ342"/>
      <c r="AK342"/>
      <c r="AL342"/>
      <c r="AM342"/>
      <c r="AN342"/>
      <c r="AO342"/>
      <c r="AP342"/>
      <c r="AQ342"/>
      <c r="AR342"/>
      <c r="AS342"/>
      <c r="AT342"/>
      <c r="AU342"/>
      <c r="AV342"/>
      <c r="AW342"/>
      <c r="AX342"/>
      <c r="AY342" s="688"/>
      <c r="AZ342"/>
      <c r="BA342"/>
      <c r="BB342"/>
      <c r="BC342"/>
      <c r="BD342" s="688" t="e">
        <v>#REF!</v>
      </c>
      <c r="BE342" s="168" t="e">
        <f>$BD$343*BE337</f>
        <v>#REF!</v>
      </c>
      <c r="BF342" s="168" t="e">
        <f>$BD$343*BF337</f>
        <v>#REF!</v>
      </c>
      <c r="BG342" s="168" t="e">
        <f>$BD$343*BG337</f>
        <v>#REF!</v>
      </c>
      <c r="BH342" s="168" t="e">
        <f>$BD$343*BH337</f>
        <v>#REF!</v>
      </c>
      <c r="BI342" s="688" t="e">
        <f>SUM(BE342:BH342)</f>
        <v>#REF!</v>
      </c>
      <c r="BJ342" s="189" t="e">
        <f>$BD$343*BJ337</f>
        <v>#REF!</v>
      </c>
      <c r="BK342" s="189" t="e">
        <f>$BD$343*BK337</f>
        <v>#REF!</v>
      </c>
      <c r="BL342" s="189" t="e">
        <f>$BD$343*BL337</f>
        <v>#REF!</v>
      </c>
      <c r="BM342" s="189" t="e">
        <f>$BD$343*BM337</f>
        <v>#REF!</v>
      </c>
      <c r="BN342" s="688" t="e">
        <f>SUM(BJ342:BM342)</f>
        <v>#REF!</v>
      </c>
      <c r="BO342" s="163"/>
      <c r="BP342" s="163"/>
      <c r="BQ342" s="163"/>
      <c r="BR342" s="163"/>
      <c r="BS342" s="688"/>
      <c r="BX342" s="688"/>
    </row>
    <row r="343" spans="1:76" hidden="1" x14ac:dyDescent="0.2">
      <c r="A343" s="694" t="s">
        <v>368</v>
      </c>
      <c r="AA343" s="174"/>
      <c r="AB343" s="174"/>
      <c r="AC343" s="174"/>
      <c r="AD343" s="174"/>
      <c r="AE343" s="174"/>
      <c r="AF343" s="174"/>
      <c r="AG343" s="174"/>
      <c r="AH343" s="174"/>
      <c r="AI343" s="174"/>
      <c r="AJ343"/>
      <c r="AK343"/>
      <c r="AL343"/>
      <c r="AM343"/>
      <c r="AN343"/>
      <c r="AO343"/>
      <c r="AP343"/>
      <c r="AQ343"/>
      <c r="AR343"/>
      <c r="AS343"/>
      <c r="AT343"/>
      <c r="AU343"/>
      <c r="AV343"/>
      <c r="AW343"/>
      <c r="AX343"/>
      <c r="AY343" s="686"/>
      <c r="AZ343"/>
      <c r="BA343"/>
      <c r="BB343"/>
      <c r="BC343"/>
      <c r="BD343" s="690" t="e">
        <f>BD342/BD337</f>
        <v>#REF!</v>
      </c>
      <c r="BE343"/>
      <c r="BF343"/>
      <c r="BG343"/>
      <c r="BH343"/>
      <c r="BI343" s="686"/>
      <c r="BN343" s="686"/>
      <c r="BS343" s="686"/>
      <c r="BX343" s="686"/>
    </row>
    <row r="344" spans="1:76" hidden="1" x14ac:dyDescent="0.2">
      <c r="A344" s="694" t="s">
        <v>369</v>
      </c>
      <c r="AJ344"/>
      <c r="AK344"/>
      <c r="AL344"/>
      <c r="AM344"/>
      <c r="AN344"/>
      <c r="AO344"/>
      <c r="AP344"/>
      <c r="AQ344"/>
      <c r="AR344"/>
      <c r="AS344"/>
      <c r="AT344"/>
      <c r="AU344"/>
      <c r="AV344"/>
      <c r="AW344"/>
      <c r="AX344"/>
      <c r="AY344" s="688"/>
      <c r="AZ344"/>
      <c r="BA344"/>
      <c r="BB344"/>
      <c r="BC344"/>
      <c r="BD344" s="688"/>
      <c r="BE344">
        <v>0</v>
      </c>
      <c r="BF344" s="669" t="e">
        <f>-BF342*1/3</f>
        <v>#REF!</v>
      </c>
      <c r="BG344" s="669" t="e">
        <f>-BG342</f>
        <v>#REF!</v>
      </c>
      <c r="BH344" s="669" t="e">
        <f>-BH342</f>
        <v>#REF!</v>
      </c>
      <c r="BI344" s="688" t="e">
        <f>SUM(BE344:BH344)</f>
        <v>#REF!</v>
      </c>
      <c r="BJ344" s="669" t="e">
        <f>-BJ342</f>
        <v>#REF!</v>
      </c>
      <c r="BK344" s="669" t="e">
        <f>-BK342*2/3</f>
        <v>#REF!</v>
      </c>
      <c r="BL344" s="168"/>
      <c r="BM344" s="168"/>
      <c r="BN344" s="688" t="e">
        <f>SUM(BJ344:BM344)</f>
        <v>#REF!</v>
      </c>
      <c r="BO344" s="168"/>
      <c r="BP344" s="168"/>
      <c r="BQ344" s="168"/>
      <c r="BR344" s="168"/>
      <c r="BS344" s="688"/>
      <c r="BX344" s="688"/>
    </row>
    <row r="345" spans="1:76" hidden="1" x14ac:dyDescent="0.2">
      <c r="A345" s="695"/>
      <c r="AJ345"/>
      <c r="AK345"/>
      <c r="AL345"/>
      <c r="AM345"/>
      <c r="AN345"/>
      <c r="AO345"/>
      <c r="AP345"/>
      <c r="AQ345"/>
      <c r="AR345"/>
      <c r="AS345"/>
      <c r="AT345"/>
      <c r="AU345"/>
      <c r="AV345"/>
      <c r="AW345"/>
      <c r="AX345"/>
      <c r="AY345" s="686"/>
      <c r="AZ345"/>
      <c r="BA345"/>
      <c r="BB345"/>
      <c r="BC345"/>
      <c r="BD345" s="686"/>
      <c r="BE345"/>
      <c r="BF345"/>
      <c r="BG345"/>
      <c r="BH345"/>
      <c r="BI345" s="686"/>
      <c r="BN345" s="686"/>
      <c r="BS345" s="686"/>
      <c r="BX345" s="686"/>
    </row>
    <row r="346" spans="1:76" hidden="1" x14ac:dyDescent="0.2">
      <c r="A346" s="694" t="s">
        <v>370</v>
      </c>
      <c r="AJ346"/>
      <c r="AK346"/>
      <c r="AL346"/>
      <c r="AM346"/>
      <c r="AN346"/>
      <c r="AO346"/>
      <c r="AP346"/>
      <c r="AQ346"/>
      <c r="AR346"/>
      <c r="AS346"/>
      <c r="AT346"/>
      <c r="AU346"/>
      <c r="AV346"/>
      <c r="AW346"/>
      <c r="AX346"/>
      <c r="AY346" s="688"/>
      <c r="AZ346"/>
      <c r="BA346"/>
      <c r="BB346"/>
      <c r="BC346"/>
      <c r="BD346" s="688" t="e">
        <v>#REF!</v>
      </c>
      <c r="BE346"/>
      <c r="BF346"/>
      <c r="BG346"/>
      <c r="BH346"/>
      <c r="BI346" s="688" t="e">
        <f>BD346*(1+BI347)</f>
        <v>#REF!</v>
      </c>
      <c r="BJ346" s="168" t="e">
        <f>$BN$346*(BJ104/$BN$104)</f>
        <v>#REF!</v>
      </c>
      <c r="BK346" s="168" t="e">
        <f>$BN$346*(BK104/$BN$104)</f>
        <v>#REF!</v>
      </c>
      <c r="BL346" s="168" t="e">
        <f>$BN$346*(BL104/$BN$104)</f>
        <v>#REF!</v>
      </c>
      <c r="BM346" s="168" t="e">
        <f>$BN$346*(BM104/$BN$104)</f>
        <v>#REF!</v>
      </c>
      <c r="BN346" s="688" t="e">
        <f>BI346*(1+BN347)</f>
        <v>#REF!</v>
      </c>
      <c r="BO346" s="168"/>
      <c r="BP346" s="168"/>
      <c r="BQ346" s="168"/>
      <c r="BR346" s="168"/>
      <c r="BS346" s="688"/>
      <c r="BX346" s="688"/>
    </row>
    <row r="347" spans="1:76" hidden="1" x14ac:dyDescent="0.2">
      <c r="A347" s="694" t="s">
        <v>371</v>
      </c>
      <c r="AJ347"/>
      <c r="AK347"/>
      <c r="AL347"/>
      <c r="AM347"/>
      <c r="AN347"/>
      <c r="AO347"/>
      <c r="AP347"/>
      <c r="AQ347"/>
      <c r="AR347"/>
      <c r="AS347"/>
      <c r="AT347"/>
      <c r="AU347"/>
      <c r="AV347"/>
      <c r="AW347"/>
      <c r="AX347"/>
      <c r="AY347" s="690"/>
      <c r="AZ347"/>
      <c r="BA347"/>
      <c r="BB347"/>
      <c r="BC347"/>
      <c r="BD347" s="690"/>
      <c r="BE347"/>
      <c r="BF347"/>
      <c r="BG347"/>
      <c r="BH347"/>
      <c r="BI347" s="690">
        <v>0.05</v>
      </c>
      <c r="BN347" s="690">
        <v>0.05</v>
      </c>
      <c r="BS347" s="690"/>
      <c r="BX347" s="690"/>
    </row>
    <row r="348" spans="1:76" hidden="1" x14ac:dyDescent="0.2">
      <c r="A348" s="694" t="s">
        <v>372</v>
      </c>
      <c r="AJ348"/>
      <c r="AK348"/>
      <c r="AL348"/>
      <c r="AM348"/>
      <c r="AN348"/>
      <c r="AO348"/>
      <c r="AP348"/>
      <c r="AQ348"/>
      <c r="AR348"/>
      <c r="AS348"/>
      <c r="AT348"/>
      <c r="AU348"/>
      <c r="AV348"/>
      <c r="AW348"/>
      <c r="AX348"/>
      <c r="AY348" s="688"/>
      <c r="AZ348"/>
      <c r="BA348"/>
      <c r="BB348"/>
      <c r="BC348"/>
      <c r="BD348" s="688"/>
      <c r="BE348"/>
      <c r="BF348"/>
      <c r="BG348"/>
      <c r="BH348"/>
      <c r="BI348" s="688"/>
      <c r="BJ348" s="670" t="e">
        <f>-BJ346</f>
        <v>#REF!</v>
      </c>
      <c r="BK348" s="670" t="e">
        <f>-BK346</f>
        <v>#REF!</v>
      </c>
      <c r="BL348" s="670" t="e">
        <f>-BL346</f>
        <v>#REF!</v>
      </c>
      <c r="BM348" s="670" t="e">
        <f>-BM346</f>
        <v>#REF!</v>
      </c>
      <c r="BN348" s="688" t="e">
        <f>SUM(BJ348:BM348)</f>
        <v>#REF!</v>
      </c>
      <c r="BO348" s="193"/>
      <c r="BP348" s="193"/>
      <c r="BQ348" s="193"/>
      <c r="BR348" s="193"/>
      <c r="BS348" s="688"/>
      <c r="BX348" s="688"/>
    </row>
    <row r="349" spans="1:76" hidden="1" x14ac:dyDescent="0.2">
      <c r="A349" s="695"/>
      <c r="AJ349"/>
      <c r="AK349"/>
      <c r="AL349"/>
      <c r="AM349"/>
      <c r="AN349"/>
      <c r="AO349"/>
      <c r="AP349"/>
      <c r="AQ349"/>
      <c r="AR349"/>
      <c r="AS349"/>
      <c r="AT349"/>
      <c r="AU349"/>
      <c r="AV349"/>
      <c r="AW349"/>
      <c r="AX349"/>
      <c r="AY349" s="686"/>
      <c r="AZ349"/>
      <c r="BA349"/>
      <c r="BB349"/>
      <c r="BC349"/>
      <c r="BD349" s="686"/>
      <c r="BE349"/>
      <c r="BF349"/>
      <c r="BG349"/>
      <c r="BH349"/>
      <c r="BI349" s="686"/>
      <c r="BN349" s="686"/>
      <c r="BS349" s="686"/>
      <c r="BX349" s="686"/>
    </row>
    <row r="350" spans="1:76" hidden="1" x14ac:dyDescent="0.2">
      <c r="A350" s="696" t="s">
        <v>373</v>
      </c>
      <c r="AJ350"/>
      <c r="AK350"/>
      <c r="AL350"/>
      <c r="AM350"/>
      <c r="AN350"/>
      <c r="AO350"/>
      <c r="AP350"/>
      <c r="AQ350"/>
      <c r="AR350"/>
      <c r="AS350"/>
      <c r="AT350"/>
      <c r="AU350"/>
      <c r="AV350"/>
      <c r="AW350"/>
      <c r="AX350"/>
      <c r="AY350" s="686"/>
      <c r="AZ350"/>
      <c r="BA350"/>
      <c r="BB350"/>
      <c r="BC350"/>
      <c r="BD350" s="686"/>
      <c r="BI350" s="686"/>
      <c r="BN350" s="686"/>
      <c r="BS350" s="686"/>
      <c r="BT350" s="168"/>
      <c r="BX350" s="686"/>
    </row>
    <row r="351" spans="1:76" hidden="1" x14ac:dyDescent="0.2">
      <c r="A351" s="694" t="s">
        <v>374</v>
      </c>
      <c r="AJ351"/>
      <c r="AK351"/>
      <c r="AL351"/>
      <c r="AM351"/>
      <c r="AN351"/>
      <c r="AO351"/>
      <c r="AP351"/>
      <c r="AQ351"/>
      <c r="AR351"/>
      <c r="AS351"/>
      <c r="AT351"/>
      <c r="AU351"/>
      <c r="AV351"/>
      <c r="AW351"/>
      <c r="AX351"/>
      <c r="AY351" s="691"/>
      <c r="AZ351"/>
      <c r="BA351"/>
      <c r="BB351"/>
      <c r="BC351"/>
      <c r="BD351" s="691"/>
      <c r="BE351" s="168" t="e">
        <f t="shared" ref="BE351:BK351" si="493">BE339+BE344+BE348</f>
        <v>#REF!</v>
      </c>
      <c r="BF351" s="168" t="e">
        <f t="shared" si="493"/>
        <v>#REF!</v>
      </c>
      <c r="BG351" s="168" t="e">
        <f t="shared" si="493"/>
        <v>#REF!</v>
      </c>
      <c r="BH351" s="168" t="e">
        <f>BH339+BH344+BH348</f>
        <v>#REF!</v>
      </c>
      <c r="BI351" s="691" t="e">
        <f t="shared" si="493"/>
        <v>#REF!</v>
      </c>
      <c r="BJ351" s="168" t="e">
        <f t="shared" si="493"/>
        <v>#REF!</v>
      </c>
      <c r="BK351" s="168" t="e">
        <f t="shared" si="493"/>
        <v>#REF!</v>
      </c>
      <c r="BL351" s="168" t="e">
        <f t="shared" ref="BL351:BS351" si="494">BL339+BL344+BL348</f>
        <v>#REF!</v>
      </c>
      <c r="BM351" s="168" t="e">
        <f t="shared" si="494"/>
        <v>#REF!</v>
      </c>
      <c r="BN351" s="691" t="e">
        <f t="shared" si="494"/>
        <v>#REF!</v>
      </c>
      <c r="BO351" s="168" t="e">
        <f t="shared" si="494"/>
        <v>#REF!</v>
      </c>
      <c r="BP351" s="168" t="e">
        <f t="shared" si="494"/>
        <v>#REF!</v>
      </c>
      <c r="BQ351" s="168" t="e">
        <f t="shared" si="494"/>
        <v>#REF!</v>
      </c>
      <c r="BR351" s="168" t="e">
        <f t="shared" si="494"/>
        <v>#REF!</v>
      </c>
      <c r="BS351" s="691" t="e">
        <f t="shared" si="494"/>
        <v>#REF!</v>
      </c>
      <c r="BX351" s="691"/>
    </row>
    <row r="352" spans="1:76" hidden="1" x14ac:dyDescent="0.2">
      <c r="A352" s="694"/>
      <c r="AJ352"/>
      <c r="AK352"/>
      <c r="AL352"/>
      <c r="AM352"/>
      <c r="AN352"/>
      <c r="AO352"/>
      <c r="AP352"/>
      <c r="AQ352"/>
      <c r="AR352"/>
      <c r="AS352"/>
      <c r="AT352"/>
      <c r="AU352"/>
      <c r="AV352"/>
      <c r="AW352"/>
      <c r="AX352"/>
      <c r="AY352" s="691"/>
      <c r="AZ352"/>
      <c r="BA352"/>
      <c r="BB352"/>
      <c r="BC352"/>
      <c r="BD352" s="691"/>
      <c r="BE352" s="193"/>
      <c r="BF352" s="193"/>
      <c r="BG352" s="193"/>
      <c r="BH352" s="193"/>
      <c r="BI352" s="691"/>
      <c r="BJ352" s="193"/>
      <c r="BK352" s="193"/>
      <c r="BL352" s="193"/>
      <c r="BM352" s="193"/>
      <c r="BN352" s="691"/>
      <c r="BO352" s="193"/>
      <c r="BP352" s="193"/>
      <c r="BQ352" s="193"/>
      <c r="BR352" s="193"/>
      <c r="BS352" s="691"/>
      <c r="BX352" s="691"/>
    </row>
    <row r="353" spans="1:76" hidden="1" x14ac:dyDescent="0.2">
      <c r="A353" s="696"/>
      <c r="AJ353"/>
      <c r="AK353"/>
      <c r="AL353"/>
      <c r="AM353"/>
      <c r="AN353"/>
      <c r="AO353"/>
      <c r="AP353"/>
      <c r="AQ353"/>
      <c r="AR353"/>
      <c r="AS353"/>
      <c r="AT353"/>
      <c r="AU353"/>
      <c r="AV353"/>
      <c r="AW353"/>
      <c r="AX353"/>
      <c r="AY353" s="691"/>
      <c r="AZ353"/>
      <c r="BA353"/>
      <c r="BB353"/>
      <c r="BC353"/>
      <c r="BD353" s="691"/>
      <c r="BE353" s="193"/>
      <c r="BF353" s="193"/>
      <c r="BG353" s="193"/>
      <c r="BH353" s="193"/>
      <c r="BI353" s="691"/>
      <c r="BJ353" s="193"/>
      <c r="BK353" s="193"/>
      <c r="BL353" s="193"/>
      <c r="BM353" s="193"/>
      <c r="BN353" s="691"/>
      <c r="BO353" s="193"/>
      <c r="BP353" s="193"/>
      <c r="BQ353" s="193"/>
      <c r="BR353" s="193"/>
      <c r="BS353" s="691"/>
      <c r="BX353" s="691"/>
    </row>
    <row r="354" spans="1:76" hidden="1" x14ac:dyDescent="0.2">
      <c r="A354" s="694"/>
      <c r="AJ354"/>
      <c r="AK354"/>
      <c r="AL354"/>
      <c r="AM354"/>
      <c r="AN354"/>
      <c r="AO354"/>
      <c r="AP354"/>
      <c r="AQ354"/>
      <c r="AR354"/>
      <c r="AS354"/>
      <c r="AT354" s="642"/>
      <c r="AU354" s="642"/>
      <c r="AV354" s="642"/>
      <c r="AW354" s="642"/>
      <c r="AX354" s="642"/>
      <c r="AY354" s="692"/>
      <c r="AZ354" s="642"/>
      <c r="BA354" s="642"/>
      <c r="BB354" s="642"/>
      <c r="BC354" s="642"/>
      <c r="BD354" s="692"/>
      <c r="BE354" s="642"/>
      <c r="BF354" s="642"/>
      <c r="BG354" s="642"/>
      <c r="BH354" s="642"/>
      <c r="BI354" s="692"/>
      <c r="BJ354" s="642"/>
      <c r="BK354" s="642"/>
      <c r="BL354" s="642"/>
      <c r="BM354" s="642"/>
      <c r="BN354" s="692"/>
      <c r="BO354" s="642"/>
      <c r="BP354" s="642"/>
      <c r="BQ354" s="642"/>
      <c r="BR354" s="642"/>
      <c r="BS354" s="692"/>
      <c r="BT354" s="642"/>
      <c r="BU354" s="642"/>
      <c r="BV354" s="642"/>
      <c r="BW354" s="642"/>
      <c r="BX354" s="692"/>
    </row>
    <row r="355" spans="1:76" hidden="1" x14ac:dyDescent="0.2">
      <c r="A355" s="694"/>
      <c r="AJ355"/>
      <c r="AK355"/>
      <c r="AL355"/>
      <c r="AM355"/>
      <c r="AN355"/>
      <c r="AO355"/>
      <c r="AP355"/>
      <c r="AQ355"/>
      <c r="AR355"/>
      <c r="AS355"/>
      <c r="AT355" s="642"/>
      <c r="AU355" s="642"/>
      <c r="AV355" s="642"/>
      <c r="AW355" s="642"/>
      <c r="AX355" s="642"/>
      <c r="AY355" s="692"/>
      <c r="AZ355" s="642"/>
      <c r="BA355" s="642"/>
      <c r="BB355" s="642"/>
      <c r="BC355" s="642"/>
      <c r="BD355" s="692"/>
      <c r="BE355" s="642"/>
      <c r="BF355" s="642"/>
      <c r="BG355" s="642"/>
      <c r="BH355" s="642"/>
      <c r="BI355" s="692"/>
      <c r="BJ355" s="642"/>
      <c r="BK355" s="642"/>
      <c r="BL355" s="642"/>
      <c r="BM355" s="642"/>
      <c r="BN355" s="692"/>
      <c r="BO355" s="642"/>
      <c r="BP355" s="642"/>
      <c r="BQ355" s="642"/>
      <c r="BR355" s="642"/>
      <c r="BS355" s="692"/>
      <c r="BT355" s="642"/>
      <c r="BU355" s="642"/>
      <c r="BV355" s="642"/>
      <c r="BW355" s="642"/>
      <c r="BX355" s="692"/>
    </row>
    <row r="356" spans="1:76" hidden="1" x14ac:dyDescent="0.2">
      <c r="A356" s="694"/>
      <c r="P356" s="126"/>
      <c r="Q356" s="172"/>
      <c r="R356" s="172"/>
      <c r="S356" s="172"/>
      <c r="T356" s="172"/>
      <c r="U356" s="126"/>
      <c r="V356" s="172"/>
      <c r="W356" s="172"/>
      <c r="X356" s="172"/>
      <c r="Y356" s="172"/>
      <c r="Z356" s="126"/>
      <c r="AA356" s="172"/>
      <c r="AB356" s="172"/>
      <c r="AC356" s="172"/>
      <c r="AD356" s="172"/>
      <c r="AE356" s="126"/>
      <c r="AF356" s="172"/>
      <c r="AG356" s="172"/>
      <c r="AH356" s="172"/>
      <c r="AI356" s="172"/>
      <c r="AJ356"/>
      <c r="AK356"/>
      <c r="AL356"/>
      <c r="AM356"/>
      <c r="AN356"/>
      <c r="AO356"/>
      <c r="AP356"/>
      <c r="AQ356"/>
      <c r="AR356"/>
      <c r="AS356"/>
      <c r="AT356" s="642"/>
      <c r="AU356" s="642"/>
      <c r="AV356" s="642"/>
      <c r="AW356" s="642"/>
      <c r="AX356" s="642"/>
      <c r="AY356" s="692"/>
      <c r="AZ356" s="642"/>
      <c r="BA356" s="642"/>
      <c r="BB356" s="642"/>
      <c r="BC356" s="642"/>
      <c r="BD356" s="692"/>
      <c r="BE356" s="642"/>
      <c r="BF356" s="642"/>
      <c r="BG356" s="642"/>
      <c r="BH356" s="642"/>
      <c r="BI356" s="692"/>
      <c r="BJ356" s="642"/>
      <c r="BK356" s="642"/>
      <c r="BL356" s="642"/>
      <c r="BM356" s="642"/>
      <c r="BN356" s="692"/>
      <c r="BO356" s="642"/>
      <c r="BP356" s="642"/>
      <c r="BQ356" s="642"/>
      <c r="BR356" s="642"/>
      <c r="BS356" s="692"/>
      <c r="BT356" s="642"/>
      <c r="BU356" s="642"/>
      <c r="BV356" s="642"/>
      <c r="BW356" s="642"/>
      <c r="BX356" s="692"/>
    </row>
    <row r="357" spans="1:76" hidden="1" x14ac:dyDescent="0.2">
      <c r="A357" s="694"/>
      <c r="P357" s="126"/>
      <c r="Q357" s="172"/>
      <c r="R357" s="172"/>
      <c r="S357" s="172"/>
      <c r="T357" s="172"/>
      <c r="U357" s="126"/>
      <c r="V357" s="172"/>
      <c r="W357" s="172"/>
      <c r="X357" s="172"/>
      <c r="Y357" s="172"/>
      <c r="Z357" s="126"/>
      <c r="AA357" s="172"/>
      <c r="AB357" s="172"/>
      <c r="AC357" s="172"/>
      <c r="AD357" s="172"/>
      <c r="AE357" s="126"/>
      <c r="AF357" s="172"/>
      <c r="AG357" s="172"/>
      <c r="AH357" s="172"/>
      <c r="AI357" s="172"/>
      <c r="AJ357"/>
      <c r="AK357"/>
      <c r="AL357"/>
      <c r="AM357"/>
      <c r="AN357"/>
      <c r="AO357"/>
      <c r="AP357"/>
      <c r="AQ357"/>
      <c r="AR357"/>
      <c r="AS357"/>
      <c r="AT357" s="642"/>
      <c r="AU357" s="642"/>
      <c r="AV357" s="642"/>
      <c r="AW357" s="642"/>
      <c r="AX357" s="642"/>
      <c r="AY357" s="692"/>
      <c r="AZ357" s="642"/>
      <c r="BA357" s="642"/>
      <c r="BB357" s="642"/>
      <c r="BC357" s="642"/>
      <c r="BD357" s="692"/>
      <c r="BE357" s="642"/>
      <c r="BF357" s="642"/>
      <c r="BG357" s="642"/>
      <c r="BH357" s="642"/>
      <c r="BI357" s="692"/>
      <c r="BJ357" s="642"/>
      <c r="BK357" s="642"/>
      <c r="BL357" s="642"/>
      <c r="BM357" s="642"/>
      <c r="BN357" s="692"/>
      <c r="BO357" s="642"/>
      <c r="BP357" s="642"/>
      <c r="BQ357" s="642"/>
      <c r="BR357" s="642"/>
      <c r="BS357" s="692"/>
      <c r="BT357" s="642"/>
      <c r="BU357" s="642"/>
      <c r="BV357" s="642"/>
      <c r="BW357" s="642"/>
      <c r="BX357" s="692"/>
    </row>
    <row r="358" spans="1:76" hidden="1" x14ac:dyDescent="0.2">
      <c r="A358" s="694"/>
      <c r="P358" s="126"/>
      <c r="Q358" s="172"/>
      <c r="R358" s="172"/>
      <c r="S358" s="172"/>
      <c r="T358" s="172"/>
      <c r="U358" s="126"/>
      <c r="V358" s="172"/>
      <c r="W358" s="172"/>
      <c r="X358" s="172"/>
      <c r="Y358" s="172"/>
      <c r="Z358" s="126"/>
      <c r="AA358" s="172"/>
      <c r="AB358" s="172"/>
      <c r="AC358" s="172"/>
      <c r="AD358" s="172"/>
      <c r="AE358" s="126"/>
      <c r="AF358" s="172"/>
      <c r="AG358" s="172"/>
      <c r="AH358" s="172"/>
      <c r="AI358" s="172"/>
      <c r="AJ358" s="126"/>
      <c r="AK358" s="172"/>
      <c r="AL358" s="172"/>
      <c r="AM358" s="172"/>
      <c r="AN358" s="172"/>
      <c r="AO358" s="126"/>
      <c r="AP358" s="172"/>
      <c r="AQ358" s="172"/>
      <c r="AR358" s="172"/>
      <c r="AS358" s="172"/>
      <c r="AT358" s="671"/>
      <c r="AU358" s="671"/>
      <c r="AV358" s="671"/>
      <c r="AW358" s="671"/>
      <c r="AX358" s="671"/>
      <c r="AY358" s="692"/>
      <c r="AZ358" s="671"/>
      <c r="BA358" s="671"/>
      <c r="BB358" s="671"/>
      <c r="BC358" s="671"/>
      <c r="BD358" s="692"/>
      <c r="BE358" s="671"/>
      <c r="BF358" s="671"/>
      <c r="BG358" s="671"/>
      <c r="BH358" s="671"/>
      <c r="BI358" s="692"/>
      <c r="BJ358" s="671"/>
      <c r="BK358" s="671"/>
      <c r="BL358" s="671"/>
      <c r="BM358" s="671"/>
      <c r="BN358" s="692"/>
      <c r="BO358" s="671"/>
      <c r="BP358" s="671"/>
      <c r="BQ358" s="671"/>
      <c r="BR358" s="671"/>
      <c r="BS358" s="692"/>
      <c r="BT358" s="671"/>
      <c r="BU358" s="671"/>
      <c r="BV358" s="671"/>
      <c r="BW358" s="671"/>
      <c r="BX358" s="692"/>
    </row>
    <row r="359" spans="1:76" hidden="1" x14ac:dyDescent="0.2">
      <c r="A359" s="694"/>
      <c r="P359" s="126"/>
      <c r="Q359" s="172"/>
      <c r="R359" s="172"/>
      <c r="S359" s="172"/>
      <c r="T359" s="172"/>
      <c r="U359" s="126"/>
      <c r="V359" s="172"/>
      <c r="W359" s="172"/>
      <c r="X359" s="172"/>
      <c r="Y359" s="172"/>
      <c r="Z359" s="126"/>
      <c r="AA359" s="172"/>
      <c r="AB359" s="172"/>
      <c r="AC359" s="172"/>
      <c r="AD359" s="172"/>
      <c r="AE359" s="126"/>
      <c r="AF359" s="172"/>
      <c r="AG359" s="172"/>
      <c r="AH359" s="172"/>
      <c r="AI359" s="172"/>
      <c r="AJ359" s="126"/>
      <c r="AK359" s="172"/>
      <c r="AL359" s="172"/>
      <c r="AM359" s="172"/>
      <c r="AN359" s="172"/>
      <c r="AO359" s="126"/>
      <c r="AP359" s="172"/>
      <c r="AQ359" s="172"/>
      <c r="AR359" s="172"/>
      <c r="AS359" s="172"/>
      <c r="AT359" s="671"/>
      <c r="AU359" s="671"/>
      <c r="AV359" s="671"/>
      <c r="AW359" s="671"/>
      <c r="AX359" s="671"/>
      <c r="AY359" s="692"/>
      <c r="AZ359" s="671"/>
      <c r="BA359" s="671"/>
      <c r="BB359" s="671"/>
      <c r="BC359" s="671"/>
      <c r="BD359" s="692"/>
      <c r="BE359" s="671"/>
      <c r="BF359" s="671"/>
      <c r="BG359" s="671"/>
      <c r="BH359" s="671"/>
      <c r="BI359" s="692"/>
      <c r="BJ359" s="671"/>
      <c r="BK359" s="671"/>
      <c r="BL359" s="671"/>
      <c r="BM359" s="671"/>
      <c r="BN359" s="692"/>
      <c r="BO359" s="671"/>
      <c r="BP359" s="671"/>
      <c r="BQ359" s="671"/>
      <c r="BR359" s="671"/>
      <c r="BS359" s="692"/>
      <c r="BT359" s="671"/>
      <c r="BU359" s="671"/>
      <c r="BV359" s="671"/>
      <c r="BW359" s="671"/>
      <c r="BX359" s="692"/>
    </row>
    <row r="360" spans="1:76" x14ac:dyDescent="0.2">
      <c r="P360" s="126"/>
      <c r="Q360" s="172"/>
      <c r="R360" s="172"/>
      <c r="S360" s="172"/>
      <c r="T360" s="172"/>
      <c r="U360" s="126"/>
      <c r="V360" s="172"/>
      <c r="W360" s="172"/>
      <c r="X360" s="172"/>
      <c r="Y360" s="172"/>
      <c r="Z360" s="126"/>
      <c r="AA360" s="172"/>
      <c r="AB360" s="172"/>
      <c r="AC360" s="172"/>
      <c r="AD360" s="172"/>
      <c r="AE360" s="126"/>
      <c r="AF360" s="172"/>
      <c r="AG360" s="172"/>
      <c r="AH360" s="172"/>
      <c r="AI360" s="172"/>
      <c r="AJ360" s="126"/>
      <c r="AK360" s="172"/>
      <c r="AL360" s="172"/>
      <c r="AM360" s="172"/>
      <c r="AN360" s="172"/>
      <c r="AO360" s="126"/>
      <c r="AP360" s="172"/>
      <c r="AQ360" s="172"/>
      <c r="AR360" s="172"/>
      <c r="AS360" s="172"/>
      <c r="AT360" s="126"/>
      <c r="AU360" s="32"/>
      <c r="BE360" s="138"/>
      <c r="BS360" s="138"/>
    </row>
    <row r="361" spans="1:76" x14ac:dyDescent="0.2">
      <c r="P361" s="126"/>
      <c r="Q361" s="172"/>
      <c r="R361" s="172"/>
      <c r="S361" s="172"/>
      <c r="T361" s="172"/>
      <c r="U361" s="126"/>
      <c r="V361" s="172"/>
      <c r="W361" s="172"/>
      <c r="X361" s="172"/>
      <c r="Y361" s="172"/>
      <c r="Z361" s="126"/>
      <c r="AA361" s="172"/>
      <c r="AB361" s="172"/>
      <c r="AC361" s="172"/>
      <c r="AD361" s="172"/>
      <c r="AE361" s="126"/>
      <c r="AF361" s="172"/>
      <c r="AG361" s="172"/>
      <c r="AH361" s="172"/>
      <c r="AI361" s="172"/>
      <c r="AJ361" s="126"/>
      <c r="AK361" s="172"/>
      <c r="AL361" s="172"/>
      <c r="AM361" s="172"/>
      <c r="AN361" s="172"/>
      <c r="AO361" s="126"/>
      <c r="AP361" s="172"/>
      <c r="AQ361" s="172"/>
      <c r="AR361" s="172"/>
      <c r="AS361" s="172"/>
      <c r="AT361" s="126"/>
      <c r="AU361" s="32"/>
    </row>
    <row r="362" spans="1:76" x14ac:dyDescent="0.2">
      <c r="L362" s="193"/>
      <c r="P362" s="126"/>
      <c r="Q362" s="172"/>
      <c r="R362" s="172"/>
      <c r="S362" s="172"/>
      <c r="T362" s="172"/>
      <c r="U362" s="126"/>
      <c r="V362" s="172"/>
      <c r="W362" s="172"/>
      <c r="X362" s="172"/>
      <c r="Y362" s="172"/>
      <c r="Z362" s="126"/>
      <c r="AA362" s="172"/>
      <c r="AB362" s="172"/>
      <c r="AC362" s="172"/>
      <c r="AD362" s="172"/>
      <c r="AE362" s="126"/>
      <c r="AF362" s="172"/>
      <c r="AG362" s="172"/>
      <c r="AH362" s="172"/>
      <c r="AI362" s="172"/>
      <c r="AJ362" s="126"/>
      <c r="AK362" s="172"/>
      <c r="AL362" s="172"/>
      <c r="AM362" s="172"/>
      <c r="AN362" s="172"/>
      <c r="AO362" s="126"/>
      <c r="AP362" s="172"/>
      <c r="AQ362" s="172"/>
      <c r="AR362" s="172"/>
      <c r="AS362" s="172"/>
      <c r="AT362" s="126"/>
      <c r="AU362" s="32"/>
      <c r="BI362" s="172"/>
    </row>
    <row r="363" spans="1:76" customFormat="1" x14ac:dyDescent="0.2">
      <c r="A363" s="21"/>
      <c r="B363" s="21"/>
      <c r="C363" s="21"/>
      <c r="D363" s="21"/>
      <c r="E363" s="21"/>
      <c r="F363" s="26" t="s">
        <v>18</v>
      </c>
      <c r="G363" s="26" t="s">
        <v>17</v>
      </c>
      <c r="H363" s="26" t="s">
        <v>16</v>
      </c>
      <c r="I363" s="26" t="s">
        <v>15</v>
      </c>
      <c r="J363" s="26" t="s">
        <v>19</v>
      </c>
      <c r="K363" s="26" t="s">
        <v>315</v>
      </c>
      <c r="L363" s="26" t="s">
        <v>265</v>
      </c>
      <c r="M363" s="26" t="s">
        <v>340</v>
      </c>
      <c r="N363" s="26" t="s">
        <v>154</v>
      </c>
      <c r="O363" s="26"/>
      <c r="BI363" s="162"/>
    </row>
    <row r="364" spans="1:76" x14ac:dyDescent="0.2">
      <c r="E364" s="34" t="s">
        <v>97</v>
      </c>
      <c r="F364" s="194">
        <f>F163</f>
        <v>1565</v>
      </c>
      <c r="G364" s="194">
        <f>K163</f>
        <v>1683</v>
      </c>
      <c r="H364" s="194">
        <f>P163</f>
        <v>1706</v>
      </c>
      <c r="I364" s="194">
        <f>U163</f>
        <v>1596</v>
      </c>
      <c r="J364" s="194">
        <f>Z163</f>
        <v>1730</v>
      </c>
      <c r="K364" s="194">
        <f>AE163</f>
        <v>1954</v>
      </c>
      <c r="L364" s="194">
        <f>AJ163</f>
        <v>2819</v>
      </c>
      <c r="M364" s="194">
        <f>AO163</f>
        <v>2856</v>
      </c>
      <c r="N364" s="194">
        <f>AT163</f>
        <v>2778</v>
      </c>
      <c r="O364" s="151">
        <f>(N364-O367-O372-O375-O380)/I364-1</f>
        <v>-0.56892230576441105</v>
      </c>
      <c r="P364" s="194"/>
    </row>
    <row r="365" spans="1:76" s="195" customFormat="1" x14ac:dyDescent="0.2">
      <c r="E365" s="195" t="s">
        <v>98</v>
      </c>
      <c r="G365" s="196">
        <f t="shared" ref="G365:N365" si="495">G364/F364-1</f>
        <v>7.539936102236422E-2</v>
      </c>
      <c r="H365" s="196">
        <f t="shared" si="495"/>
        <v>1.3666072489601833E-2</v>
      </c>
      <c r="I365" s="196">
        <f t="shared" si="495"/>
        <v>-6.4478311840562741E-2</v>
      </c>
      <c r="J365" s="196">
        <f t="shared" si="495"/>
        <v>8.3959899749373346E-2</v>
      </c>
      <c r="K365" s="196">
        <f t="shared" si="495"/>
        <v>0.1294797687861271</v>
      </c>
      <c r="L365" s="196">
        <f t="shared" si="495"/>
        <v>0.44268167860798369</v>
      </c>
      <c r="M365" s="196">
        <f t="shared" si="495"/>
        <v>1.3125221709826107E-2</v>
      </c>
      <c r="N365" s="196">
        <f t="shared" si="495"/>
        <v>-2.7310924369747913E-2</v>
      </c>
      <c r="O365" s="196"/>
      <c r="P365" s="196"/>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row>
    <row r="366" spans="1:76" hidden="1" x14ac:dyDescent="0.2">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row>
    <row r="367" spans="1:76" hidden="1" x14ac:dyDescent="0.2">
      <c r="E367" s="34" t="s">
        <v>221</v>
      </c>
      <c r="F367" s="34"/>
      <c r="G367" s="34"/>
      <c r="H367" s="34"/>
      <c r="I367" s="34"/>
      <c r="J367" s="34"/>
      <c r="K367" s="34">
        <f>200</f>
        <v>200</v>
      </c>
      <c r="L367" s="34">
        <f>1340-200</f>
        <v>1140</v>
      </c>
      <c r="M367" s="34"/>
      <c r="N367" s="34"/>
      <c r="O367" s="34">
        <f>SUM(K367:L367)</f>
        <v>1340</v>
      </c>
      <c r="P367" s="34"/>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row>
    <row r="368" spans="1:76" s="195" customFormat="1" hidden="1" x14ac:dyDescent="0.2">
      <c r="E368" s="34" t="s">
        <v>93</v>
      </c>
      <c r="F368" s="34"/>
      <c r="G368" s="34"/>
      <c r="H368" s="34"/>
      <c r="I368" s="34"/>
      <c r="J368" s="34"/>
      <c r="K368" s="194"/>
      <c r="L368" s="194"/>
      <c r="M368" s="34"/>
      <c r="N368" s="34"/>
      <c r="O368" s="34"/>
      <c r="P368" s="34"/>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row>
    <row r="369" spans="5:76" hidden="1" x14ac:dyDescent="0.2">
      <c r="E369" s="195" t="s">
        <v>98</v>
      </c>
      <c r="F369" s="195"/>
      <c r="G369" s="196">
        <f>G364/F364-1</f>
        <v>7.539936102236422E-2</v>
      </c>
      <c r="H369" s="196">
        <f>H364/G364-1</f>
        <v>1.3666072489601833E-2</v>
      </c>
      <c r="I369" s="196">
        <f>I364/H364-1</f>
        <v>-6.4478311840562741E-2</v>
      </c>
      <c r="J369" s="196">
        <f>J364/I364-1</f>
        <v>8.3959899749373346E-2</v>
      </c>
      <c r="K369" s="196">
        <f>(K364-K367)/J364-1</f>
        <v>1.387283236994219E-2</v>
      </c>
      <c r="L369" s="196">
        <f>(L364-L367)/K364-1</f>
        <v>-0.14073694984646878</v>
      </c>
      <c r="M369" s="196">
        <f>M364/L364-1</f>
        <v>1.3125221709826107E-2</v>
      </c>
      <c r="N369" s="196">
        <f>N364/M364-1</f>
        <v>-2.7310924369747913E-2</v>
      </c>
      <c r="O369" s="196"/>
      <c r="P369" s="196"/>
      <c r="AF369"/>
      <c r="AG369"/>
      <c r="AH369"/>
      <c r="AI369"/>
      <c r="AJ369"/>
      <c r="AK369"/>
      <c r="AL369"/>
      <c r="AM369"/>
      <c r="AN369"/>
      <c r="AO369"/>
      <c r="AP369"/>
      <c r="AQ369"/>
      <c r="AR369"/>
      <c r="AS369"/>
      <c r="AT369" s="168">
        <f t="shared" ref="AT369:AX369" si="496">+AT28+AT59</f>
        <v>8097</v>
      </c>
      <c r="AU369" s="168">
        <f t="shared" si="496"/>
        <v>1951</v>
      </c>
      <c r="AV369" s="168">
        <f t="shared" si="496"/>
        <v>2301</v>
      </c>
      <c r="AW369" s="168">
        <f t="shared" si="496"/>
        <v>2138</v>
      </c>
      <c r="AX369" s="168">
        <f t="shared" si="496"/>
        <v>1876</v>
      </c>
      <c r="AY369" s="168">
        <f>+AY28+AY59</f>
        <v>8266</v>
      </c>
      <c r="AZ369" s="168">
        <v>1850</v>
      </c>
      <c r="BA369" s="168">
        <v>2093</v>
      </c>
      <c r="BB369" s="168">
        <v>1933</v>
      </c>
      <c r="BC369" s="168">
        <v>1711</v>
      </c>
      <c r="BD369" s="168">
        <v>7587</v>
      </c>
      <c r="BE369" s="168">
        <v>1750</v>
      </c>
      <c r="BF369" s="168">
        <v>2031</v>
      </c>
      <c r="BG369" s="168">
        <v>1953.4350668287116</v>
      </c>
      <c r="BH369" s="168">
        <v>1746.7034786772529</v>
      </c>
      <c r="BI369" s="168">
        <v>7481.1385455059644</v>
      </c>
      <c r="BJ369" s="168">
        <v>1825.1927118397502</v>
      </c>
      <c r="BK369" s="168">
        <v>2095.6115391686603</v>
      </c>
      <c r="BL369" s="168">
        <v>2014.0932109040634</v>
      </c>
      <c r="BM369" s="168">
        <v>1801.1787118977866</v>
      </c>
      <c r="BN369" s="168">
        <v>7736.076173810261</v>
      </c>
      <c r="BO369" s="168">
        <v>1879.3628829161667</v>
      </c>
      <c r="BP369" s="168">
        <v>2157.2429839481101</v>
      </c>
      <c r="BQ369" s="168">
        <v>2072.906479278909</v>
      </c>
      <c r="BR369" s="168">
        <v>1854.1432716382644</v>
      </c>
      <c r="BS369" s="168">
        <v>7963.6556177814491</v>
      </c>
      <c r="BT369" s="168">
        <v>1941.8049822237394</v>
      </c>
      <c r="BU369" s="168">
        <v>2228.4283707933796</v>
      </c>
      <c r="BV369" s="168">
        <v>2140.9441198980503</v>
      </c>
      <c r="BW369" s="168">
        <v>1915.3202157439277</v>
      </c>
      <c r="BX369" s="168">
        <v>8226.4976886590975</v>
      </c>
    </row>
    <row r="370" spans="5:76" hidden="1" x14ac:dyDescent="0.2">
      <c r="Q370" s="34"/>
      <c r="AF370"/>
      <c r="AG370"/>
      <c r="AH370"/>
      <c r="AI370"/>
      <c r="AJ370"/>
      <c r="AK370"/>
      <c r="AL370"/>
      <c r="AM370"/>
      <c r="AN370"/>
      <c r="AO370"/>
      <c r="AP370"/>
      <c r="AQ370"/>
      <c r="AR370"/>
      <c r="AS370"/>
      <c r="AT370" s="168">
        <f t="shared" ref="AT370:AX370" ca="1" si="497">+AT29+AT60</f>
        <v>-689</v>
      </c>
      <c r="AU370" s="168">
        <f t="shared" si="497"/>
        <v>-159</v>
      </c>
      <c r="AV370" s="168">
        <f t="shared" si="497"/>
        <v>-184</v>
      </c>
      <c r="AW370" s="168">
        <f t="shared" si="497"/>
        <v>-187</v>
      </c>
      <c r="AX370" s="168">
        <f t="shared" si="497"/>
        <v>-162</v>
      </c>
      <c r="AY370" s="168">
        <f>+AY29+AY60</f>
        <v>-692</v>
      </c>
      <c r="AZ370" s="168">
        <v>-144</v>
      </c>
      <c r="BA370" s="168">
        <v>-158</v>
      </c>
      <c r="BB370" s="168">
        <v>-169</v>
      </c>
      <c r="BC370" s="168">
        <v>-150</v>
      </c>
      <c r="BD370" s="168">
        <v>-621</v>
      </c>
      <c r="BE370" s="168">
        <v>-141</v>
      </c>
      <c r="BF370" s="168">
        <v>-123</v>
      </c>
      <c r="BG370" s="168">
        <v>-48.762355107256134</v>
      </c>
      <c r="BH370" s="168">
        <v>-43.667586966931317</v>
      </c>
      <c r="BI370" s="168">
        <v>-356.42994207418752</v>
      </c>
      <c r="BJ370" s="168">
        <v>-37.379065425840906</v>
      </c>
      <c r="BK370" s="168">
        <v>-47.600731671259126</v>
      </c>
      <c r="BL370" s="168">
        <v>-50.275500238784161</v>
      </c>
      <c r="BM370" s="168">
        <v>-45.029467797444667</v>
      </c>
      <c r="BN370" s="168">
        <v>-180.28476513332885</v>
      </c>
      <c r="BO370" s="168">
        <v>-38.320782084243667</v>
      </c>
      <c r="BP370" s="168">
        <v>-48.902039950347493</v>
      </c>
      <c r="BQ370" s="168">
        <v>-51.741990446464428</v>
      </c>
      <c r="BR370" s="168">
        <v>-46.353581790956611</v>
      </c>
      <c r="BS370" s="168">
        <v>-185.3183942720122</v>
      </c>
      <c r="BT370" s="168">
        <v>-39.448670067499961</v>
      </c>
      <c r="BU370" s="168">
        <v>-50.430222889061476</v>
      </c>
      <c r="BV370" s="168">
        <v>-53.438897885167549</v>
      </c>
      <c r="BW370" s="168">
        <v>-47.883005393598197</v>
      </c>
      <c r="BX370" s="168">
        <v>-191.20079623532718</v>
      </c>
    </row>
    <row r="371" spans="5:76" hidden="1" x14ac:dyDescent="0.2">
      <c r="E371" s="34" t="s">
        <v>94</v>
      </c>
      <c r="AF371"/>
      <c r="AG371"/>
      <c r="AH371"/>
      <c r="AI371"/>
      <c r="AJ371"/>
      <c r="AK371"/>
      <c r="AL371"/>
      <c r="AM371"/>
      <c r="AN371"/>
      <c r="AO371"/>
      <c r="AP371"/>
      <c r="AQ371"/>
      <c r="AR371"/>
      <c r="AS371"/>
      <c r="AT371" s="168">
        <f t="shared" ref="AT371:AX371" ca="1" si="498">+AT370+AT369</f>
        <v>7408</v>
      </c>
      <c r="AU371" s="168">
        <f t="shared" si="498"/>
        <v>1792</v>
      </c>
      <c r="AV371" s="168">
        <f t="shared" si="498"/>
        <v>2117</v>
      </c>
      <c r="AW371" s="168">
        <f t="shared" si="498"/>
        <v>1951</v>
      </c>
      <c r="AX371" s="168">
        <f t="shared" si="498"/>
        <v>1714</v>
      </c>
      <c r="AY371" s="168">
        <f>+AY370+AY369</f>
        <v>7574</v>
      </c>
      <c r="AZ371" s="168">
        <v>1706</v>
      </c>
      <c r="BA371" s="168">
        <v>1935</v>
      </c>
      <c r="BB371" s="168">
        <v>1764</v>
      </c>
      <c r="BC371" s="168">
        <v>1561</v>
      </c>
      <c r="BD371" s="168">
        <v>6966</v>
      </c>
      <c r="BE371" s="168">
        <v>1609</v>
      </c>
      <c r="BF371" s="168">
        <v>1908</v>
      </c>
      <c r="BG371" s="168">
        <v>1904.6727117214555</v>
      </c>
      <c r="BH371" s="168">
        <v>1703.0358917103215</v>
      </c>
      <c r="BI371" s="168">
        <v>7124.7086034317772</v>
      </c>
      <c r="BJ371" s="168">
        <v>1787.8136464139093</v>
      </c>
      <c r="BK371" s="168">
        <v>2048.0108074974014</v>
      </c>
      <c r="BL371" s="168">
        <v>1963.8177106652793</v>
      </c>
      <c r="BM371" s="168">
        <v>1756.149244100342</v>
      </c>
      <c r="BN371" s="168">
        <v>7555.7914086769324</v>
      </c>
      <c r="BO371" s="168">
        <v>1841.0421008319229</v>
      </c>
      <c r="BP371" s="168">
        <v>2108.3409439977627</v>
      </c>
      <c r="BQ371" s="168">
        <v>2021.1644888324447</v>
      </c>
      <c r="BR371" s="168">
        <v>1807.7896898473077</v>
      </c>
      <c r="BS371" s="168">
        <v>7778.3372235094366</v>
      </c>
      <c r="BT371" s="168">
        <v>1902.3563121562395</v>
      </c>
      <c r="BU371" s="168">
        <v>2177.9981479043181</v>
      </c>
      <c r="BV371" s="168">
        <v>2087.5052220128828</v>
      </c>
      <c r="BW371" s="168">
        <v>1867.4372103503295</v>
      </c>
      <c r="BX371" s="168">
        <v>8035.2968924237703</v>
      </c>
    </row>
    <row r="372" spans="5:76" s="34" customFormat="1" hidden="1" x14ac:dyDescent="0.2">
      <c r="E372" s="21" t="s">
        <v>99</v>
      </c>
      <c r="L372" s="21">
        <v>350</v>
      </c>
      <c r="O372" s="34">
        <f>SUM(I372:N372)</f>
        <v>350</v>
      </c>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row>
    <row r="373" spans="5:76" s="29" customFormat="1" hidden="1" x14ac:dyDescent="0.2">
      <c r="E373" s="195" t="s">
        <v>98</v>
      </c>
      <c r="F373" s="195"/>
      <c r="G373" s="195"/>
      <c r="H373" s="195"/>
      <c r="I373" s="195"/>
      <c r="J373" s="195"/>
      <c r="K373" s="195"/>
      <c r="L373" s="196">
        <f>(L364-L367-L372)/K364-1</f>
        <v>-0.31985670419652001</v>
      </c>
      <c r="M373" s="195"/>
      <c r="N373" s="195"/>
      <c r="O373" s="195"/>
      <c r="P373" s="195"/>
      <c r="AF373"/>
      <c r="AG373"/>
      <c r="AH373"/>
      <c r="AI373"/>
      <c r="AJ373"/>
      <c r="AK373"/>
      <c r="AL373"/>
      <c r="AM373"/>
      <c r="AN373"/>
      <c r="AO373"/>
      <c r="AP373"/>
      <c r="AQ373"/>
      <c r="AR373"/>
      <c r="AS373"/>
      <c r="AT373" s="667">
        <f t="shared" ref="AT373:AX374" si="499">+AT4</f>
        <v>48325</v>
      </c>
      <c r="AU373" s="667">
        <f t="shared" si="499"/>
        <v>11844</v>
      </c>
      <c r="AV373" s="667">
        <f t="shared" si="499"/>
        <v>14150</v>
      </c>
      <c r="AW373" s="667">
        <f t="shared" si="499"/>
        <v>13540</v>
      </c>
      <c r="AX373" s="667">
        <f t="shared" si="499"/>
        <v>12193</v>
      </c>
      <c r="AY373" s="667">
        <v>51727</v>
      </c>
      <c r="AZ373" s="667">
        <v>12089</v>
      </c>
      <c r="BA373" s="667">
        <v>13728</v>
      </c>
      <c r="BB373" s="667">
        <v>12934</v>
      </c>
      <c r="BC373" s="667">
        <v>11231</v>
      </c>
      <c r="BD373" s="667">
        <v>49982</v>
      </c>
      <c r="BE373" s="667">
        <v>11608</v>
      </c>
      <c r="BF373" s="667">
        <v>12900</v>
      </c>
      <c r="BG373" s="667">
        <v>11777.885797621366</v>
      </c>
      <c r="BH373" s="667">
        <v>10240.829237167203</v>
      </c>
      <c r="BI373" s="667">
        <v>46526.715034788562</v>
      </c>
      <c r="BJ373" s="667">
        <v>9451.2678098950128</v>
      </c>
      <c r="BK373" s="667">
        <v>10097.402147283903</v>
      </c>
      <c r="BL373" s="667">
        <v>8379.9448388054097</v>
      </c>
      <c r="BM373" s="667">
        <v>7351.8468130726887</v>
      </c>
      <c r="BN373" s="667">
        <v>35280.461609057013</v>
      </c>
      <c r="BO373" s="667">
        <v>8152.6811181031926</v>
      </c>
      <c r="BP373" s="667">
        <v>9040.2754491591622</v>
      </c>
      <c r="BQ373" s="667">
        <v>8691.7810427593886</v>
      </c>
      <c r="BR373" s="667">
        <v>7631.9780305677614</v>
      </c>
      <c r="BS373" s="667">
        <v>33516.715640589508</v>
      </c>
      <c r="BT373" s="667">
        <v>8442.7200608004005</v>
      </c>
      <c r="BU373" s="667">
        <v>9353.8669914753027</v>
      </c>
      <c r="BV373" s="667">
        <v>8995.8489458858694</v>
      </c>
      <c r="BW373" s="667">
        <v>7905.3781232131578</v>
      </c>
      <c r="BX373" s="667">
        <v>34697.814121374729</v>
      </c>
    </row>
    <row r="374" spans="5:76" hidden="1" x14ac:dyDescent="0.2">
      <c r="Q374" s="34"/>
      <c r="AF374"/>
      <c r="AG374"/>
      <c r="AH374"/>
      <c r="AI374"/>
      <c r="AJ374"/>
      <c r="AK374"/>
      <c r="AL374"/>
      <c r="AM374"/>
      <c r="AN374"/>
      <c r="AO374"/>
      <c r="AP374"/>
      <c r="AQ374"/>
      <c r="AR374"/>
      <c r="AS374"/>
      <c r="AT374" s="667">
        <f t="shared" ca="1" si="499"/>
        <v>-1471</v>
      </c>
      <c r="AU374" s="667">
        <f t="shared" si="499"/>
        <v>-1268</v>
      </c>
      <c r="AV374" s="667">
        <f t="shared" si="499"/>
        <v>-1576</v>
      </c>
      <c r="AW374" s="667">
        <f t="shared" si="499"/>
        <v>-1564</v>
      </c>
      <c r="AX374" s="667">
        <f t="shared" si="499"/>
        <v>-1321</v>
      </c>
      <c r="AY374" s="168">
        <v>-5729</v>
      </c>
      <c r="AZ374" s="168">
        <v>-1378</v>
      </c>
      <c r="BA374" s="168">
        <v>-1572</v>
      </c>
      <c r="BB374" s="168">
        <v>-1507</v>
      </c>
      <c r="BC374" s="168">
        <v>-1231</v>
      </c>
      <c r="BD374" s="168">
        <v>0</v>
      </c>
      <c r="BE374" s="168">
        <v>-1279</v>
      </c>
      <c r="BF374" s="168">
        <v>-1376</v>
      </c>
      <c r="BG374" s="168">
        <v>-1237.8364608918509</v>
      </c>
      <c r="BH374" s="168">
        <v>-978.07565682696793</v>
      </c>
      <c r="BI374" s="168">
        <v>-4870.912117718819</v>
      </c>
      <c r="BJ374" s="168">
        <v>-723.75195489047542</v>
      </c>
      <c r="BK374" s="168">
        <v>-681.02589759725743</v>
      </c>
      <c r="BL374" s="168">
        <v>-304.6425134680386</v>
      </c>
      <c r="BM374" s="168">
        <v>-118.89023083763358</v>
      </c>
      <c r="BN374" s="168">
        <v>-1828.3105967934052</v>
      </c>
      <c r="BO374" s="168">
        <v>-137.55150333470664</v>
      </c>
      <c r="BP374" s="168">
        <v>-156.26239437205828</v>
      </c>
      <c r="BQ374" s="168">
        <v>-160.02085268218562</v>
      </c>
      <c r="BR374" s="168">
        <v>-123.45225752138509</v>
      </c>
      <c r="BS374" s="168">
        <v>-577.28700791033566</v>
      </c>
      <c r="BT374" s="168">
        <v>-142.57055703393124</v>
      </c>
      <c r="BU374" s="168">
        <v>-161.80620221850378</v>
      </c>
      <c r="BV374" s="168">
        <v>-165.88483440335449</v>
      </c>
      <c r="BW374" s="168">
        <v>-128.12721596941216</v>
      </c>
      <c r="BX374" s="168">
        <v>-598.3888096252017</v>
      </c>
    </row>
    <row r="375" spans="5:76" hidden="1" x14ac:dyDescent="0.2">
      <c r="E375" s="34" t="s">
        <v>95</v>
      </c>
      <c r="M375" s="21">
        <v>125</v>
      </c>
      <c r="N375" s="21">
        <v>125</v>
      </c>
      <c r="O375" s="34">
        <f>SUM(I375:N375)</f>
        <v>250</v>
      </c>
      <c r="AF375"/>
      <c r="AG375"/>
      <c r="AH375"/>
      <c r="AI375"/>
      <c r="AJ375"/>
      <c r="AK375"/>
      <c r="AL375"/>
      <c r="AM375"/>
      <c r="AN375"/>
      <c r="AO375"/>
      <c r="AP375"/>
      <c r="AQ375"/>
      <c r="AR375"/>
      <c r="AS375"/>
      <c r="AT375" s="667">
        <f t="shared" ref="AT375:AW375" ca="1" si="500">+AT374+AT373</f>
        <v>46854</v>
      </c>
      <c r="AU375" s="667">
        <f t="shared" si="500"/>
        <v>10576</v>
      </c>
      <c r="AV375" s="667">
        <f t="shared" si="500"/>
        <v>12574</v>
      </c>
      <c r="AW375" s="667">
        <f t="shared" si="500"/>
        <v>11976</v>
      </c>
      <c r="AX375" s="667">
        <f>+AX374+AX373</f>
        <v>10872</v>
      </c>
      <c r="AY375" s="168">
        <v>45998</v>
      </c>
      <c r="AZ375" s="168">
        <v>10711</v>
      </c>
      <c r="BA375" s="168">
        <v>12156</v>
      </c>
      <c r="BB375" s="168">
        <v>11427</v>
      </c>
      <c r="BC375" s="168">
        <v>10000</v>
      </c>
      <c r="BD375" s="168">
        <v>44294</v>
      </c>
      <c r="BE375" s="168">
        <v>10329</v>
      </c>
      <c r="BF375" s="168">
        <v>11524</v>
      </c>
      <c r="BG375" s="168">
        <v>10540.049336729515</v>
      </c>
      <c r="BH375" s="168">
        <v>9262.7535803402352</v>
      </c>
      <c r="BI375" s="168">
        <v>41655.802917069741</v>
      </c>
      <c r="BJ375" s="168">
        <v>8727.515855004538</v>
      </c>
      <c r="BK375" s="168">
        <v>9416.3762496866457</v>
      </c>
      <c r="BL375" s="168">
        <v>8075.3023253373713</v>
      </c>
      <c r="BM375" s="168">
        <v>7232.9565822350551</v>
      </c>
      <c r="BN375" s="168">
        <v>33452.15101226361</v>
      </c>
      <c r="BO375" s="168">
        <v>8015.1296147684861</v>
      </c>
      <c r="BP375" s="168">
        <v>8884.0130547871031</v>
      </c>
      <c r="BQ375" s="168">
        <v>8531.7601900772024</v>
      </c>
      <c r="BR375" s="168">
        <v>7508.5257730463763</v>
      </c>
      <c r="BS375" s="168">
        <v>32939.42863267917</v>
      </c>
      <c r="BT375" s="168">
        <v>8300.1495037664699</v>
      </c>
      <c r="BU375" s="168">
        <v>9192.0607892567987</v>
      </c>
      <c r="BV375" s="168">
        <v>8829.9641114825154</v>
      </c>
      <c r="BW375" s="168">
        <v>7777.250907243746</v>
      </c>
      <c r="BX375" s="168">
        <v>34099.425311749525</v>
      </c>
    </row>
    <row r="376" spans="5:76" hidden="1" x14ac:dyDescent="0.2">
      <c r="E376" s="21" t="s">
        <v>92</v>
      </c>
      <c r="F376" s="34"/>
      <c r="G376" s="34"/>
      <c r="H376" s="34"/>
      <c r="I376" s="34"/>
      <c r="J376" s="34"/>
      <c r="K376" s="34"/>
      <c r="L376" s="34"/>
      <c r="M376" s="151">
        <f>(M364-M375)/L364-1</f>
        <v>-3.1216743526073065E-2</v>
      </c>
      <c r="N376" s="151">
        <f>(N364-N375)/M364-1</f>
        <v>-7.1078431372548989E-2</v>
      </c>
      <c r="O376" s="34"/>
      <c r="P376" s="34"/>
      <c r="AF376"/>
      <c r="AG376"/>
      <c r="AH376"/>
      <c r="AI376"/>
      <c r="AJ376"/>
      <c r="AK376"/>
      <c r="AL376"/>
      <c r="AM376"/>
      <c r="AN376"/>
      <c r="AO376"/>
      <c r="AP376"/>
      <c r="AQ376"/>
      <c r="AR376"/>
      <c r="AS376"/>
      <c r="AT376"/>
      <c r="AU376"/>
      <c r="AV376"/>
      <c r="AW376"/>
      <c r="AX376"/>
      <c r="AY376"/>
    </row>
    <row r="377" spans="5:76" s="195" customFormat="1" hidden="1" x14ac:dyDescent="0.2">
      <c r="E377" s="195" t="s">
        <v>98</v>
      </c>
      <c r="AF377"/>
      <c r="AG377"/>
      <c r="AH377"/>
      <c r="AI377"/>
      <c r="AJ377"/>
      <c r="AK377"/>
      <c r="AL377"/>
      <c r="AM377"/>
      <c r="AN377"/>
      <c r="AO377"/>
      <c r="AP377"/>
      <c r="AQ377"/>
      <c r="AR377"/>
      <c r="AS377"/>
      <c r="AT377" s="168">
        <f t="shared" ref="AT377:AW377" si="501">+AT160+AT161</f>
        <v>4005</v>
      </c>
      <c r="AU377" s="168">
        <f t="shared" si="501"/>
        <v>1022</v>
      </c>
      <c r="AV377" s="168">
        <f t="shared" si="501"/>
        <v>1182</v>
      </c>
      <c r="AW377" s="168">
        <f t="shared" si="501"/>
        <v>1020</v>
      </c>
      <c r="AX377" s="168">
        <f>+AX160+AX161</f>
        <v>849</v>
      </c>
      <c r="AY377" s="168">
        <v>4073</v>
      </c>
      <c r="AZ377" s="168">
        <v>996</v>
      </c>
      <c r="BA377" s="168">
        <v>1114</v>
      </c>
      <c r="BB377" s="168">
        <v>929</v>
      </c>
      <c r="BC377" s="168">
        <v>827</v>
      </c>
      <c r="BD377" s="168">
        <v>3866</v>
      </c>
      <c r="BE377" s="168">
        <v>930</v>
      </c>
      <c r="BF377" s="168">
        <v>1057</v>
      </c>
      <c r="BG377" s="168">
        <v>921.94272454276802</v>
      </c>
      <c r="BH377" s="168">
        <v>813.57107336899594</v>
      </c>
      <c r="BI377" s="168">
        <v>3722.513797911764</v>
      </c>
      <c r="BJ377" s="168">
        <v>971.67133784577709</v>
      </c>
      <c r="BK377" s="168">
        <v>1093.0167912865491</v>
      </c>
      <c r="BL377" s="168">
        <v>954.1241274871935</v>
      </c>
      <c r="BM377" s="168">
        <v>842.66919368268748</v>
      </c>
      <c r="BN377" s="168">
        <v>3861.4814503022071</v>
      </c>
      <c r="BO377" s="168">
        <v>999.69224637344939</v>
      </c>
      <c r="BP377" s="168">
        <v>1123.9117846183474</v>
      </c>
      <c r="BQ377" s="168">
        <v>980.71238261410576</v>
      </c>
      <c r="BR377" s="168">
        <v>867.16311973273116</v>
      </c>
      <c r="BS377" s="168">
        <v>3971.4795333386337</v>
      </c>
      <c r="BT377" s="168">
        <v>1032.3550093256511</v>
      </c>
      <c r="BU377" s="168">
        <v>1160.0939520876575</v>
      </c>
      <c r="BV377" s="168">
        <v>1011.9694261490639</v>
      </c>
      <c r="BW377" s="168">
        <v>895.68155623807831</v>
      </c>
      <c r="BX377" s="168">
        <v>4100.099943800451</v>
      </c>
    </row>
    <row r="378" spans="5:76" hidden="1" x14ac:dyDescent="0.2">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row>
    <row r="379" spans="5:76" hidden="1" x14ac:dyDescent="0.2">
      <c r="E379" s="34" t="s">
        <v>96</v>
      </c>
      <c r="R379" s="34"/>
      <c r="AF379"/>
      <c r="AG379"/>
      <c r="AH379"/>
      <c r="AI379"/>
      <c r="AJ379"/>
      <c r="AK379"/>
      <c r="AL379"/>
      <c r="AM379"/>
      <c r="AN379"/>
      <c r="AO379"/>
      <c r="AP379"/>
      <c r="AQ379"/>
      <c r="AR379"/>
      <c r="AS379"/>
      <c r="AT379" s="168">
        <f t="shared" ref="AT379:AW379" si="502">+AT169</f>
        <v>11260</v>
      </c>
      <c r="AU379" s="168">
        <f t="shared" si="502"/>
        <v>2459</v>
      </c>
      <c r="AV379" s="168">
        <f t="shared" si="502"/>
        <v>3326</v>
      </c>
      <c r="AW379" s="168">
        <f t="shared" si="502"/>
        <v>2840</v>
      </c>
      <c r="AX379" s="168">
        <f>+AX169</f>
        <v>2329</v>
      </c>
      <c r="AY379" s="168">
        <v>10954</v>
      </c>
      <c r="AZ379" s="168">
        <v>2508</v>
      </c>
      <c r="BA379" s="168">
        <v>3154</v>
      </c>
      <c r="BB379" s="168">
        <v>2705</v>
      </c>
      <c r="BC379" s="168">
        <v>2006</v>
      </c>
      <c r="BD379" s="168">
        <v>10373</v>
      </c>
      <c r="BE379" s="168">
        <v>2447</v>
      </c>
      <c r="BF379" s="168">
        <v>3050</v>
      </c>
      <c r="BG379" s="168">
        <v>2459.505947513861</v>
      </c>
      <c r="BH379" s="168">
        <v>1942.4326606893819</v>
      </c>
      <c r="BI379" s="168">
        <v>9898.9386082032433</v>
      </c>
      <c r="BJ379" s="168">
        <v>2554.4014917064874</v>
      </c>
      <c r="BK379" s="168">
        <v>3047.5821040791452</v>
      </c>
      <c r="BL379" s="168">
        <v>2513.7554105188565</v>
      </c>
      <c r="BM379" s="168">
        <v>2090.6876358901668</v>
      </c>
      <c r="BN379" s="168">
        <v>10206.426642194656</v>
      </c>
      <c r="BO379" s="168">
        <v>2692.5349865424105</v>
      </c>
      <c r="BP379" s="168">
        <v>3163.6839786662863</v>
      </c>
      <c r="BQ379" s="168">
        <v>2652.3406360596414</v>
      </c>
      <c r="BR379" s="168">
        <v>2216.8378756175898</v>
      </c>
      <c r="BS379" s="168">
        <v>10725.397476885928</v>
      </c>
      <c r="BT379" s="168">
        <v>2806.5602601252394</v>
      </c>
      <c r="BU379" s="168">
        <v>3291.7291044750791</v>
      </c>
      <c r="BV379" s="168">
        <v>2765.0357657141417</v>
      </c>
      <c r="BW379" s="168">
        <v>2315.9124797390073</v>
      </c>
      <c r="BX379" s="168">
        <v>11179.237610053468</v>
      </c>
    </row>
    <row r="380" spans="5:76" hidden="1" x14ac:dyDescent="0.2">
      <c r="E380" s="21" t="s">
        <v>91</v>
      </c>
      <c r="J380" s="21">
        <v>50</v>
      </c>
      <c r="K380" s="21">
        <v>50</v>
      </c>
      <c r="L380" s="21">
        <v>50</v>
      </c>
      <c r="M380" s="34"/>
      <c r="N380" s="34"/>
      <c r="O380" s="34">
        <f>SUM(I380:N380)</f>
        <v>150</v>
      </c>
      <c r="P380" s="34"/>
      <c r="Q380" s="34"/>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row>
    <row r="381" spans="5:76" s="195" customFormat="1" hidden="1" x14ac:dyDescent="0.2">
      <c r="E381" s="195" t="s">
        <v>98</v>
      </c>
      <c r="J381" s="196">
        <f>(J364-J380)/I364-1</f>
        <v>5.2631578947368363E-2</v>
      </c>
      <c r="K381" s="196">
        <f>(K364-K380-K367)/J364-1</f>
        <v>-1.5028901734104094E-2</v>
      </c>
      <c r="L381" s="196">
        <f>(L364-L380-L372-L367)/K364-1</f>
        <v>-0.34544524053224157</v>
      </c>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row>
    <row r="382" spans="5:76" hidden="1" x14ac:dyDescent="0.2">
      <c r="E382" s="34"/>
      <c r="F382" s="34"/>
      <c r="G382" s="34"/>
      <c r="H382" s="34"/>
      <c r="I382" s="34"/>
      <c r="J382" s="34"/>
      <c r="K382" s="34"/>
      <c r="L382" s="34"/>
      <c r="M382" s="34"/>
      <c r="N382" s="34"/>
      <c r="O382" s="34"/>
      <c r="P382" s="34"/>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row>
    <row r="383" spans="5:76" hidden="1" x14ac:dyDescent="0.2">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row>
    <row r="384" spans="5:76" hidden="1" x14ac:dyDescent="0.2">
      <c r="AF384"/>
      <c r="AG384"/>
      <c r="AH384"/>
      <c r="AI384"/>
      <c r="AJ384"/>
      <c r="AK384"/>
      <c r="AL384"/>
      <c r="AM384"/>
      <c r="AN384"/>
      <c r="AO384"/>
      <c r="AP384"/>
      <c r="AQ384"/>
      <c r="AR384"/>
      <c r="AS384"/>
      <c r="AT384"/>
      <c r="AU384"/>
      <c r="AV384"/>
      <c r="AW384"/>
      <c r="AX384"/>
      <c r="AY384"/>
      <c r="AZ384"/>
      <c r="BA384"/>
      <c r="BB384"/>
      <c r="BC384"/>
      <c r="BD384"/>
      <c r="BE384"/>
      <c r="BF384"/>
      <c r="BG384"/>
      <c r="BH384"/>
      <c r="BI384" s="828" t="s">
        <v>356</v>
      </c>
      <c r="BJ384" s="828" t="s">
        <v>393</v>
      </c>
      <c r="BK384"/>
      <c r="BL384"/>
      <c r="BM384"/>
      <c r="BN384" s="827"/>
    </row>
    <row r="385" spans="31:65" hidden="1" x14ac:dyDescent="0.2">
      <c r="AE385"/>
      <c r="AF385"/>
      <c r="AG385"/>
      <c r="AH385"/>
      <c r="AI385"/>
      <c r="AJ385"/>
      <c r="AK385"/>
      <c r="AL385"/>
      <c r="AM385"/>
      <c r="AN385"/>
      <c r="AO385"/>
      <c r="AP385"/>
      <c r="AQ385"/>
      <c r="AR385"/>
      <c r="AS385"/>
      <c r="AT385"/>
      <c r="AU385"/>
      <c r="AV385"/>
      <c r="AW385"/>
      <c r="AX385"/>
      <c r="AY385"/>
      <c r="AZ385"/>
      <c r="BA385"/>
      <c r="BB385"/>
      <c r="BC385"/>
      <c r="BD385"/>
      <c r="BE385"/>
      <c r="BF385"/>
      <c r="BG385" s="827" t="s">
        <v>392</v>
      </c>
      <c r="BH385"/>
      <c r="BI385"/>
      <c r="BJ385"/>
      <c r="BK385"/>
      <c r="BL385"/>
      <c r="BM385"/>
    </row>
    <row r="386" spans="31:65" hidden="1" x14ac:dyDescent="0.2">
      <c r="AF386"/>
      <c r="AG386"/>
      <c r="AH386"/>
      <c r="AI386"/>
      <c r="AJ386"/>
      <c r="AK386"/>
      <c r="AL386"/>
      <c r="AM386"/>
      <c r="AN386"/>
      <c r="AO386"/>
      <c r="AP386"/>
      <c r="AQ386"/>
      <c r="AR386"/>
      <c r="AS386"/>
      <c r="AT386"/>
      <c r="AU386"/>
      <c r="AV386"/>
      <c r="AW386"/>
      <c r="AX386"/>
      <c r="AY386"/>
      <c r="AZ386"/>
      <c r="BA386"/>
      <c r="BB386"/>
      <c r="BC386"/>
      <c r="BD386"/>
      <c r="BE386"/>
      <c r="BF386"/>
      <c r="BG386" s="19" t="s">
        <v>394</v>
      </c>
      <c r="BH386" s="19"/>
      <c r="BI386" s="164">
        <f>BI8+BI10</f>
        <v>0.04</v>
      </c>
      <c r="BJ386" s="164">
        <f>BN8+BN10</f>
        <v>0.03</v>
      </c>
      <c r="BK386"/>
      <c r="BL386"/>
      <c r="BM386"/>
    </row>
    <row r="387" spans="31:65" hidden="1" x14ac:dyDescent="0.2">
      <c r="AF387"/>
      <c r="AG387"/>
      <c r="AH387"/>
      <c r="AI387"/>
      <c r="AJ387"/>
      <c r="AK387"/>
      <c r="AL387"/>
      <c r="AM387"/>
      <c r="AN387"/>
      <c r="AO387"/>
      <c r="AP387"/>
      <c r="AQ387"/>
      <c r="AR387"/>
      <c r="AS387"/>
      <c r="AT387"/>
      <c r="AU387"/>
      <c r="AV387"/>
      <c r="AW387"/>
      <c r="AX387"/>
      <c r="AY387"/>
      <c r="AZ387"/>
      <c r="BA387"/>
      <c r="BB387"/>
      <c r="BC387"/>
      <c r="BD387"/>
      <c r="BE387"/>
      <c r="BF387"/>
      <c r="BG387" s="827" t="s">
        <v>395</v>
      </c>
      <c r="BH387"/>
      <c r="BI387" s="162">
        <f>BI21+BI23</f>
        <v>0.03</v>
      </c>
      <c r="BJ387" s="162">
        <f>BN21+BN23</f>
        <v>0.04</v>
      </c>
      <c r="BK387"/>
      <c r="BL387"/>
      <c r="BM387"/>
    </row>
    <row r="388" spans="31:65" hidden="1" x14ac:dyDescent="0.2">
      <c r="AF388"/>
      <c r="AG388"/>
      <c r="AH388"/>
      <c r="AI388"/>
      <c r="AJ388"/>
      <c r="AK388"/>
      <c r="AL388"/>
      <c r="AM388"/>
      <c r="AN388"/>
      <c r="AO388"/>
      <c r="AP388"/>
      <c r="AQ388"/>
      <c r="AR388"/>
      <c r="AS388"/>
      <c r="AT388"/>
      <c r="AU388"/>
      <c r="AV388"/>
      <c r="AW388"/>
      <c r="AX388"/>
      <c r="AY388"/>
      <c r="AZ388"/>
      <c r="BA388"/>
      <c r="BB388"/>
      <c r="BC388"/>
      <c r="BD388"/>
      <c r="BE388"/>
      <c r="BF388"/>
      <c r="BG388" s="827" t="s">
        <v>396</v>
      </c>
      <c r="BH388"/>
      <c r="BI388" s="162">
        <f>BI75+BI77</f>
        <v>0.12000000000000001</v>
      </c>
      <c r="BJ388" s="162">
        <f>BN75+BN77</f>
        <v>0.06</v>
      </c>
      <c r="BK388"/>
      <c r="BL388"/>
      <c r="BM388"/>
    </row>
    <row r="389" spans="31:65" hidden="1" x14ac:dyDescent="0.2">
      <c r="AF389"/>
      <c r="AG389"/>
      <c r="AH389"/>
      <c r="AI389"/>
      <c r="AJ389"/>
      <c r="AK389"/>
      <c r="AL389"/>
      <c r="AM389"/>
      <c r="AN389"/>
      <c r="AO389"/>
      <c r="AP389"/>
      <c r="AQ389"/>
      <c r="AR389"/>
      <c r="AS389"/>
      <c r="AT389"/>
      <c r="AU389"/>
      <c r="AV389"/>
      <c r="AW389"/>
      <c r="AX389"/>
      <c r="AY389"/>
      <c r="AZ389"/>
      <c r="BA389"/>
      <c r="BB389"/>
      <c r="BC389"/>
      <c r="BD389"/>
      <c r="BE389"/>
      <c r="BF389"/>
      <c r="BG389" s="827" t="s">
        <v>161</v>
      </c>
      <c r="BH389"/>
      <c r="BI389" s="162">
        <f>BI97+BI99</f>
        <v>0.04</v>
      </c>
      <c r="BJ389" s="162">
        <f>BN97+BN99</f>
        <v>0.03</v>
      </c>
      <c r="BK389"/>
      <c r="BL389"/>
      <c r="BM389"/>
    </row>
    <row r="390" spans="31:65" hidden="1" x14ac:dyDescent="0.2">
      <c r="AF390"/>
      <c r="AG390"/>
      <c r="AH390"/>
      <c r="AI390"/>
      <c r="AJ390"/>
      <c r="AK390"/>
      <c r="AL390"/>
      <c r="AM390"/>
      <c r="AN390"/>
      <c r="AO390"/>
      <c r="AP390"/>
      <c r="AQ390"/>
      <c r="AR390"/>
      <c r="AS390"/>
      <c r="AT390"/>
      <c r="AU390"/>
      <c r="AV390"/>
      <c r="AW390"/>
      <c r="AX390"/>
      <c r="AY390"/>
      <c r="AZ390"/>
      <c r="BA390"/>
      <c r="BB390"/>
      <c r="BC390"/>
      <c r="BD390"/>
      <c r="BE390"/>
      <c r="BF390"/>
      <c r="BG390" s="827" t="s">
        <v>397</v>
      </c>
      <c r="BH390"/>
      <c r="BI390" s="162">
        <f>BI108+BI110</f>
        <v>0</v>
      </c>
      <c r="BJ390" s="162">
        <f>BN108+BN110</f>
        <v>0</v>
      </c>
      <c r="BK390"/>
      <c r="BL390"/>
      <c r="BM390"/>
    </row>
    <row r="391" spans="31:65" hidden="1" x14ac:dyDescent="0.2">
      <c r="AF391"/>
      <c r="AG391"/>
      <c r="AH391"/>
      <c r="AI391"/>
      <c r="AJ391"/>
      <c r="AK391"/>
      <c r="AL391"/>
      <c r="AM391"/>
      <c r="AN391"/>
      <c r="AO391"/>
      <c r="AP391"/>
      <c r="AQ391"/>
      <c r="AR391"/>
      <c r="AS391"/>
      <c r="AT391"/>
      <c r="AU391"/>
      <c r="AV391"/>
      <c r="AW391"/>
      <c r="AX391"/>
      <c r="AY391"/>
      <c r="AZ391"/>
      <c r="BA391"/>
      <c r="BB391"/>
      <c r="BC391"/>
      <c r="BD391"/>
      <c r="BE391"/>
      <c r="BF391"/>
      <c r="BG391" s="827" t="s">
        <v>90</v>
      </c>
      <c r="BH391"/>
      <c r="BI391" s="162">
        <f>BI130+BI131</f>
        <v>0.01</v>
      </c>
      <c r="BJ391" s="162">
        <f>BN130+BN131</f>
        <v>1.0000000000000002E-2</v>
      </c>
      <c r="BK391"/>
      <c r="BL391"/>
      <c r="BM391"/>
    </row>
    <row r="392" spans="31:65" hidden="1" x14ac:dyDescent="0.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row>
    <row r="393" spans="31:65" hidden="1" x14ac:dyDescent="0.2">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row>
    <row r="394" spans="31:65" hidden="1" x14ac:dyDescent="0.2">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row>
    <row r="395" spans="31:65" hidden="1" x14ac:dyDescent="0.2">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row>
    <row r="396" spans="31:65" hidden="1" x14ac:dyDescent="0.2">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row>
    <row r="397" spans="31:65" x14ac:dyDescent="0.2">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row>
  </sheetData>
  <phoneticPr fontId="3" type="noConversion"/>
  <pageMargins left="0.3" right="0.17" top="0.31" bottom="0.24" header="0.32" footer="0.24"/>
  <pageSetup scale="84" orientation="landscape" r:id="rId1"/>
  <headerFooter alignWithMargins="0"/>
  <rowBreaks count="2" manualBreakCount="2">
    <brk id="171" max="45" man="1"/>
    <brk id="237" max="40" man="1"/>
  </rowBreaks>
  <ignoredErrors>
    <ignoredError sqref="V4:Y4 Q4:T4 L4:O4 AJ123 AE113 AT68 Q6:T7 V6:Y7 L6:O7 AT113 AL4:AO4 AE199 BJ31:BL31 BO31:BQ34 AJ168 AE168 BI168 AO67:AO68 AT104:AT106 AO70:AO73 BY31:CA34 AE91 AO80 AO113 AY123 AJ82:AJ84 AJ104:AJ106 BE135:CC135 BS113 AQ4 O36 AZ29 AD62 AJ4:AJ7 AE4:AE6 Z4:Z7 U4:U7 F4:K7 P4:P7 AJ80 AJ59:AJ61 AE104:AE107 AE82:AE85 AO91 AE115:AE118 AT123 AK79 AT5:AT7 AO82:AO84 AO5 AP6 AU112 AJ136 BT31:BV34 AK6:AO7 AK38:AN57 CB107:CC108 AO28:AO30 BA70:BG70 AX29 BJ74:BN74 AY113 AT82:AT85 AE80 BK121:CC121 AT37:AT57 AT80 BA74:BI74 AZ118:CC118 BA31:BE31 CB31:CC32 BM31:BN31 BW31:BX32 BR31:BS32 BJ62:CC62 BT113:CC113 BD113 BM107:BN107 BP113:BR113 BN113 AJ12 AJ91 AJ28:AJ30 AP118:AQ118 AO36:AO57 AF15:AI15 AK70:AN70 AJ37:AJ57 AT28:AT30 BA62:BI62 AU90 AP135:AS135 BO89:CC89 AK118:AM118 BR107:BS107 BW107:BX108 AS118 BJ85:CC86 BC107:BI107 G212:AI212 AJ107:AM107 AP38:AS57 AJ85:AM85 AJ31:AQ31 AO104:AO106 AO59:AO61 AO115:AO118 BT107:BV110 BJ107:BL107 BP107:BQ107 BY107:CA110 AP70:AS70 AP36 AO136 AT59:AT61 AO123 AT136 AJ62:AT62 AO85:AR85 AK74:AS74 AT91 AR29 AS31:AT31 AU29:AV29 AV118:AX118 AO107:AX107 AY28:AY29 AV74:AW74 AV85:AW85 AT115:AT118 AQ5:AR7 AT70:AT74 AU70:AY70 AY6 BD104:BD105 AZ107:BA107 AY115:AY118 AY59:AY62 AY104:AY107 AY68 AY80 AU38:BD57 AY37 AY91 AZ85:BI85 CB69:CC69 AY71:AY74 AY82:AY85 BF79 BD6 BD68 BD60 BD37 BD61 BD73 BD80 BD82:CC84 BD91:CC91 BD115:CC117 BD136 BH60:CC60 BD30 BJ36:CC36 BJ90:BM90 BJ122:BM122 BO90:BR90 BE120:BG120 BD59 BO58:BR58 BT58:CC58 BT90:CC90 BO122:BR122 BT122:CC122 BD123:BS123 AE160:AE163 AJ160:AJ163 BI165 AE165:AE166 AJ165:AJ166 AE191:AE194 AE196:AE197 BE42:CC47 BI61 BL61:CC61 BE52:CC57 BY48:CC51 BD106 BN106 BU123:CC123 BO63:CC63 BT75:CC75 BI162 BD28:BD29 BJ29:CC29 BJ30:CC30 BG59:CC59 BG68:CC68 BD71:BD72 BI72 BI73 BI105 BI106 BI113 BI136 BI161 BN161 BS161 BX161 BN165 BS165 BX165 BN160 BS160 BX160 BN162 BS162 BX162 BP192:BR192 BT192:BW192 BP196:BR196 BT196:BW196 BP199:BR199 BP191:BR191 BP193:BR193 BT199:BW199 BT191:BW191 BT193:BW193 BY199:CB199 BM15:BX15 BI104 BD7 AY31 BG31 BJ28:CC28 BJ37:CC37 BI80 BI70:CC70 BI71 BP80:CC80 BS73 BV73:CC73 BI6 BN73 BN72 BN105 BN71 BN104 BN136 BN168 BT79:CC79 BN127:BN128 BI190 BP72:CC72 BP105:CC105 BP71:CC71 BP74:CC74 BP104:CC104 BP106:CC106 BP136:CC136 BP168:BX168" formula="1"/>
    <ignoredError sqref="U116 V173:V178 U105 M173:M178 AE70 AC173:AC178 AI173:AI178 AD173:AD178 AK14:AN15 AK173:AK178 AO14 AG90:AH90 AJ66:AJ67 U60:U72 AK112 AN173:AN178 AL173:AL178 AF79 AF173:AF178 AF112 AG173:AG178 AF90 AH173:AH178 AM173:AM178 AP173:AP178 BI126" formulaRange="1"/>
    <ignoredError sqref="AE28 AE136 AE73 AO15 AE59:AE60 AE36 AJ117 AE74 AN118 AE62 AE68 AE71:AE72 AE38:AE57 AE29 AE61 AE30 AE65 AE123 AN107 AJ70:AJ72 AJ68 AJ74:AJ75 AJ73 AJ113 AJ118 AJ115:AJ116 AN85 BI127:BI128" formula="1" formulaRange="1"/>
  </ignoredError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x14ac:dyDescent="0.2"/>
  <cols>
    <col min="1" max="1" width="29.5703125" style="840" bestFit="1" customWidth="1"/>
    <col min="2" max="2" width="19.85546875" style="871" customWidth="1"/>
    <col min="3" max="3" width="12" style="840" bestFit="1" customWidth="1"/>
    <col min="4" max="256" width="9.140625" style="840"/>
    <col min="257" max="257" width="29.5703125" style="840" bestFit="1" customWidth="1"/>
    <col min="258" max="258" width="19.85546875" style="840" customWidth="1"/>
    <col min="259" max="259" width="12" style="840" bestFit="1" customWidth="1"/>
    <col min="260" max="512" width="9.140625" style="840"/>
    <col min="513" max="513" width="29.5703125" style="840" bestFit="1" customWidth="1"/>
    <col min="514" max="514" width="19.85546875" style="840" customWidth="1"/>
    <col min="515" max="515" width="12" style="840" bestFit="1" customWidth="1"/>
    <col min="516" max="768" width="9.140625" style="840"/>
    <col min="769" max="769" width="29.5703125" style="840" bestFit="1" customWidth="1"/>
    <col min="770" max="770" width="19.85546875" style="840" customWidth="1"/>
    <col min="771" max="771" width="12" style="840" bestFit="1" customWidth="1"/>
    <col min="772" max="1024" width="9.140625" style="840"/>
    <col min="1025" max="1025" width="29.5703125" style="840" bestFit="1" customWidth="1"/>
    <col min="1026" max="1026" width="19.85546875" style="840" customWidth="1"/>
    <col min="1027" max="1027" width="12" style="840" bestFit="1" customWidth="1"/>
    <col min="1028" max="1280" width="9.140625" style="840"/>
    <col min="1281" max="1281" width="29.5703125" style="840" bestFit="1" customWidth="1"/>
    <col min="1282" max="1282" width="19.85546875" style="840" customWidth="1"/>
    <col min="1283" max="1283" width="12" style="840" bestFit="1" customWidth="1"/>
    <col min="1284" max="1536" width="9.140625" style="840"/>
    <col min="1537" max="1537" width="29.5703125" style="840" bestFit="1" customWidth="1"/>
    <col min="1538" max="1538" width="19.85546875" style="840" customWidth="1"/>
    <col min="1539" max="1539" width="12" style="840" bestFit="1" customWidth="1"/>
    <col min="1540" max="1792" width="9.140625" style="840"/>
    <col min="1793" max="1793" width="29.5703125" style="840" bestFit="1" customWidth="1"/>
    <col min="1794" max="1794" width="19.85546875" style="840" customWidth="1"/>
    <col min="1795" max="1795" width="12" style="840" bestFit="1" customWidth="1"/>
    <col min="1796" max="2048" width="9.140625" style="840"/>
    <col min="2049" max="2049" width="29.5703125" style="840" bestFit="1" customWidth="1"/>
    <col min="2050" max="2050" width="19.85546875" style="840" customWidth="1"/>
    <col min="2051" max="2051" width="12" style="840" bestFit="1" customWidth="1"/>
    <col min="2052" max="2304" width="9.140625" style="840"/>
    <col min="2305" max="2305" width="29.5703125" style="840" bestFit="1" customWidth="1"/>
    <col min="2306" max="2306" width="19.85546875" style="840" customWidth="1"/>
    <col min="2307" max="2307" width="12" style="840" bestFit="1" customWidth="1"/>
    <col min="2308" max="2560" width="9.140625" style="840"/>
    <col min="2561" max="2561" width="29.5703125" style="840" bestFit="1" customWidth="1"/>
    <col min="2562" max="2562" width="19.85546875" style="840" customWidth="1"/>
    <col min="2563" max="2563" width="12" style="840" bestFit="1" customWidth="1"/>
    <col min="2564" max="2816" width="9.140625" style="840"/>
    <col min="2817" max="2817" width="29.5703125" style="840" bestFit="1" customWidth="1"/>
    <col min="2818" max="2818" width="19.85546875" style="840" customWidth="1"/>
    <col min="2819" max="2819" width="12" style="840" bestFit="1" customWidth="1"/>
    <col min="2820" max="3072" width="9.140625" style="840"/>
    <col min="3073" max="3073" width="29.5703125" style="840" bestFit="1" customWidth="1"/>
    <col min="3074" max="3074" width="19.85546875" style="840" customWidth="1"/>
    <col min="3075" max="3075" width="12" style="840" bestFit="1" customWidth="1"/>
    <col min="3076" max="3328" width="9.140625" style="840"/>
    <col min="3329" max="3329" width="29.5703125" style="840" bestFit="1" customWidth="1"/>
    <col min="3330" max="3330" width="19.85546875" style="840" customWidth="1"/>
    <col min="3331" max="3331" width="12" style="840" bestFit="1" customWidth="1"/>
    <col min="3332" max="3584" width="9.140625" style="840"/>
    <col min="3585" max="3585" width="29.5703125" style="840" bestFit="1" customWidth="1"/>
    <col min="3586" max="3586" width="19.85546875" style="840" customWidth="1"/>
    <col min="3587" max="3587" width="12" style="840" bestFit="1" customWidth="1"/>
    <col min="3588" max="3840" width="9.140625" style="840"/>
    <col min="3841" max="3841" width="29.5703125" style="840" bestFit="1" customWidth="1"/>
    <col min="3842" max="3842" width="19.85546875" style="840" customWidth="1"/>
    <col min="3843" max="3843" width="12" style="840" bestFit="1" customWidth="1"/>
    <col min="3844" max="4096" width="9.140625" style="840"/>
    <col min="4097" max="4097" width="29.5703125" style="840" bestFit="1" customWidth="1"/>
    <col min="4098" max="4098" width="19.85546875" style="840" customWidth="1"/>
    <col min="4099" max="4099" width="12" style="840" bestFit="1" customWidth="1"/>
    <col min="4100" max="4352" width="9.140625" style="840"/>
    <col min="4353" max="4353" width="29.5703125" style="840" bestFit="1" customWidth="1"/>
    <col min="4354" max="4354" width="19.85546875" style="840" customWidth="1"/>
    <col min="4355" max="4355" width="12" style="840" bestFit="1" customWidth="1"/>
    <col min="4356" max="4608" width="9.140625" style="840"/>
    <col min="4609" max="4609" width="29.5703125" style="840" bestFit="1" customWidth="1"/>
    <col min="4610" max="4610" width="19.85546875" style="840" customWidth="1"/>
    <col min="4611" max="4611" width="12" style="840" bestFit="1" customWidth="1"/>
    <col min="4612" max="4864" width="9.140625" style="840"/>
    <col min="4865" max="4865" width="29.5703125" style="840" bestFit="1" customWidth="1"/>
    <col min="4866" max="4866" width="19.85546875" style="840" customWidth="1"/>
    <col min="4867" max="4867" width="12" style="840" bestFit="1" customWidth="1"/>
    <col min="4868" max="5120" width="9.140625" style="840"/>
    <col min="5121" max="5121" width="29.5703125" style="840" bestFit="1" customWidth="1"/>
    <col min="5122" max="5122" width="19.85546875" style="840" customWidth="1"/>
    <col min="5123" max="5123" width="12" style="840" bestFit="1" customWidth="1"/>
    <col min="5124" max="5376" width="9.140625" style="840"/>
    <col min="5377" max="5377" width="29.5703125" style="840" bestFit="1" customWidth="1"/>
    <col min="5378" max="5378" width="19.85546875" style="840" customWidth="1"/>
    <col min="5379" max="5379" width="12" style="840" bestFit="1" customWidth="1"/>
    <col min="5380" max="5632" width="9.140625" style="840"/>
    <col min="5633" max="5633" width="29.5703125" style="840" bestFit="1" customWidth="1"/>
    <col min="5634" max="5634" width="19.85546875" style="840" customWidth="1"/>
    <col min="5635" max="5635" width="12" style="840" bestFit="1" customWidth="1"/>
    <col min="5636" max="5888" width="9.140625" style="840"/>
    <col min="5889" max="5889" width="29.5703125" style="840" bestFit="1" customWidth="1"/>
    <col min="5890" max="5890" width="19.85546875" style="840" customWidth="1"/>
    <col min="5891" max="5891" width="12" style="840" bestFit="1" customWidth="1"/>
    <col min="5892" max="6144" width="9.140625" style="840"/>
    <col min="6145" max="6145" width="29.5703125" style="840" bestFit="1" customWidth="1"/>
    <col min="6146" max="6146" width="19.85546875" style="840" customWidth="1"/>
    <col min="6147" max="6147" width="12" style="840" bestFit="1" customWidth="1"/>
    <col min="6148" max="6400" width="9.140625" style="840"/>
    <col min="6401" max="6401" width="29.5703125" style="840" bestFit="1" customWidth="1"/>
    <col min="6402" max="6402" width="19.85546875" style="840" customWidth="1"/>
    <col min="6403" max="6403" width="12" style="840" bestFit="1" customWidth="1"/>
    <col min="6404" max="6656" width="9.140625" style="840"/>
    <col min="6657" max="6657" width="29.5703125" style="840" bestFit="1" customWidth="1"/>
    <col min="6658" max="6658" width="19.85546875" style="840" customWidth="1"/>
    <col min="6659" max="6659" width="12" style="840" bestFit="1" customWidth="1"/>
    <col min="6660" max="6912" width="9.140625" style="840"/>
    <col min="6913" max="6913" width="29.5703125" style="840" bestFit="1" customWidth="1"/>
    <col min="6914" max="6914" width="19.85546875" style="840" customWidth="1"/>
    <col min="6915" max="6915" width="12" style="840" bestFit="1" customWidth="1"/>
    <col min="6916" max="7168" width="9.140625" style="840"/>
    <col min="7169" max="7169" width="29.5703125" style="840" bestFit="1" customWidth="1"/>
    <col min="7170" max="7170" width="19.85546875" style="840" customWidth="1"/>
    <col min="7171" max="7171" width="12" style="840" bestFit="1" customWidth="1"/>
    <col min="7172" max="7424" width="9.140625" style="840"/>
    <col min="7425" max="7425" width="29.5703125" style="840" bestFit="1" customWidth="1"/>
    <col min="7426" max="7426" width="19.85546875" style="840" customWidth="1"/>
    <col min="7427" max="7427" width="12" style="840" bestFit="1" customWidth="1"/>
    <col min="7428" max="7680" width="9.140625" style="840"/>
    <col min="7681" max="7681" width="29.5703125" style="840" bestFit="1" customWidth="1"/>
    <col min="7682" max="7682" width="19.85546875" style="840" customWidth="1"/>
    <col min="7683" max="7683" width="12" style="840" bestFit="1" customWidth="1"/>
    <col min="7684" max="7936" width="9.140625" style="840"/>
    <col min="7937" max="7937" width="29.5703125" style="840" bestFit="1" customWidth="1"/>
    <col min="7938" max="7938" width="19.85546875" style="840" customWidth="1"/>
    <col min="7939" max="7939" width="12" style="840" bestFit="1" customWidth="1"/>
    <col min="7940" max="8192" width="9.140625" style="840"/>
    <col min="8193" max="8193" width="29.5703125" style="840" bestFit="1" customWidth="1"/>
    <col min="8194" max="8194" width="19.85546875" style="840" customWidth="1"/>
    <col min="8195" max="8195" width="12" style="840" bestFit="1" customWidth="1"/>
    <col min="8196" max="8448" width="9.140625" style="840"/>
    <col min="8449" max="8449" width="29.5703125" style="840" bestFit="1" customWidth="1"/>
    <col min="8450" max="8450" width="19.85546875" style="840" customWidth="1"/>
    <col min="8451" max="8451" width="12" style="840" bestFit="1" customWidth="1"/>
    <col min="8452" max="8704" width="9.140625" style="840"/>
    <col min="8705" max="8705" width="29.5703125" style="840" bestFit="1" customWidth="1"/>
    <col min="8706" max="8706" width="19.85546875" style="840" customWidth="1"/>
    <col min="8707" max="8707" width="12" style="840" bestFit="1" customWidth="1"/>
    <col min="8708" max="8960" width="9.140625" style="840"/>
    <col min="8961" max="8961" width="29.5703125" style="840" bestFit="1" customWidth="1"/>
    <col min="8962" max="8962" width="19.85546875" style="840" customWidth="1"/>
    <col min="8963" max="8963" width="12" style="840" bestFit="1" customWidth="1"/>
    <col min="8964" max="9216" width="9.140625" style="840"/>
    <col min="9217" max="9217" width="29.5703125" style="840" bestFit="1" customWidth="1"/>
    <col min="9218" max="9218" width="19.85546875" style="840" customWidth="1"/>
    <col min="9219" max="9219" width="12" style="840" bestFit="1" customWidth="1"/>
    <col min="9220" max="9472" width="9.140625" style="840"/>
    <col min="9473" max="9473" width="29.5703125" style="840" bestFit="1" customWidth="1"/>
    <col min="9474" max="9474" width="19.85546875" style="840" customWidth="1"/>
    <col min="9475" max="9475" width="12" style="840" bestFit="1" customWidth="1"/>
    <col min="9476" max="9728" width="9.140625" style="840"/>
    <col min="9729" max="9729" width="29.5703125" style="840" bestFit="1" customWidth="1"/>
    <col min="9730" max="9730" width="19.85546875" style="840" customWidth="1"/>
    <col min="9731" max="9731" width="12" style="840" bestFit="1" customWidth="1"/>
    <col min="9732" max="9984" width="9.140625" style="840"/>
    <col min="9985" max="9985" width="29.5703125" style="840" bestFit="1" customWidth="1"/>
    <col min="9986" max="9986" width="19.85546875" style="840" customWidth="1"/>
    <col min="9987" max="9987" width="12" style="840" bestFit="1" customWidth="1"/>
    <col min="9988" max="10240" width="9.140625" style="840"/>
    <col min="10241" max="10241" width="29.5703125" style="840" bestFit="1" customWidth="1"/>
    <col min="10242" max="10242" width="19.85546875" style="840" customWidth="1"/>
    <col min="10243" max="10243" width="12" style="840" bestFit="1" customWidth="1"/>
    <col min="10244" max="10496" width="9.140625" style="840"/>
    <col min="10497" max="10497" width="29.5703125" style="840" bestFit="1" customWidth="1"/>
    <col min="10498" max="10498" width="19.85546875" style="840" customWidth="1"/>
    <col min="10499" max="10499" width="12" style="840" bestFit="1" customWidth="1"/>
    <col min="10500" max="10752" width="9.140625" style="840"/>
    <col min="10753" max="10753" width="29.5703125" style="840" bestFit="1" customWidth="1"/>
    <col min="10754" max="10754" width="19.85546875" style="840" customWidth="1"/>
    <col min="10755" max="10755" width="12" style="840" bestFit="1" customWidth="1"/>
    <col min="10756" max="11008" width="9.140625" style="840"/>
    <col min="11009" max="11009" width="29.5703125" style="840" bestFit="1" customWidth="1"/>
    <col min="11010" max="11010" width="19.85546875" style="840" customWidth="1"/>
    <col min="11011" max="11011" width="12" style="840" bestFit="1" customWidth="1"/>
    <col min="11012" max="11264" width="9.140625" style="840"/>
    <col min="11265" max="11265" width="29.5703125" style="840" bestFit="1" customWidth="1"/>
    <col min="11266" max="11266" width="19.85546875" style="840" customWidth="1"/>
    <col min="11267" max="11267" width="12" style="840" bestFit="1" customWidth="1"/>
    <col min="11268" max="11520" width="9.140625" style="840"/>
    <col min="11521" max="11521" width="29.5703125" style="840" bestFit="1" customWidth="1"/>
    <col min="11522" max="11522" width="19.85546875" style="840" customWidth="1"/>
    <col min="11523" max="11523" width="12" style="840" bestFit="1" customWidth="1"/>
    <col min="11524" max="11776" width="9.140625" style="840"/>
    <col min="11777" max="11777" width="29.5703125" style="840" bestFit="1" customWidth="1"/>
    <col min="11778" max="11778" width="19.85546875" style="840" customWidth="1"/>
    <col min="11779" max="11779" width="12" style="840" bestFit="1" customWidth="1"/>
    <col min="11780" max="12032" width="9.140625" style="840"/>
    <col min="12033" max="12033" width="29.5703125" style="840" bestFit="1" customWidth="1"/>
    <col min="12034" max="12034" width="19.85546875" style="840" customWidth="1"/>
    <col min="12035" max="12035" width="12" style="840" bestFit="1" customWidth="1"/>
    <col min="12036" max="12288" width="9.140625" style="840"/>
    <col min="12289" max="12289" width="29.5703125" style="840" bestFit="1" customWidth="1"/>
    <col min="12290" max="12290" width="19.85546875" style="840" customWidth="1"/>
    <col min="12291" max="12291" width="12" style="840" bestFit="1" customWidth="1"/>
    <col min="12292" max="12544" width="9.140625" style="840"/>
    <col min="12545" max="12545" width="29.5703125" style="840" bestFit="1" customWidth="1"/>
    <col min="12546" max="12546" width="19.85546875" style="840" customWidth="1"/>
    <col min="12547" max="12547" width="12" style="840" bestFit="1" customWidth="1"/>
    <col min="12548" max="12800" width="9.140625" style="840"/>
    <col min="12801" max="12801" width="29.5703125" style="840" bestFit="1" customWidth="1"/>
    <col min="12802" max="12802" width="19.85546875" style="840" customWidth="1"/>
    <col min="12803" max="12803" width="12" style="840" bestFit="1" customWidth="1"/>
    <col min="12804" max="13056" width="9.140625" style="840"/>
    <col min="13057" max="13057" width="29.5703125" style="840" bestFit="1" customWidth="1"/>
    <col min="13058" max="13058" width="19.85546875" style="840" customWidth="1"/>
    <col min="13059" max="13059" width="12" style="840" bestFit="1" customWidth="1"/>
    <col min="13060" max="13312" width="9.140625" style="840"/>
    <col min="13313" max="13313" width="29.5703125" style="840" bestFit="1" customWidth="1"/>
    <col min="13314" max="13314" width="19.85546875" style="840" customWidth="1"/>
    <col min="13315" max="13315" width="12" style="840" bestFit="1" customWidth="1"/>
    <col min="13316" max="13568" width="9.140625" style="840"/>
    <col min="13569" max="13569" width="29.5703125" style="840" bestFit="1" customWidth="1"/>
    <col min="13570" max="13570" width="19.85546875" style="840" customWidth="1"/>
    <col min="13571" max="13571" width="12" style="840" bestFit="1" customWidth="1"/>
    <col min="13572" max="13824" width="9.140625" style="840"/>
    <col min="13825" max="13825" width="29.5703125" style="840" bestFit="1" customWidth="1"/>
    <col min="13826" max="13826" width="19.85546875" style="840" customWidth="1"/>
    <col min="13827" max="13827" width="12" style="840" bestFit="1" customWidth="1"/>
    <col min="13828" max="14080" width="9.140625" style="840"/>
    <col min="14081" max="14081" width="29.5703125" style="840" bestFit="1" customWidth="1"/>
    <col min="14082" max="14082" width="19.85546875" style="840" customWidth="1"/>
    <col min="14083" max="14083" width="12" style="840" bestFit="1" customWidth="1"/>
    <col min="14084" max="14336" width="9.140625" style="840"/>
    <col min="14337" max="14337" width="29.5703125" style="840" bestFit="1" customWidth="1"/>
    <col min="14338" max="14338" width="19.85546875" style="840" customWidth="1"/>
    <col min="14339" max="14339" width="12" style="840" bestFit="1" customWidth="1"/>
    <col min="14340" max="14592" width="9.140625" style="840"/>
    <col min="14593" max="14593" width="29.5703125" style="840" bestFit="1" customWidth="1"/>
    <col min="14594" max="14594" width="19.85546875" style="840" customWidth="1"/>
    <col min="14595" max="14595" width="12" style="840" bestFit="1" customWidth="1"/>
    <col min="14596" max="14848" width="9.140625" style="840"/>
    <col min="14849" max="14849" width="29.5703125" style="840" bestFit="1" customWidth="1"/>
    <col min="14850" max="14850" width="19.85546875" style="840" customWidth="1"/>
    <col min="14851" max="14851" width="12" style="840" bestFit="1" customWidth="1"/>
    <col min="14852" max="15104" width="9.140625" style="840"/>
    <col min="15105" max="15105" width="29.5703125" style="840" bestFit="1" customWidth="1"/>
    <col min="15106" max="15106" width="19.85546875" style="840" customWidth="1"/>
    <col min="15107" max="15107" width="12" style="840" bestFit="1" customWidth="1"/>
    <col min="15108" max="15360" width="9.140625" style="840"/>
    <col min="15361" max="15361" width="29.5703125" style="840" bestFit="1" customWidth="1"/>
    <col min="15362" max="15362" width="19.85546875" style="840" customWidth="1"/>
    <col min="15363" max="15363" width="12" style="840" bestFit="1" customWidth="1"/>
    <col min="15364" max="15616" width="9.140625" style="840"/>
    <col min="15617" max="15617" width="29.5703125" style="840" bestFit="1" customWidth="1"/>
    <col min="15618" max="15618" width="19.85546875" style="840" customWidth="1"/>
    <col min="15619" max="15619" width="12" style="840" bestFit="1" customWidth="1"/>
    <col min="15620" max="15872" width="9.140625" style="840"/>
    <col min="15873" max="15873" width="29.5703125" style="840" bestFit="1" customWidth="1"/>
    <col min="15874" max="15874" width="19.85546875" style="840" customWidth="1"/>
    <col min="15875" max="15875" width="12" style="840" bestFit="1" customWidth="1"/>
    <col min="15876" max="16128" width="9.140625" style="840"/>
    <col min="16129" max="16129" width="29.5703125" style="840" bestFit="1" customWidth="1"/>
    <col min="16130" max="16130" width="19.85546875" style="840" customWidth="1"/>
    <col min="16131" max="16131" width="12" style="840" bestFit="1" customWidth="1"/>
    <col min="16132" max="16384" width="9.140625" style="840"/>
  </cols>
  <sheetData>
    <row r="1" spans="1:2" x14ac:dyDescent="0.2">
      <c r="A1" s="840" t="s">
        <v>708</v>
      </c>
      <c r="B1" s="870">
        <v>6.1</v>
      </c>
    </row>
    <row r="2" spans="1:2" x14ac:dyDescent="0.2">
      <c r="A2" s="840" t="s">
        <v>709</v>
      </c>
      <c r="B2" s="874">
        <v>43214.751134259262</v>
      </c>
    </row>
    <row r="3" spans="1:2" x14ac:dyDescent="0.2">
      <c r="A3" s="840" t="s">
        <v>710</v>
      </c>
      <c r="B3" s="871" t="s">
        <v>404</v>
      </c>
    </row>
    <row r="4" spans="1:2" x14ac:dyDescent="0.2">
      <c r="A4" s="840" t="s">
        <v>711</v>
      </c>
      <c r="B4" s="871" t="s">
        <v>287</v>
      </c>
    </row>
    <row r="5" spans="1:2" x14ac:dyDescent="0.2">
      <c r="A5" s="840" t="s">
        <v>712</v>
      </c>
      <c r="B5" s="871" t="s">
        <v>168</v>
      </c>
    </row>
    <row r="6" spans="1:2" x14ac:dyDescent="0.2">
      <c r="A6" s="840" t="s">
        <v>713</v>
      </c>
    </row>
    <row r="7" spans="1:2" x14ac:dyDescent="0.2">
      <c r="A7" s="840" t="s">
        <v>714</v>
      </c>
      <c r="B7" s="871" t="s">
        <v>270</v>
      </c>
    </row>
    <row r="8" spans="1:2" x14ac:dyDescent="0.2">
      <c r="A8" s="840" t="s">
        <v>715</v>
      </c>
      <c r="B8" s="871" t="s">
        <v>716</v>
      </c>
    </row>
    <row r="9" spans="1:2" x14ac:dyDescent="0.2">
      <c r="A9" s="840" t="s">
        <v>288</v>
      </c>
      <c r="B9" s="871" t="s">
        <v>752</v>
      </c>
    </row>
    <row r="10" spans="1:2" x14ac:dyDescent="0.2">
      <c r="A10" s="840" t="s">
        <v>717</v>
      </c>
    </row>
    <row r="11" spans="1:2" x14ac:dyDescent="0.2">
      <c r="A11" s="840" t="s">
        <v>718</v>
      </c>
    </row>
    <row r="12" spans="1:2" x14ac:dyDescent="0.2">
      <c r="A12" s="840" t="s">
        <v>719</v>
      </c>
    </row>
    <row r="13" spans="1:2" x14ac:dyDescent="0.2">
      <c r="A13" s="840" t="s">
        <v>720</v>
      </c>
    </row>
    <row r="14" spans="1:2" x14ac:dyDescent="0.2">
      <c r="A14" s="840" t="s">
        <v>721</v>
      </c>
    </row>
    <row r="15" spans="1:2" x14ac:dyDescent="0.2">
      <c r="A15" s="840" t="s">
        <v>722</v>
      </c>
    </row>
    <row r="16" spans="1:2" x14ac:dyDescent="0.2">
      <c r="A16" s="840" t="s">
        <v>723</v>
      </c>
    </row>
    <row r="17" spans="1:4" x14ac:dyDescent="0.2">
      <c r="A17" s="840" t="s">
        <v>724</v>
      </c>
      <c r="B17" s="871" t="s">
        <v>753</v>
      </c>
    </row>
    <row r="18" spans="1:4" x14ac:dyDescent="0.2">
      <c r="A18" s="840" t="s">
        <v>725</v>
      </c>
      <c r="B18" s="871" t="s">
        <v>405</v>
      </c>
    </row>
    <row r="19" spans="1:4" x14ac:dyDescent="0.2">
      <c r="A19" s="840" t="s">
        <v>726</v>
      </c>
      <c r="B19" s="871" t="s">
        <v>266</v>
      </c>
    </row>
    <row r="20" spans="1:4" x14ac:dyDescent="0.2">
      <c r="A20" s="840" t="s">
        <v>727</v>
      </c>
      <c r="B20" s="872">
        <v>191216100</v>
      </c>
    </row>
    <row r="21" spans="1:4" x14ac:dyDescent="0.2">
      <c r="A21" s="840" t="s">
        <v>728</v>
      </c>
      <c r="B21" s="871" t="s">
        <v>266</v>
      </c>
    </row>
    <row r="22" spans="1:4" x14ac:dyDescent="0.2">
      <c r="A22" s="840" t="s">
        <v>729</v>
      </c>
      <c r="B22" s="872">
        <v>2206657</v>
      </c>
    </row>
    <row r="23" spans="1:4" x14ac:dyDescent="0.2">
      <c r="A23" s="840" t="s">
        <v>294</v>
      </c>
      <c r="B23" s="870">
        <v>43.07</v>
      </c>
    </row>
    <row r="24" spans="1:4" x14ac:dyDescent="0.2">
      <c r="A24" s="840" t="s">
        <v>293</v>
      </c>
      <c r="B24" s="871" t="s">
        <v>148</v>
      </c>
      <c r="D24" s="840" t="s">
        <v>170</v>
      </c>
    </row>
    <row r="25" spans="1:4" x14ac:dyDescent="0.2">
      <c r="A25" s="840" t="s">
        <v>730</v>
      </c>
      <c r="B25" s="871" t="s">
        <v>756</v>
      </c>
    </row>
    <row r="26" spans="1:4" x14ac:dyDescent="0.2">
      <c r="A26" s="840" t="s">
        <v>731</v>
      </c>
      <c r="B26" s="871">
        <v>0</v>
      </c>
    </row>
    <row r="27" spans="1:4" x14ac:dyDescent="0.2">
      <c r="A27" s="840" t="s">
        <v>732</v>
      </c>
      <c r="B27" s="871" t="s">
        <v>733</v>
      </c>
    </row>
    <row r="28" spans="1:4" x14ac:dyDescent="0.2">
      <c r="A28" s="840" t="s">
        <v>734</v>
      </c>
      <c r="B28" s="871" t="s">
        <v>735</v>
      </c>
    </row>
    <row r="29" spans="1:4" x14ac:dyDescent="0.2">
      <c r="A29" s="840" t="s">
        <v>736</v>
      </c>
    </row>
    <row r="30" spans="1:4" x14ac:dyDescent="0.2">
      <c r="A30" s="840" t="s">
        <v>737</v>
      </c>
    </row>
    <row r="31" spans="1:4" x14ac:dyDescent="0.2">
      <c r="A31" s="840" t="s">
        <v>738</v>
      </c>
    </row>
    <row r="32" spans="1:4" x14ac:dyDescent="0.2">
      <c r="A32" s="840" t="s">
        <v>739</v>
      </c>
      <c r="B32" s="870"/>
    </row>
    <row r="33" spans="1:2" x14ac:dyDescent="0.2">
      <c r="A33" s="840" t="s">
        <v>740</v>
      </c>
      <c r="B33" s="870"/>
    </row>
    <row r="34" spans="1:2" x14ac:dyDescent="0.2">
      <c r="A34" s="840" t="s">
        <v>741</v>
      </c>
      <c r="B34" s="870"/>
    </row>
    <row r="35" spans="1:2" x14ac:dyDescent="0.2">
      <c r="A35" s="840" t="s">
        <v>305</v>
      </c>
      <c r="B35" s="871">
        <v>1000000</v>
      </c>
    </row>
    <row r="36" spans="1:2" x14ac:dyDescent="0.2">
      <c r="A36" s="840" t="s">
        <v>742</v>
      </c>
      <c r="B36" s="871" t="s">
        <v>754</v>
      </c>
    </row>
    <row r="37" spans="1:2" x14ac:dyDescent="0.2">
      <c r="A37" s="840" t="s">
        <v>743</v>
      </c>
      <c r="B37" s="871" t="s">
        <v>744</v>
      </c>
    </row>
    <row r="38" spans="1:2" x14ac:dyDescent="0.2">
      <c r="A38" s="840" t="s">
        <v>745</v>
      </c>
      <c r="B38" s="871" t="s">
        <v>746</v>
      </c>
    </row>
    <row r="39" spans="1:2" x14ac:dyDescent="0.2">
      <c r="A39" s="840" t="s">
        <v>747</v>
      </c>
      <c r="B39" s="871" t="s">
        <v>755</v>
      </c>
    </row>
    <row r="40" spans="1:2" x14ac:dyDescent="0.2">
      <c r="A40" s="840" t="s">
        <v>748</v>
      </c>
      <c r="B40" s="871">
        <v>1500000239</v>
      </c>
    </row>
    <row r="41" spans="1:2" x14ac:dyDescent="0.2">
      <c r="A41" s="840" t="s">
        <v>749</v>
      </c>
      <c r="B41" s="871">
        <v>1</v>
      </c>
    </row>
    <row r="42" spans="1:2" x14ac:dyDescent="0.2">
      <c r="A42" s="873" t="s">
        <v>750</v>
      </c>
    </row>
    <row r="43" spans="1:2" x14ac:dyDescent="0.2">
      <c r="A43" s="840" t="s">
        <v>751</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x14ac:dyDescent="0.2"/>
  <cols>
    <col min="1" max="1" width="28.5703125" style="840" bestFit="1" customWidth="1"/>
    <col min="2" max="256" width="9.140625" style="840"/>
    <col min="257" max="257" width="28.5703125" style="840" bestFit="1" customWidth="1"/>
    <col min="258" max="512" width="9.140625" style="840"/>
    <col min="513" max="513" width="28.5703125" style="840" bestFit="1" customWidth="1"/>
    <col min="514" max="768" width="9.140625" style="840"/>
    <col min="769" max="769" width="28.5703125" style="840" bestFit="1" customWidth="1"/>
    <col min="770" max="1024" width="9.140625" style="840"/>
    <col min="1025" max="1025" width="28.5703125" style="840" bestFit="1" customWidth="1"/>
    <col min="1026" max="1280" width="9.140625" style="840"/>
    <col min="1281" max="1281" width="28.5703125" style="840" bestFit="1" customWidth="1"/>
    <col min="1282" max="1536" width="9.140625" style="840"/>
    <col min="1537" max="1537" width="28.5703125" style="840" bestFit="1" customWidth="1"/>
    <col min="1538" max="1792" width="9.140625" style="840"/>
    <col min="1793" max="1793" width="28.5703125" style="840" bestFit="1" customWidth="1"/>
    <col min="1794" max="2048" width="9.140625" style="840"/>
    <col min="2049" max="2049" width="28.5703125" style="840" bestFit="1" customWidth="1"/>
    <col min="2050" max="2304" width="9.140625" style="840"/>
    <col min="2305" max="2305" width="28.5703125" style="840" bestFit="1" customWidth="1"/>
    <col min="2306" max="2560" width="9.140625" style="840"/>
    <col min="2561" max="2561" width="28.5703125" style="840" bestFit="1" customWidth="1"/>
    <col min="2562" max="2816" width="9.140625" style="840"/>
    <col min="2817" max="2817" width="28.5703125" style="840" bestFit="1" customWidth="1"/>
    <col min="2818" max="3072" width="9.140625" style="840"/>
    <col min="3073" max="3073" width="28.5703125" style="840" bestFit="1" customWidth="1"/>
    <col min="3074" max="3328" width="9.140625" style="840"/>
    <col min="3329" max="3329" width="28.5703125" style="840" bestFit="1" customWidth="1"/>
    <col min="3330" max="3584" width="9.140625" style="840"/>
    <col min="3585" max="3585" width="28.5703125" style="840" bestFit="1" customWidth="1"/>
    <col min="3586" max="3840" width="9.140625" style="840"/>
    <col min="3841" max="3841" width="28.5703125" style="840" bestFit="1" customWidth="1"/>
    <col min="3842" max="4096" width="9.140625" style="840"/>
    <col min="4097" max="4097" width="28.5703125" style="840" bestFit="1" customWidth="1"/>
    <col min="4098" max="4352" width="9.140625" style="840"/>
    <col min="4353" max="4353" width="28.5703125" style="840" bestFit="1" customWidth="1"/>
    <col min="4354" max="4608" width="9.140625" style="840"/>
    <col min="4609" max="4609" width="28.5703125" style="840" bestFit="1" customWidth="1"/>
    <col min="4610" max="4864" width="9.140625" style="840"/>
    <col min="4865" max="4865" width="28.5703125" style="840" bestFit="1" customWidth="1"/>
    <col min="4866" max="5120" width="9.140625" style="840"/>
    <col min="5121" max="5121" width="28.5703125" style="840" bestFit="1" customWidth="1"/>
    <col min="5122" max="5376" width="9.140625" style="840"/>
    <col min="5377" max="5377" width="28.5703125" style="840" bestFit="1" customWidth="1"/>
    <col min="5378" max="5632" width="9.140625" style="840"/>
    <col min="5633" max="5633" width="28.5703125" style="840" bestFit="1" customWidth="1"/>
    <col min="5634" max="5888" width="9.140625" style="840"/>
    <col min="5889" max="5889" width="28.5703125" style="840" bestFit="1" customWidth="1"/>
    <col min="5890" max="6144" width="9.140625" style="840"/>
    <col min="6145" max="6145" width="28.5703125" style="840" bestFit="1" customWidth="1"/>
    <col min="6146" max="6400" width="9.140625" style="840"/>
    <col min="6401" max="6401" width="28.5703125" style="840" bestFit="1" customWidth="1"/>
    <col min="6402" max="6656" width="9.140625" style="840"/>
    <col min="6657" max="6657" width="28.5703125" style="840" bestFit="1" customWidth="1"/>
    <col min="6658" max="6912" width="9.140625" style="840"/>
    <col min="6913" max="6913" width="28.5703125" style="840" bestFit="1" customWidth="1"/>
    <col min="6914" max="7168" width="9.140625" style="840"/>
    <col min="7169" max="7169" width="28.5703125" style="840" bestFit="1" customWidth="1"/>
    <col min="7170" max="7424" width="9.140625" style="840"/>
    <col min="7425" max="7425" width="28.5703125" style="840" bestFit="1" customWidth="1"/>
    <col min="7426" max="7680" width="9.140625" style="840"/>
    <col min="7681" max="7681" width="28.5703125" style="840" bestFit="1" customWidth="1"/>
    <col min="7682" max="7936" width="9.140625" style="840"/>
    <col min="7937" max="7937" width="28.5703125" style="840" bestFit="1" customWidth="1"/>
    <col min="7938" max="8192" width="9.140625" style="840"/>
    <col min="8193" max="8193" width="28.5703125" style="840" bestFit="1" customWidth="1"/>
    <col min="8194" max="8448" width="9.140625" style="840"/>
    <col min="8449" max="8449" width="28.5703125" style="840" bestFit="1" customWidth="1"/>
    <col min="8450" max="8704" width="9.140625" style="840"/>
    <col min="8705" max="8705" width="28.5703125" style="840" bestFit="1" customWidth="1"/>
    <col min="8706" max="8960" width="9.140625" style="840"/>
    <col min="8961" max="8961" width="28.5703125" style="840" bestFit="1" customWidth="1"/>
    <col min="8962" max="9216" width="9.140625" style="840"/>
    <col min="9217" max="9217" width="28.5703125" style="840" bestFit="1" customWidth="1"/>
    <col min="9218" max="9472" width="9.140625" style="840"/>
    <col min="9473" max="9473" width="28.5703125" style="840" bestFit="1" customWidth="1"/>
    <col min="9474" max="9728" width="9.140625" style="840"/>
    <col min="9729" max="9729" width="28.5703125" style="840" bestFit="1" customWidth="1"/>
    <col min="9730" max="9984" width="9.140625" style="840"/>
    <col min="9985" max="9985" width="28.5703125" style="840" bestFit="1" customWidth="1"/>
    <col min="9986" max="10240" width="9.140625" style="840"/>
    <col min="10241" max="10241" width="28.5703125" style="840" bestFit="1" customWidth="1"/>
    <col min="10242" max="10496" width="9.140625" style="840"/>
    <col min="10497" max="10497" width="28.5703125" style="840" bestFit="1" customWidth="1"/>
    <col min="10498" max="10752" width="9.140625" style="840"/>
    <col min="10753" max="10753" width="28.5703125" style="840" bestFit="1" customWidth="1"/>
    <col min="10754" max="11008" width="9.140625" style="840"/>
    <col min="11009" max="11009" width="28.5703125" style="840" bestFit="1" customWidth="1"/>
    <col min="11010" max="11264" width="9.140625" style="840"/>
    <col min="11265" max="11265" width="28.5703125" style="840" bestFit="1" customWidth="1"/>
    <col min="11266" max="11520" width="9.140625" style="840"/>
    <col min="11521" max="11521" width="28.5703125" style="840" bestFit="1" customWidth="1"/>
    <col min="11522" max="11776" width="9.140625" style="840"/>
    <col min="11777" max="11777" width="28.5703125" style="840" bestFit="1" customWidth="1"/>
    <col min="11778" max="12032" width="9.140625" style="840"/>
    <col min="12033" max="12033" width="28.5703125" style="840" bestFit="1" customWidth="1"/>
    <col min="12034" max="12288" width="9.140625" style="840"/>
    <col min="12289" max="12289" width="28.5703125" style="840" bestFit="1" customWidth="1"/>
    <col min="12290" max="12544" width="9.140625" style="840"/>
    <col min="12545" max="12545" width="28.5703125" style="840" bestFit="1" customWidth="1"/>
    <col min="12546" max="12800" width="9.140625" style="840"/>
    <col min="12801" max="12801" width="28.5703125" style="840" bestFit="1" customWidth="1"/>
    <col min="12802" max="13056" width="9.140625" style="840"/>
    <col min="13057" max="13057" width="28.5703125" style="840" bestFit="1" customWidth="1"/>
    <col min="13058" max="13312" width="9.140625" style="840"/>
    <col min="13313" max="13313" width="28.5703125" style="840" bestFit="1" customWidth="1"/>
    <col min="13314" max="13568" width="9.140625" style="840"/>
    <col min="13569" max="13569" width="28.5703125" style="840" bestFit="1" customWidth="1"/>
    <col min="13570" max="13824" width="9.140625" style="840"/>
    <col min="13825" max="13825" width="28.5703125" style="840" bestFit="1" customWidth="1"/>
    <col min="13826" max="14080" width="9.140625" style="840"/>
    <col min="14081" max="14081" width="28.5703125" style="840" bestFit="1" customWidth="1"/>
    <col min="14082" max="14336" width="9.140625" style="840"/>
    <col min="14337" max="14337" width="28.5703125" style="840" bestFit="1" customWidth="1"/>
    <col min="14338" max="14592" width="9.140625" style="840"/>
    <col min="14593" max="14593" width="28.5703125" style="840" bestFit="1" customWidth="1"/>
    <col min="14594" max="14848" width="9.140625" style="840"/>
    <col min="14849" max="14849" width="28.5703125" style="840" bestFit="1" customWidth="1"/>
    <col min="14850" max="15104" width="9.140625" style="840"/>
    <col min="15105" max="15105" width="28.5703125" style="840" bestFit="1" customWidth="1"/>
    <col min="15106" max="15360" width="9.140625" style="840"/>
    <col min="15361" max="15361" width="28.5703125" style="840" bestFit="1" customWidth="1"/>
    <col min="15362" max="15616" width="9.140625" style="840"/>
    <col min="15617" max="15617" width="28.5703125" style="840" bestFit="1" customWidth="1"/>
    <col min="15618" max="15872" width="9.140625" style="840"/>
    <col min="15873" max="15873" width="28.5703125" style="840" bestFit="1" customWidth="1"/>
    <col min="15874" max="16128" width="9.140625" style="840"/>
    <col min="16129" max="16129" width="28.5703125" style="840" bestFit="1" customWidth="1"/>
    <col min="16130" max="16384" width="9.140625" style="840"/>
  </cols>
  <sheetData>
    <row r="1" spans="1:1" x14ac:dyDescent="0.2">
      <c r="A1" s="875" t="s">
        <v>757</v>
      </c>
    </row>
    <row r="2" spans="1:1" x14ac:dyDescent="0.2">
      <c r="A2" s="875" t="s">
        <v>762</v>
      </c>
    </row>
    <row r="3" spans="1:1" x14ac:dyDescent="0.2">
      <c r="A3" s="875" t="s">
        <v>763</v>
      </c>
    </row>
    <row r="4" spans="1:1" x14ac:dyDescent="0.2">
      <c r="A4" s="875" t="s">
        <v>764</v>
      </c>
    </row>
    <row r="5" spans="1:1" x14ac:dyDescent="0.2">
      <c r="A5" s="875" t="s">
        <v>765</v>
      </c>
    </row>
    <row r="6" spans="1:1" x14ac:dyDescent="0.2">
      <c r="A6" s="875" t="s">
        <v>758</v>
      </c>
    </row>
    <row r="7" spans="1:1" x14ac:dyDescent="0.2">
      <c r="A7" s="875" t="s">
        <v>766</v>
      </c>
    </row>
    <row r="8" spans="1:1" x14ac:dyDescent="0.2">
      <c r="A8" s="875" t="s">
        <v>767</v>
      </c>
    </row>
    <row r="9" spans="1:1" x14ac:dyDescent="0.2">
      <c r="A9" s="875" t="s">
        <v>768</v>
      </c>
    </row>
    <row r="10" spans="1:1" x14ac:dyDescent="0.2">
      <c r="A10" s="875" t="s">
        <v>759</v>
      </c>
    </row>
    <row r="11" spans="1:1" x14ac:dyDescent="0.2">
      <c r="A11" s="875" t="s">
        <v>769</v>
      </c>
    </row>
    <row r="12" spans="1:1" x14ac:dyDescent="0.2">
      <c r="A12" s="875" t="s">
        <v>760</v>
      </c>
    </row>
    <row r="13" spans="1:1" x14ac:dyDescent="0.2">
      <c r="A13" s="875" t="s">
        <v>761</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1"/>
  <sheetViews>
    <sheetView workbookViewId="0"/>
  </sheetViews>
  <sheetFormatPr defaultRowHeight="12.75" x14ac:dyDescent="0.2"/>
  <sheetData>
    <row r="1" spans="1:2" x14ac:dyDescent="0.2">
      <c r="B1" t="s">
        <v>167</v>
      </c>
    </row>
  </sheetData>
  <phoneticPr fontId="3"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2"/>
  <sheetViews>
    <sheetView workbookViewId="0"/>
  </sheetViews>
  <sheetFormatPr defaultRowHeight="12.75" x14ac:dyDescent="0.2"/>
  <sheetData>
    <row r="1" spans="1:20" x14ac:dyDescent="0.2">
      <c r="A1" t="s">
        <v>158</v>
      </c>
    </row>
    <row r="2" spans="1:20" x14ac:dyDescent="0.2">
      <c r="A2" s="39" t="s">
        <v>299</v>
      </c>
      <c r="B2" s="39" t="s">
        <v>403</v>
      </c>
      <c r="C2" s="39" t="s">
        <v>268</v>
      </c>
      <c r="D2" s="39" t="s">
        <v>161</v>
      </c>
      <c r="E2" s="39" t="s">
        <v>157</v>
      </c>
      <c r="F2" s="39" t="s">
        <v>161</v>
      </c>
      <c r="G2" s="39" t="s">
        <v>269</v>
      </c>
      <c r="H2" s="39" t="s">
        <v>161</v>
      </c>
      <c r="I2" s="39" t="s">
        <v>174</v>
      </c>
      <c r="J2" s="39" t="s">
        <v>161</v>
      </c>
      <c r="K2" s="39" t="s">
        <v>172</v>
      </c>
      <c r="L2" s="39" t="s">
        <v>148</v>
      </c>
      <c r="M2" s="39" t="s">
        <v>298</v>
      </c>
      <c r="N2" s="39" t="s">
        <v>314</v>
      </c>
      <c r="O2" s="39" t="s">
        <v>173</v>
      </c>
      <c r="P2" s="39" t="s">
        <v>177</v>
      </c>
      <c r="Q2" s="39" t="s">
        <v>300</v>
      </c>
      <c r="R2" s="39" t="s">
        <v>148</v>
      </c>
      <c r="S2" s="39" t="s">
        <v>267</v>
      </c>
      <c r="T2" s="39" t="s">
        <v>161</v>
      </c>
    </row>
  </sheetData>
  <phoneticPr fontId="3"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2.75" x14ac:dyDescent="0.2"/>
  <sheetData/>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2b1edcf8-a1b7-4649-a9ca-0450ce8e2c4d</GUID>
    <SOURCE_ALTADDRESS>$B$5:$K$66</SOURCE_ALTADDRESS>
    <SOURCETYPE>Table</SOURCETYPE>
    <SOURCE_OBJECTNAME>Linking_Range_24</SOURCE_OBJECTNAME>
    <OBJECTTYPE>Native</OBJECTTYPE>
    <SOURCE_SHEETCODE>Sheet31</SOURCE_SHEETCODE>
    <SOURCE_SHEETNAME>Qtrly Preview</SOURCE_SHEETNAME>
    <SOURCEAPPLICATION>EXCEL_SOURCE</SOURCEAPPLICATION>
    <UPDATEDAT>4/22/2015 7:23:08 PM</UPDATEDAT>
    <SOURCE_ISOUTOFDATE>False</SOURCE_ISOUTOFDATE>
    <SOURCE_WORKBOOKNAME>KO_Model_.xls</SOURCE_WORKBOOKNAME>
    <SOURCE_WORKBOOKPATH>\\MSAD\ROOT\NA\NY\LIB\ER\CONSUMER\STAPLES\KO\Model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/MSResearch/Content/ExternalAssets/2015-04/Images/hDdjgwtPfE6rLjvzKXFW3g--.png</TARGET_BINARYFULLNAME>
    <TARGET_STORYFULLNAME>/MSResearch/Content/ExternalAssets/2015-04/Sections/20150408_013247_Linking_Range_24.xml</TARGET_STORYFULLNAME>
    <TARGET_UUID>46191836-de15-11e4-9cfb-6eb77350c59b</TARGET_UUID>
    <LINKSTATUS>Unknown</LINKSTATUS>
  </Link>
  <Link>
    <GUID>781f74ea-228e-4182-9096-2a61ab6e281c</GUID>
    <SOURCE_ALTADDRESS>$B$5:$K$78</SOURCE_ALTADDRESS>
    <SOURCETYPE>Table</SOURCETYPE>
    <SOURCE_OBJECTNAME>Linking_Range_25</SOURCE_OBJECTNAME>
    <OBJECTTYPE>Native</OBJECTTYPE>
    <SOURCE_SHEETCODE>Sheet21</SOURCE_SHEETCODE>
    <SOURCE_SHEETNAME>Qtrly Review Template</SOURCE_SHEETNAME>
    <SOURCEAPPLICATION>EXCEL_SOURCE</SOURCEAPPLICATION>
    <UPDATEDAT>4/22/2015 7:23:10 PM</UPDATEDAT>
    <SOURCE_ISOUTOFDATE>False</SOURCE_ISOUTOFDATE>
    <SOURCE_WORKBOOKNAME>KO_Model_.xls</SOURCE_WORKBOOKNAME>
    <SOURCE_WORKBOOKPATH>\\MSAD\ROOT\NA\NY\LIB\ER\CONSUMER\STAPLES\KO\Model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/MSResearch/Content/ExternalAssets/2015-04/Images/rSYjNNKErUybOkC1nDOVMQ--.png</TARGET_BINARYFULLNAME>
    <TARGET_STORYFULLNAME>/MSResearch/Content/ExternalAssets/2015-04/Sections/20150422_080754_Linking_Range_25.xml</TARGET_STORYFULLNAME>
    <TARGET_UUID>34deef0e-e8e8-11e4-b44c-544b7b2f2e67</TARGET_UUID>
    <LINKSTATUS>Unknown</LINKSTATUS>
  </Link>
  <Link>
    <GUID>540dccc0-b4bc-4043-b232-f51d8d07b9e9</GUID>
    <SOURCE_ALTADDRESS>$B$5:$K$66</SOURCE_ALTADDRESS>
    <SOURCETYPE>Table</SOURCETYPE>
    <SOURCE_OBJECTNAME>Linking_Range_38</SOURCE_OBJECTNAME>
    <OBJECTTYPE>Native</OBJECTTYPE>
    <SOURCE_SHEETCODE>Sheet21</SOURCE_SHEETCODE>
    <SOURCE_SHEETNAME>Qtrly Review Template</SOURCE_SHEETNAME>
    <SOURCEAPPLICATION>EXCEL_SOURCE</SOURCEAPPLICATION>
    <UPDATEDAT>4/22/2015 7:23:11 PM</UPDATEDAT>
    <SOURCE_ISOUTOFDATE>False</SOURCE_ISOUTOFDATE>
    <SOURCE_WORKBOOKNAME>KO_Model_.xls</SOURCE_WORKBOOKNAME>
    <SOURCE_WORKBOOKPATH>\\MSAD\ROOT\NA\NY\LIB\ER\CONSUMER\STAPLES\KO\Model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/MSResearch/Content/ExternalAssets/2015-04/Images/qDu1h7i48kCgrzeTfgWiWA--.png</TARGET_BINARYFULLNAME>
    <TARGET_STORYFULLNAME>/MSResearch/Content/ExternalAssets/2015-04/Sections/20150422_012434_Linking_Range_38.xml</TARGET_STORYFULLNAME>
    <TARGET_UUID>71801056-e914-11e4-b44c-544b7b2f2e67</TARGET_UUID>
    <LINKSTATUS>Unknown</LINKSTATUS>
  </Link>
  <Link>
    <GUID>3a4fddb6-b81b-447b-b5d4-23824350fc1f</GUID>
    <SOURCE_ALTADDRESS>$C$80:$F$91</SOURCE_ALTADDRESS>
    <SOURCETYPE>Table</SOURCETYPE>
    <SOURCE_OBJECTNAME>Linking_Range_6</SOURCE_OBJECTNAME>
    <OBJECTTYPE>Native</OBJECTTYPE>
    <SOURCE_SHEETCODE>Sheet21</SOURCE_SHEETCODE>
    <SOURCE_SHEETNAME>Qtrly Review Template</SOURCE_SHEETNAME>
    <SOURCEAPPLICATION>EXCEL_SOURCE</SOURCEAPPLICATION>
    <UPDATEDAT>4/22/2015 7:23:17 PM</UPDATEDAT>
    <SOURCE_ISOUTOFDATE>False</SOURCE_ISOUTOFDATE>
    <SOURCE_WORKBOOKNAME>KO_Model_.xls</SOURCE_WORKBOOKNAME>
    <SOURCE_WORKBOOKPATH>\\MSAD\ROOT\NA\NY\LIB\ER\CONSUMER\STAPLES\KO\Model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/MSResearch/Content/ExternalAssets/2015-04/Images/4EtasU1GaEmQhEPbR1NcXg--.png</TARGET_BINARYFULLNAME>
    <TARGET_STORYFULLNAME>/MSResearch/Content/ExternalAssets/2015-04/Sections/20150422_020414_Linking_Range_6.xml</TARGET_STORYFULLNAME>
    <TARGET_UUID>fca33816-e919-11e4-b44c-544b7b2f2e67</TARGET_UUID>
    <LINKSTATUS>Unknown</LINKSTATUS>
  </Link>
  <Link>
    <GUID>1b963393-265e-438d-ab7a-e2a2a5a556b0</GUID>
    <SOURCETYPE>Chart</SOURCETYPE>
    <SOURCE_OBJECTNAME>MWA_Risk_Reward</SOURCE_OBJECTNAME>
    <SOURCE_SHEETCODE>MWRSSData</SOURCE_SHEETCODE>
    <SOURCE_SHEETNAME>MWA RR</SOURCE_SHEETNAME>
    <OBJECTTYPE>Native</OBJECTTYPE>
    <SOURCEAPPLICATION>EXCEL_SOURCE</SOURCEAPPLICATION>
    <UPDATEDAT>4/22/2015 7:42:27 PM</UPDATEDAT>
    <SOURCE_ISOUTOFDATE>False</SOURCE_ISOUTOFDATE>
    <SOURCE_WORKBOOKNAME>KO_Model_.xls</SOURCE_WORKBOOKNAME>
    <SOURCE_WORKBOOKPATH>\\MSAD\ROOT\NA\NY\LIB\ER\CONSUMER\STAPLES\KO\Model</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/MSResearch/Content/ExternalAssets/2015-04/Images/7VETB6qhUEibjl9ons370g--.png</TARGET_BINARYFULLNAME>
    <TARGET_STORYFULLNAME>/MSResearch/Content/ExternalAssets/2015-04/Sections/20150422_074225_MWA_Risk_Reward.xml</TARGET_STORYFULLNAME>
    <TARGET_UUID>3ac28f28-e949-11e4-b44c-544b7b2f2e67</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5F5E65EE-4C0C-45B3-B50F-DBF8F33F4C50}">
  <ds:schemaRefs>
    <ds:schemaRef ds:uri="thomsonreuters.linking.metadata"/>
  </ds:schemaRefs>
</ds:datastoreItem>
</file>

<file path=customXml/itemProps2.xml><?xml version="1.0" encoding="utf-8"?>
<ds:datastoreItem xmlns:ds="http://schemas.openxmlformats.org/officeDocument/2006/customXml" ds:itemID="{CA3587F4-7D66-4AD4-8126-FDE7E22D3932}">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87</vt:i4>
      </vt:variant>
    </vt:vector>
  </HeadingPairs>
  <TitlesOfParts>
    <vt:vector size="89" baseType="lpstr">
      <vt:lpstr>ImportantDisclosures</vt:lpstr>
      <vt:lpstr>CircularReferenceAlert</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Linking_Range_11</vt:lpstr>
      <vt:lpstr>Linking_Range_12</vt:lpstr>
      <vt:lpstr>Linking_Range_13</vt:lpstr>
      <vt:lpstr>Linking_Range_2</vt:lpstr>
      <vt:lpstr>Linking_Range_20</vt:lpstr>
      <vt:lpstr>Linking_Range_21</vt:lpstr>
      <vt:lpstr>Linking_Range_22</vt:lpstr>
      <vt:lpstr>Linking_Range_3</vt:lpstr>
      <vt:lpstr>Linking_Range_31</vt:lpstr>
      <vt:lpstr>Linking_Text_1</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Cover!Print_Area</vt:lpstr>
      <vt:lpstr>'Financial Statements'!Print_Area</vt:lpstr>
      <vt:lpstr>Segments!Print_Area</vt:lpstr>
      <vt:lpstr>'Financial Statements'!Print_Titles</vt:lpstr>
      <vt:lpstr>Segments!Print_Titles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2010-01-22T13:49:15Z</dcterms:created>
  <dc:creator>Scott H. Shapiro</dc:creator>
  <cp:lastModifiedBy>Falorni, Filippo (Research)</cp:lastModifiedBy>
  <cp:lastPrinted>2017-07-26T11:35:48Z</cp:lastPrinted>
  <dcterms:modified xsi:type="dcterms:W3CDTF">2018-04-24T22:01:41Z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7</vt:lpwstr>
  </property>
  <property fmtid="{D5CDD505-2E9C-101B-9397-08002B2CF9AE}" name="LinkingAutoNameNumberLinking_Range_" pid="3">
    <vt:lpwstr>38</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763760</vt:lpwstr>
  </property>
  <property fmtid="{D5CDD505-2E9C-101B-9397-08002B2CF9AE}" name="ERModPubCompanyName" pid="7">
    <vt:lpwstr>Coca-Cola Co.</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.TEZUF76X5TAHATHESADREYAK-00-INB160+*94600-06=13dec862/-480b/-11e8/-adef/-6a0a1ce82510,MD=20180424180508/-0400,ZZ=000Z-ec10.</vt:lpwstr>
  </property>
</Properties>
</file>